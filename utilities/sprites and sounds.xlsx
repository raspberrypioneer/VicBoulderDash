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wil\Documents\Commodore\Projects - Retro Software\Vic20 Boulder Dash\utilities\"/>
    </mc:Choice>
  </mc:AlternateContent>
  <xr:revisionPtr revIDLastSave="0" documentId="13_ncr:1_{B0F666B8-A260-400D-BDED-B29D5DE67637}" xr6:coauthVersionLast="47" xr6:coauthVersionMax="47" xr10:uidLastSave="{00000000-0000-0000-0000-000000000000}"/>
  <bookViews>
    <workbookView xWindow="-108" yWindow="-108" windowWidth="23256" windowHeight="12456" tabRatio="790" activeTab="3" xr2:uid="{9987D57F-F998-4D92-8F32-7F5C1DED2F39}"/>
  </bookViews>
  <sheets>
    <sheet name="Vic20 BD tiles plan" sheetId="12" r:id="rId1"/>
    <sheet name="Vic20 tiles" sheetId="11" r:id="rId2"/>
    <sheet name="Vic colour ref" sheetId="10" r:id="rId3"/>
    <sheet name="Cave colours" sheetId="15" r:id="rId4"/>
    <sheet name="LowHighSplit" sheetId="7" r:id="rId5"/>
    <sheet name="Status" sheetId="13" r:id="rId6"/>
    <sheet name="Splash" sheetId="14" r:id="rId7"/>
    <sheet name="Theme Tune" sheetId="18" r:id="rId8"/>
    <sheet name="Notes Ref" sheetId="19" r:id="rId9"/>
  </sheets>
  <definedNames>
    <definedName name="_xlnm._FilterDatabase" localSheetId="3" hidden="1">'Cave colours'!$A$2:$I$91</definedName>
    <definedName name="_xlnm._FilterDatabase" localSheetId="2" hidden="1">'Vic colour ref'!$D$8:$E$40</definedName>
    <definedName name="_xlnm._FilterDatabase" localSheetId="0" hidden="1">'Vic20 BD tiles plan'!$A$1:$D$59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5" l="1"/>
  <c r="F25" i="15"/>
  <c r="E25" i="15"/>
  <c r="D25" i="15"/>
  <c r="G25" i="15" l="1"/>
  <c r="R493" i="11" l="1"/>
  <c r="Q493" i="11"/>
  <c r="P493" i="11"/>
  <c r="O493" i="11"/>
  <c r="N493" i="11"/>
  <c r="M493" i="11"/>
  <c r="L493" i="11"/>
  <c r="K493" i="11"/>
  <c r="R492" i="11"/>
  <c r="Q492" i="11"/>
  <c r="P492" i="11"/>
  <c r="O492" i="11"/>
  <c r="N492" i="11"/>
  <c r="M492" i="11"/>
  <c r="L492" i="11"/>
  <c r="K492" i="11"/>
  <c r="R491" i="11"/>
  <c r="Q491" i="11"/>
  <c r="P491" i="11"/>
  <c r="O491" i="11"/>
  <c r="N491" i="11"/>
  <c r="M491" i="11"/>
  <c r="L491" i="11"/>
  <c r="K491" i="11"/>
  <c r="R490" i="11"/>
  <c r="Q490" i="11"/>
  <c r="P490" i="11"/>
  <c r="O490" i="11"/>
  <c r="N490" i="11"/>
  <c r="M490" i="11"/>
  <c r="L490" i="11"/>
  <c r="K490" i="11"/>
  <c r="R489" i="11"/>
  <c r="Q489" i="11"/>
  <c r="P489" i="11"/>
  <c r="O489" i="11"/>
  <c r="N489" i="11"/>
  <c r="M489" i="11"/>
  <c r="L489" i="11"/>
  <c r="K489" i="11"/>
  <c r="R488" i="11"/>
  <c r="Q488" i="11"/>
  <c r="P488" i="11"/>
  <c r="O488" i="11"/>
  <c r="N488" i="11"/>
  <c r="M488" i="11"/>
  <c r="L488" i="11"/>
  <c r="K488" i="11"/>
  <c r="R487" i="11"/>
  <c r="Q487" i="11"/>
  <c r="P487" i="11"/>
  <c r="O487" i="11"/>
  <c r="N487" i="11"/>
  <c r="M487" i="11"/>
  <c r="L487" i="11"/>
  <c r="K487" i="11"/>
  <c r="R486" i="11"/>
  <c r="Q486" i="11"/>
  <c r="P486" i="11"/>
  <c r="O486" i="11"/>
  <c r="N486" i="11"/>
  <c r="M486" i="11"/>
  <c r="L486" i="11"/>
  <c r="K486" i="11"/>
  <c r="R485" i="11"/>
  <c r="Q485" i="11"/>
  <c r="P485" i="11"/>
  <c r="O485" i="11"/>
  <c r="N485" i="11"/>
  <c r="M485" i="11"/>
  <c r="L485" i="11"/>
  <c r="K485" i="11"/>
  <c r="R484" i="11"/>
  <c r="Q484" i="11"/>
  <c r="P484" i="11"/>
  <c r="O484" i="11"/>
  <c r="N484" i="11"/>
  <c r="M484" i="11"/>
  <c r="L484" i="11"/>
  <c r="K484" i="11"/>
  <c r="R483" i="11"/>
  <c r="Q483" i="11"/>
  <c r="P483" i="11"/>
  <c r="O483" i="11"/>
  <c r="N483" i="11"/>
  <c r="M483" i="11"/>
  <c r="L483" i="11"/>
  <c r="K483" i="11"/>
  <c r="R482" i="11"/>
  <c r="Q482" i="11"/>
  <c r="P482" i="11"/>
  <c r="O482" i="11"/>
  <c r="N482" i="11"/>
  <c r="M482" i="11"/>
  <c r="L482" i="11"/>
  <c r="K482" i="11"/>
  <c r="R481" i="11"/>
  <c r="Q481" i="11"/>
  <c r="P481" i="11"/>
  <c r="O481" i="11"/>
  <c r="N481" i="11"/>
  <c r="M481" i="11"/>
  <c r="L481" i="11"/>
  <c r="K481" i="11"/>
  <c r="R480" i="11"/>
  <c r="Q480" i="11"/>
  <c r="P480" i="11"/>
  <c r="O480" i="11"/>
  <c r="N480" i="11"/>
  <c r="M480" i="11"/>
  <c r="L480" i="11"/>
  <c r="K480" i="11"/>
  <c r="R479" i="11"/>
  <c r="Q479" i="11"/>
  <c r="P479" i="11"/>
  <c r="O479" i="11"/>
  <c r="N479" i="11"/>
  <c r="M479" i="11"/>
  <c r="L479" i="11"/>
  <c r="K479" i="11"/>
  <c r="R478" i="11"/>
  <c r="Q478" i="11"/>
  <c r="P478" i="11"/>
  <c r="O478" i="11"/>
  <c r="N478" i="11"/>
  <c r="M478" i="11"/>
  <c r="L478" i="11"/>
  <c r="K478" i="11"/>
  <c r="AJ477" i="11"/>
  <c r="R459" i="11"/>
  <c r="Q459" i="11"/>
  <c r="P459" i="11"/>
  <c r="O459" i="11"/>
  <c r="N459" i="11"/>
  <c r="M459" i="11"/>
  <c r="L459" i="11"/>
  <c r="K459" i="11"/>
  <c r="R458" i="11"/>
  <c r="Q458" i="11"/>
  <c r="P458" i="11"/>
  <c r="O458" i="11"/>
  <c r="N458" i="11"/>
  <c r="M458" i="11"/>
  <c r="L458" i="11"/>
  <c r="K458" i="11"/>
  <c r="R457" i="11"/>
  <c r="Q457" i="11"/>
  <c r="P457" i="11"/>
  <c r="O457" i="11"/>
  <c r="N457" i="11"/>
  <c r="M457" i="11"/>
  <c r="L457" i="11"/>
  <c r="K457" i="11"/>
  <c r="R456" i="11"/>
  <c r="Q456" i="11"/>
  <c r="P456" i="11"/>
  <c r="O456" i="11"/>
  <c r="N456" i="11"/>
  <c r="M456" i="11"/>
  <c r="L456" i="11"/>
  <c r="K456" i="11"/>
  <c r="R455" i="11"/>
  <c r="Q455" i="11"/>
  <c r="P455" i="11"/>
  <c r="O455" i="11"/>
  <c r="N455" i="11"/>
  <c r="M455" i="11"/>
  <c r="L455" i="11"/>
  <c r="K455" i="11"/>
  <c r="R454" i="11"/>
  <c r="Q454" i="11"/>
  <c r="P454" i="11"/>
  <c r="O454" i="11"/>
  <c r="N454" i="11"/>
  <c r="M454" i="11"/>
  <c r="L454" i="11"/>
  <c r="K454" i="11"/>
  <c r="R453" i="11"/>
  <c r="Q453" i="11"/>
  <c r="P453" i="11"/>
  <c r="O453" i="11"/>
  <c r="N453" i="11"/>
  <c r="M453" i="11"/>
  <c r="L453" i="11"/>
  <c r="K453" i="11"/>
  <c r="R452" i="11"/>
  <c r="Q452" i="11"/>
  <c r="P452" i="11"/>
  <c r="O452" i="11"/>
  <c r="N452" i="11"/>
  <c r="M452" i="11"/>
  <c r="L452" i="11"/>
  <c r="K452" i="11"/>
  <c r="R451" i="11"/>
  <c r="Q451" i="11"/>
  <c r="P451" i="11"/>
  <c r="O451" i="11"/>
  <c r="N451" i="11"/>
  <c r="M451" i="11"/>
  <c r="L451" i="11"/>
  <c r="K451" i="11"/>
  <c r="R450" i="11"/>
  <c r="Q450" i="11"/>
  <c r="P450" i="11"/>
  <c r="O450" i="11"/>
  <c r="N450" i="11"/>
  <c r="M450" i="11"/>
  <c r="L450" i="11"/>
  <c r="K450" i="11"/>
  <c r="R449" i="11"/>
  <c r="Q449" i="11"/>
  <c r="P449" i="11"/>
  <c r="O449" i="11"/>
  <c r="N449" i="11"/>
  <c r="M449" i="11"/>
  <c r="L449" i="11"/>
  <c r="K449" i="11"/>
  <c r="R448" i="11"/>
  <c r="Q448" i="11"/>
  <c r="P448" i="11"/>
  <c r="O448" i="11"/>
  <c r="N448" i="11"/>
  <c r="M448" i="11"/>
  <c r="L448" i="11"/>
  <c r="K448" i="11"/>
  <c r="R447" i="11"/>
  <c r="Q447" i="11"/>
  <c r="P447" i="11"/>
  <c r="O447" i="11"/>
  <c r="N447" i="11"/>
  <c r="M447" i="11"/>
  <c r="L447" i="11"/>
  <c r="K447" i="11"/>
  <c r="R446" i="11"/>
  <c r="Q446" i="11"/>
  <c r="P446" i="11"/>
  <c r="O446" i="11"/>
  <c r="N446" i="11"/>
  <c r="M446" i="11"/>
  <c r="L446" i="11"/>
  <c r="K446" i="11"/>
  <c r="R445" i="11"/>
  <c r="Q445" i="11"/>
  <c r="P445" i="11"/>
  <c r="O445" i="11"/>
  <c r="N445" i="11"/>
  <c r="M445" i="11"/>
  <c r="L445" i="11"/>
  <c r="K445" i="11"/>
  <c r="R444" i="11"/>
  <c r="Q444" i="11"/>
  <c r="P444" i="11"/>
  <c r="O444" i="11"/>
  <c r="N444" i="11"/>
  <c r="M444" i="11"/>
  <c r="L444" i="11"/>
  <c r="K444" i="11"/>
  <c r="AJ443" i="11"/>
  <c r="AJ460" i="11"/>
  <c r="K461" i="11"/>
  <c r="L461" i="11"/>
  <c r="M461" i="11"/>
  <c r="N461" i="11"/>
  <c r="O461" i="11"/>
  <c r="P461" i="11"/>
  <c r="Q461" i="11"/>
  <c r="R461" i="11"/>
  <c r="K462" i="11"/>
  <c r="L462" i="11"/>
  <c r="M462" i="11"/>
  <c r="N462" i="11"/>
  <c r="O462" i="11"/>
  <c r="P462" i="11"/>
  <c r="Q462" i="11"/>
  <c r="R462" i="11"/>
  <c r="K463" i="11"/>
  <c r="L463" i="11"/>
  <c r="M463" i="11"/>
  <c r="N463" i="11"/>
  <c r="O463" i="11"/>
  <c r="P463" i="11"/>
  <c r="Q463" i="11"/>
  <c r="R463" i="11"/>
  <c r="K464" i="11"/>
  <c r="L464" i="11"/>
  <c r="M464" i="11"/>
  <c r="N464" i="11"/>
  <c r="O464" i="11"/>
  <c r="P464" i="11"/>
  <c r="Q464" i="11"/>
  <c r="R464" i="11"/>
  <c r="K465" i="11"/>
  <c r="L465" i="11"/>
  <c r="M465" i="11"/>
  <c r="N465" i="11"/>
  <c r="O465" i="11"/>
  <c r="P465" i="11"/>
  <c r="Q465" i="11"/>
  <c r="R465" i="11"/>
  <c r="K466" i="11"/>
  <c r="L466" i="11"/>
  <c r="M466" i="11"/>
  <c r="N466" i="11"/>
  <c r="O466" i="11"/>
  <c r="P466" i="11"/>
  <c r="Q466" i="11"/>
  <c r="R466" i="11"/>
  <c r="K467" i="11"/>
  <c r="L467" i="11"/>
  <c r="M467" i="11"/>
  <c r="N467" i="11"/>
  <c r="O467" i="11"/>
  <c r="P467" i="11"/>
  <c r="Q467" i="11"/>
  <c r="R467" i="11"/>
  <c r="K468" i="11"/>
  <c r="L468" i="11"/>
  <c r="M468" i="11"/>
  <c r="N468" i="11"/>
  <c r="O468" i="11"/>
  <c r="P468" i="11"/>
  <c r="Q468" i="11"/>
  <c r="R468" i="11"/>
  <c r="K469" i="11"/>
  <c r="L469" i="11"/>
  <c r="M469" i="11"/>
  <c r="N469" i="11"/>
  <c r="O469" i="11"/>
  <c r="P469" i="11"/>
  <c r="Q469" i="11"/>
  <c r="R469" i="11"/>
  <c r="K470" i="11"/>
  <c r="L470" i="11"/>
  <c r="M470" i="11"/>
  <c r="N470" i="11"/>
  <c r="O470" i="11"/>
  <c r="P470" i="11"/>
  <c r="Q470" i="11"/>
  <c r="R470" i="11"/>
  <c r="K471" i="11"/>
  <c r="L471" i="11"/>
  <c r="M471" i="11"/>
  <c r="N471" i="11"/>
  <c r="O471" i="11"/>
  <c r="P471" i="11"/>
  <c r="Q471" i="11"/>
  <c r="R471" i="11"/>
  <c r="K472" i="11"/>
  <c r="L472" i="11"/>
  <c r="M472" i="11"/>
  <c r="N472" i="11"/>
  <c r="O472" i="11"/>
  <c r="P472" i="11"/>
  <c r="Q472" i="11"/>
  <c r="R472" i="11"/>
  <c r="K473" i="11"/>
  <c r="L473" i="11"/>
  <c r="M473" i="11"/>
  <c r="N473" i="11"/>
  <c r="O473" i="11"/>
  <c r="P473" i="11"/>
  <c r="Q473" i="11"/>
  <c r="R473" i="11"/>
  <c r="K474" i="11"/>
  <c r="L474" i="11"/>
  <c r="M474" i="11"/>
  <c r="N474" i="11"/>
  <c r="O474" i="11"/>
  <c r="P474" i="11"/>
  <c r="Q474" i="11"/>
  <c r="R474" i="11"/>
  <c r="K475" i="11"/>
  <c r="L475" i="11"/>
  <c r="M475" i="11"/>
  <c r="N475" i="11"/>
  <c r="O475" i="11"/>
  <c r="P475" i="11"/>
  <c r="Q475" i="11"/>
  <c r="R475" i="11"/>
  <c r="K476" i="11"/>
  <c r="L476" i="11"/>
  <c r="M476" i="11"/>
  <c r="N476" i="11"/>
  <c r="O476" i="11"/>
  <c r="P476" i="11"/>
  <c r="Q476" i="11"/>
  <c r="R476" i="11"/>
  <c r="AJ52" i="11"/>
  <c r="R442" i="11"/>
  <c r="Q442" i="11"/>
  <c r="P442" i="11"/>
  <c r="O442" i="11"/>
  <c r="N442" i="11"/>
  <c r="M442" i="11"/>
  <c r="L442" i="11"/>
  <c r="K442" i="11"/>
  <c r="R441" i="11"/>
  <c r="Q441" i="11"/>
  <c r="P441" i="11"/>
  <c r="O441" i="11"/>
  <c r="N441" i="11"/>
  <c r="M441" i="11"/>
  <c r="L441" i="11"/>
  <c r="K441" i="11"/>
  <c r="R440" i="11"/>
  <c r="Q440" i="11"/>
  <c r="P440" i="11"/>
  <c r="O440" i="11"/>
  <c r="N440" i="11"/>
  <c r="M440" i="11"/>
  <c r="L440" i="11"/>
  <c r="K440" i="11"/>
  <c r="R439" i="11"/>
  <c r="Q439" i="11"/>
  <c r="P439" i="11"/>
  <c r="O439" i="11"/>
  <c r="N439" i="11"/>
  <c r="M439" i="11"/>
  <c r="L439" i="11"/>
  <c r="K439" i="11"/>
  <c r="R438" i="11"/>
  <c r="Q438" i="11"/>
  <c r="P438" i="11"/>
  <c r="O438" i="11"/>
  <c r="N438" i="11"/>
  <c r="M438" i="11"/>
  <c r="L438" i="11"/>
  <c r="K438" i="11"/>
  <c r="R437" i="11"/>
  <c r="Q437" i="11"/>
  <c r="P437" i="11"/>
  <c r="O437" i="11"/>
  <c r="N437" i="11"/>
  <c r="M437" i="11"/>
  <c r="L437" i="11"/>
  <c r="K437" i="11"/>
  <c r="R436" i="11"/>
  <c r="Q436" i="11"/>
  <c r="P436" i="11"/>
  <c r="O436" i="11"/>
  <c r="N436" i="11"/>
  <c r="M436" i="11"/>
  <c r="L436" i="11"/>
  <c r="K436" i="11"/>
  <c r="R435" i="11"/>
  <c r="Q435" i="11"/>
  <c r="P435" i="11"/>
  <c r="O435" i="11"/>
  <c r="N435" i="11"/>
  <c r="M435" i="11"/>
  <c r="L435" i="11"/>
  <c r="K435" i="11"/>
  <c r="R434" i="11"/>
  <c r="Q434" i="11"/>
  <c r="P434" i="11"/>
  <c r="O434" i="11"/>
  <c r="N434" i="11"/>
  <c r="M434" i="11"/>
  <c r="L434" i="11"/>
  <c r="K434" i="11"/>
  <c r="R433" i="11"/>
  <c r="Q433" i="11"/>
  <c r="P433" i="11"/>
  <c r="O433" i="11"/>
  <c r="N433" i="11"/>
  <c r="M433" i="11"/>
  <c r="L433" i="11"/>
  <c r="K433" i="11"/>
  <c r="R432" i="11"/>
  <c r="Q432" i="11"/>
  <c r="P432" i="11"/>
  <c r="O432" i="11"/>
  <c r="N432" i="11"/>
  <c r="M432" i="11"/>
  <c r="L432" i="11"/>
  <c r="K432" i="11"/>
  <c r="R431" i="11"/>
  <c r="Q431" i="11"/>
  <c r="P431" i="11"/>
  <c r="O431" i="11"/>
  <c r="N431" i="11"/>
  <c r="M431" i="11"/>
  <c r="L431" i="11"/>
  <c r="K431" i="11"/>
  <c r="R430" i="11"/>
  <c r="Q430" i="11"/>
  <c r="P430" i="11"/>
  <c r="O430" i="11"/>
  <c r="N430" i="11"/>
  <c r="M430" i="11"/>
  <c r="L430" i="11"/>
  <c r="K430" i="11"/>
  <c r="R429" i="11"/>
  <c r="Q429" i="11"/>
  <c r="P429" i="11"/>
  <c r="O429" i="11"/>
  <c r="N429" i="11"/>
  <c r="M429" i="11"/>
  <c r="L429" i="11"/>
  <c r="K429" i="11"/>
  <c r="R428" i="11"/>
  <c r="Q428" i="11"/>
  <c r="P428" i="11"/>
  <c r="O428" i="11"/>
  <c r="N428" i="11"/>
  <c r="M428" i="11"/>
  <c r="L428" i="11"/>
  <c r="K428" i="11"/>
  <c r="R427" i="11"/>
  <c r="Q427" i="11"/>
  <c r="P427" i="11"/>
  <c r="O427" i="11"/>
  <c r="N427" i="11"/>
  <c r="M427" i="11"/>
  <c r="L427" i="11"/>
  <c r="K427" i="11"/>
  <c r="AJ426" i="11"/>
  <c r="R425" i="11"/>
  <c r="Q425" i="11"/>
  <c r="P425" i="11"/>
  <c r="O425" i="11"/>
  <c r="N425" i="11"/>
  <c r="M425" i="11"/>
  <c r="L425" i="11"/>
  <c r="K425" i="11"/>
  <c r="R424" i="11"/>
  <c r="Q424" i="11"/>
  <c r="P424" i="11"/>
  <c r="O424" i="11"/>
  <c r="N424" i="11"/>
  <c r="M424" i="11"/>
  <c r="L424" i="11"/>
  <c r="K424" i="11"/>
  <c r="R423" i="11"/>
  <c r="Q423" i="11"/>
  <c r="P423" i="11"/>
  <c r="O423" i="11"/>
  <c r="N423" i="11"/>
  <c r="M423" i="11"/>
  <c r="L423" i="11"/>
  <c r="K423" i="11"/>
  <c r="R422" i="11"/>
  <c r="Q422" i="11"/>
  <c r="P422" i="11"/>
  <c r="O422" i="11"/>
  <c r="N422" i="11"/>
  <c r="M422" i="11"/>
  <c r="L422" i="11"/>
  <c r="K422" i="11"/>
  <c r="R421" i="11"/>
  <c r="Q421" i="11"/>
  <c r="P421" i="11"/>
  <c r="O421" i="11"/>
  <c r="N421" i="11"/>
  <c r="M421" i="11"/>
  <c r="L421" i="11"/>
  <c r="K421" i="11"/>
  <c r="R420" i="11"/>
  <c r="Q420" i="11"/>
  <c r="P420" i="11"/>
  <c r="O420" i="11"/>
  <c r="N420" i="11"/>
  <c r="M420" i="11"/>
  <c r="L420" i="11"/>
  <c r="K420" i="11"/>
  <c r="R419" i="11"/>
  <c r="Q419" i="11"/>
  <c r="P419" i="11"/>
  <c r="O419" i="11"/>
  <c r="N419" i="11"/>
  <c r="M419" i="11"/>
  <c r="L419" i="11"/>
  <c r="K419" i="11"/>
  <c r="R418" i="11"/>
  <c r="Q418" i="11"/>
  <c r="P418" i="11"/>
  <c r="O418" i="11"/>
  <c r="N418" i="11"/>
  <c r="M418" i="11"/>
  <c r="L418" i="11"/>
  <c r="K418" i="11"/>
  <c r="R417" i="11"/>
  <c r="Q417" i="11"/>
  <c r="P417" i="11"/>
  <c r="O417" i="11"/>
  <c r="N417" i="11"/>
  <c r="M417" i="11"/>
  <c r="L417" i="11"/>
  <c r="K417" i="11"/>
  <c r="R416" i="11"/>
  <c r="Q416" i="11"/>
  <c r="P416" i="11"/>
  <c r="O416" i="11"/>
  <c r="N416" i="11"/>
  <c r="M416" i="11"/>
  <c r="L416" i="11"/>
  <c r="K416" i="11"/>
  <c r="R415" i="11"/>
  <c r="Q415" i="11"/>
  <c r="P415" i="11"/>
  <c r="O415" i="11"/>
  <c r="N415" i="11"/>
  <c r="M415" i="11"/>
  <c r="L415" i="11"/>
  <c r="K415" i="11"/>
  <c r="R414" i="11"/>
  <c r="Q414" i="11"/>
  <c r="P414" i="11"/>
  <c r="O414" i="11"/>
  <c r="N414" i="11"/>
  <c r="M414" i="11"/>
  <c r="L414" i="11"/>
  <c r="K414" i="11"/>
  <c r="R413" i="11"/>
  <c r="Q413" i="11"/>
  <c r="P413" i="11"/>
  <c r="O413" i="11"/>
  <c r="N413" i="11"/>
  <c r="M413" i="11"/>
  <c r="L413" i="11"/>
  <c r="K413" i="11"/>
  <c r="R412" i="11"/>
  <c r="Q412" i="11"/>
  <c r="P412" i="11"/>
  <c r="O412" i="11"/>
  <c r="N412" i="11"/>
  <c r="M412" i="11"/>
  <c r="L412" i="11"/>
  <c r="K412" i="11"/>
  <c r="R411" i="11"/>
  <c r="Q411" i="11"/>
  <c r="P411" i="11"/>
  <c r="O411" i="11"/>
  <c r="N411" i="11"/>
  <c r="M411" i="11"/>
  <c r="L411" i="11"/>
  <c r="K411" i="11"/>
  <c r="R410" i="11"/>
  <c r="Q410" i="11"/>
  <c r="P410" i="11"/>
  <c r="O410" i="11"/>
  <c r="N410" i="11"/>
  <c r="M410" i="11"/>
  <c r="L410" i="11"/>
  <c r="K410" i="11"/>
  <c r="AJ409" i="11"/>
  <c r="R408" i="11"/>
  <c r="Q408" i="11"/>
  <c r="P408" i="11"/>
  <c r="O408" i="11"/>
  <c r="N408" i="11"/>
  <c r="M408" i="11"/>
  <c r="L408" i="11"/>
  <c r="K408" i="11"/>
  <c r="R407" i="11"/>
  <c r="Q407" i="11"/>
  <c r="P407" i="11"/>
  <c r="O407" i="11"/>
  <c r="N407" i="11"/>
  <c r="M407" i="11"/>
  <c r="L407" i="11"/>
  <c r="K407" i="11"/>
  <c r="R406" i="11"/>
  <c r="Q406" i="11"/>
  <c r="P406" i="11"/>
  <c r="O406" i="11"/>
  <c r="N406" i="11"/>
  <c r="M406" i="11"/>
  <c r="L406" i="11"/>
  <c r="K406" i="11"/>
  <c r="R405" i="11"/>
  <c r="Q405" i="11"/>
  <c r="P405" i="11"/>
  <c r="O405" i="11"/>
  <c r="N405" i="11"/>
  <c r="M405" i="11"/>
  <c r="L405" i="11"/>
  <c r="K405" i="11"/>
  <c r="R404" i="11"/>
  <c r="Q404" i="11"/>
  <c r="P404" i="11"/>
  <c r="O404" i="11"/>
  <c r="N404" i="11"/>
  <c r="M404" i="11"/>
  <c r="L404" i="11"/>
  <c r="K404" i="11"/>
  <c r="R403" i="11"/>
  <c r="Q403" i="11"/>
  <c r="P403" i="11"/>
  <c r="O403" i="11"/>
  <c r="N403" i="11"/>
  <c r="M403" i="11"/>
  <c r="L403" i="11"/>
  <c r="K403" i="11"/>
  <c r="R402" i="11"/>
  <c r="Q402" i="11"/>
  <c r="P402" i="11"/>
  <c r="O402" i="11"/>
  <c r="N402" i="11"/>
  <c r="M402" i="11"/>
  <c r="L402" i="11"/>
  <c r="K402" i="11"/>
  <c r="R401" i="11"/>
  <c r="Q401" i="11"/>
  <c r="P401" i="11"/>
  <c r="O401" i="11"/>
  <c r="N401" i="11"/>
  <c r="M401" i="11"/>
  <c r="L401" i="11"/>
  <c r="K401" i="11"/>
  <c r="R400" i="11"/>
  <c r="Q400" i="11"/>
  <c r="P400" i="11"/>
  <c r="O400" i="11"/>
  <c r="N400" i="11"/>
  <c r="M400" i="11"/>
  <c r="L400" i="11"/>
  <c r="K400" i="11"/>
  <c r="R399" i="11"/>
  <c r="Q399" i="11"/>
  <c r="P399" i="11"/>
  <c r="O399" i="11"/>
  <c r="N399" i="11"/>
  <c r="M399" i="11"/>
  <c r="L399" i="11"/>
  <c r="K399" i="11"/>
  <c r="R398" i="11"/>
  <c r="Q398" i="11"/>
  <c r="P398" i="11"/>
  <c r="O398" i="11"/>
  <c r="N398" i="11"/>
  <c r="M398" i="11"/>
  <c r="L398" i="11"/>
  <c r="K398" i="11"/>
  <c r="R397" i="11"/>
  <c r="Q397" i="11"/>
  <c r="P397" i="11"/>
  <c r="O397" i="11"/>
  <c r="N397" i="11"/>
  <c r="M397" i="11"/>
  <c r="L397" i="11"/>
  <c r="K397" i="11"/>
  <c r="R396" i="11"/>
  <c r="Q396" i="11"/>
  <c r="P396" i="11"/>
  <c r="O396" i="11"/>
  <c r="N396" i="11"/>
  <c r="M396" i="11"/>
  <c r="L396" i="11"/>
  <c r="K396" i="11"/>
  <c r="R395" i="11"/>
  <c r="Q395" i="11"/>
  <c r="P395" i="11"/>
  <c r="O395" i="11"/>
  <c r="N395" i="11"/>
  <c r="M395" i="11"/>
  <c r="L395" i="11"/>
  <c r="K395" i="11"/>
  <c r="R394" i="11"/>
  <c r="Q394" i="11"/>
  <c r="P394" i="11"/>
  <c r="O394" i="11"/>
  <c r="N394" i="11"/>
  <c r="M394" i="11"/>
  <c r="L394" i="11"/>
  <c r="K394" i="11"/>
  <c r="R393" i="11"/>
  <c r="Q393" i="11"/>
  <c r="P393" i="11"/>
  <c r="O393" i="11"/>
  <c r="N393" i="11"/>
  <c r="M393" i="11"/>
  <c r="L393" i="11"/>
  <c r="K393" i="11"/>
  <c r="AJ392" i="11"/>
  <c r="R391" i="11"/>
  <c r="Q391" i="11"/>
  <c r="P391" i="11"/>
  <c r="O391" i="11"/>
  <c r="N391" i="11"/>
  <c r="M391" i="11"/>
  <c r="L391" i="11"/>
  <c r="K391" i="11"/>
  <c r="R390" i="11"/>
  <c r="Q390" i="11"/>
  <c r="P390" i="11"/>
  <c r="O390" i="11"/>
  <c r="N390" i="11"/>
  <c r="M390" i="11"/>
  <c r="L390" i="11"/>
  <c r="K390" i="11"/>
  <c r="R389" i="11"/>
  <c r="Q389" i="11"/>
  <c r="P389" i="11"/>
  <c r="O389" i="11"/>
  <c r="N389" i="11"/>
  <c r="M389" i="11"/>
  <c r="L389" i="11"/>
  <c r="K389" i="11"/>
  <c r="R388" i="11"/>
  <c r="Q388" i="11"/>
  <c r="P388" i="11"/>
  <c r="O388" i="11"/>
  <c r="N388" i="11"/>
  <c r="M388" i="11"/>
  <c r="L388" i="11"/>
  <c r="K388" i="11"/>
  <c r="R387" i="11"/>
  <c r="Q387" i="11"/>
  <c r="P387" i="11"/>
  <c r="O387" i="11"/>
  <c r="N387" i="11"/>
  <c r="M387" i="11"/>
  <c r="L387" i="11"/>
  <c r="K387" i="11"/>
  <c r="R386" i="11"/>
  <c r="Q386" i="11"/>
  <c r="P386" i="11"/>
  <c r="O386" i="11"/>
  <c r="N386" i="11"/>
  <c r="M386" i="11"/>
  <c r="L386" i="11"/>
  <c r="K386" i="11"/>
  <c r="R385" i="11"/>
  <c r="Q385" i="11"/>
  <c r="P385" i="11"/>
  <c r="O385" i="11"/>
  <c r="N385" i="11"/>
  <c r="M385" i="11"/>
  <c r="L385" i="11"/>
  <c r="K385" i="11"/>
  <c r="R384" i="11"/>
  <c r="Q384" i="11"/>
  <c r="P384" i="11"/>
  <c r="O384" i="11"/>
  <c r="N384" i="11"/>
  <c r="M384" i="11"/>
  <c r="L384" i="11"/>
  <c r="K384" i="11"/>
  <c r="R383" i="11"/>
  <c r="Q383" i="11"/>
  <c r="P383" i="11"/>
  <c r="O383" i="11"/>
  <c r="N383" i="11"/>
  <c r="M383" i="11"/>
  <c r="L383" i="11"/>
  <c r="K383" i="11"/>
  <c r="R382" i="11"/>
  <c r="Q382" i="11"/>
  <c r="P382" i="11"/>
  <c r="O382" i="11"/>
  <c r="N382" i="11"/>
  <c r="M382" i="11"/>
  <c r="L382" i="11"/>
  <c r="K382" i="11"/>
  <c r="R381" i="11"/>
  <c r="Q381" i="11"/>
  <c r="P381" i="11"/>
  <c r="O381" i="11"/>
  <c r="N381" i="11"/>
  <c r="M381" i="11"/>
  <c r="L381" i="11"/>
  <c r="K381" i="11"/>
  <c r="R380" i="11"/>
  <c r="Q380" i="11"/>
  <c r="P380" i="11"/>
  <c r="O380" i="11"/>
  <c r="N380" i="11"/>
  <c r="M380" i="11"/>
  <c r="L380" i="11"/>
  <c r="K380" i="11"/>
  <c r="R379" i="11"/>
  <c r="Q379" i="11"/>
  <c r="P379" i="11"/>
  <c r="O379" i="11"/>
  <c r="N379" i="11"/>
  <c r="M379" i="11"/>
  <c r="L379" i="11"/>
  <c r="K379" i="11"/>
  <c r="R378" i="11"/>
  <c r="Q378" i="11"/>
  <c r="P378" i="11"/>
  <c r="O378" i="11"/>
  <c r="N378" i="11"/>
  <c r="M378" i="11"/>
  <c r="L378" i="11"/>
  <c r="K378" i="11"/>
  <c r="R377" i="11"/>
  <c r="Q377" i="11"/>
  <c r="P377" i="11"/>
  <c r="O377" i="11"/>
  <c r="N377" i="11"/>
  <c r="M377" i="11"/>
  <c r="L377" i="11"/>
  <c r="K377" i="11"/>
  <c r="R376" i="11"/>
  <c r="Q376" i="11"/>
  <c r="P376" i="11"/>
  <c r="O376" i="11"/>
  <c r="N376" i="11"/>
  <c r="M376" i="11"/>
  <c r="L376" i="11"/>
  <c r="K376" i="11"/>
  <c r="AJ375" i="11"/>
  <c r="R374" i="11"/>
  <c r="Q374" i="11"/>
  <c r="P374" i="11"/>
  <c r="O374" i="11"/>
  <c r="N374" i="11"/>
  <c r="M374" i="11"/>
  <c r="L374" i="11"/>
  <c r="K374" i="11"/>
  <c r="R373" i="11"/>
  <c r="Q373" i="11"/>
  <c r="P373" i="11"/>
  <c r="O373" i="11"/>
  <c r="N373" i="11"/>
  <c r="M373" i="11"/>
  <c r="L373" i="11"/>
  <c r="K373" i="11"/>
  <c r="R372" i="11"/>
  <c r="Q372" i="11"/>
  <c r="P372" i="11"/>
  <c r="O372" i="11"/>
  <c r="N372" i="11"/>
  <c r="M372" i="11"/>
  <c r="L372" i="11"/>
  <c r="K372" i="11"/>
  <c r="R371" i="11"/>
  <c r="Q371" i="11"/>
  <c r="P371" i="11"/>
  <c r="O371" i="11"/>
  <c r="N371" i="11"/>
  <c r="M371" i="11"/>
  <c r="L371" i="11"/>
  <c r="K371" i="11"/>
  <c r="R370" i="11"/>
  <c r="Q370" i="11"/>
  <c r="P370" i="11"/>
  <c r="O370" i="11"/>
  <c r="N370" i="11"/>
  <c r="M370" i="11"/>
  <c r="L370" i="11"/>
  <c r="K370" i="11"/>
  <c r="R369" i="11"/>
  <c r="Q369" i="11"/>
  <c r="P369" i="11"/>
  <c r="O369" i="11"/>
  <c r="N369" i="11"/>
  <c r="M369" i="11"/>
  <c r="L369" i="11"/>
  <c r="K369" i="11"/>
  <c r="R368" i="11"/>
  <c r="Q368" i="11"/>
  <c r="P368" i="11"/>
  <c r="O368" i="11"/>
  <c r="N368" i="11"/>
  <c r="M368" i="11"/>
  <c r="L368" i="11"/>
  <c r="K368" i="11"/>
  <c r="R367" i="11"/>
  <c r="Q367" i="11"/>
  <c r="P367" i="11"/>
  <c r="O367" i="11"/>
  <c r="N367" i="11"/>
  <c r="M367" i="11"/>
  <c r="L367" i="11"/>
  <c r="K367" i="11"/>
  <c r="R366" i="11"/>
  <c r="Q366" i="11"/>
  <c r="P366" i="11"/>
  <c r="O366" i="11"/>
  <c r="N366" i="11"/>
  <c r="M366" i="11"/>
  <c r="L366" i="11"/>
  <c r="K366" i="11"/>
  <c r="R365" i="11"/>
  <c r="Q365" i="11"/>
  <c r="P365" i="11"/>
  <c r="O365" i="11"/>
  <c r="N365" i="11"/>
  <c r="M365" i="11"/>
  <c r="L365" i="11"/>
  <c r="K365" i="11"/>
  <c r="R364" i="11"/>
  <c r="Q364" i="11"/>
  <c r="P364" i="11"/>
  <c r="O364" i="11"/>
  <c r="N364" i="11"/>
  <c r="M364" i="11"/>
  <c r="L364" i="11"/>
  <c r="K364" i="11"/>
  <c r="R363" i="11"/>
  <c r="Q363" i="11"/>
  <c r="P363" i="11"/>
  <c r="O363" i="11"/>
  <c r="N363" i="11"/>
  <c r="M363" i="11"/>
  <c r="L363" i="11"/>
  <c r="K363" i="11"/>
  <c r="R362" i="11"/>
  <c r="Q362" i="11"/>
  <c r="P362" i="11"/>
  <c r="O362" i="11"/>
  <c r="N362" i="11"/>
  <c r="M362" i="11"/>
  <c r="L362" i="11"/>
  <c r="K362" i="11"/>
  <c r="R361" i="11"/>
  <c r="Q361" i="11"/>
  <c r="P361" i="11"/>
  <c r="O361" i="11"/>
  <c r="N361" i="11"/>
  <c r="M361" i="11"/>
  <c r="L361" i="11"/>
  <c r="K361" i="11"/>
  <c r="R360" i="11"/>
  <c r="Q360" i="11"/>
  <c r="P360" i="11"/>
  <c r="O360" i="11"/>
  <c r="N360" i="11"/>
  <c r="M360" i="11"/>
  <c r="L360" i="11"/>
  <c r="K360" i="11"/>
  <c r="R359" i="11"/>
  <c r="Q359" i="11"/>
  <c r="P359" i="11"/>
  <c r="O359" i="11"/>
  <c r="N359" i="11"/>
  <c r="M359" i="11"/>
  <c r="L359" i="11"/>
  <c r="K359" i="11"/>
  <c r="AJ358" i="11"/>
  <c r="R357" i="11"/>
  <c r="Q357" i="11"/>
  <c r="P357" i="11"/>
  <c r="O357" i="11"/>
  <c r="N357" i="11"/>
  <c r="M357" i="11"/>
  <c r="L357" i="11"/>
  <c r="K357" i="11"/>
  <c r="R356" i="11"/>
  <c r="Q356" i="11"/>
  <c r="P356" i="11"/>
  <c r="O356" i="11"/>
  <c r="N356" i="11"/>
  <c r="M356" i="11"/>
  <c r="L356" i="11"/>
  <c r="K356" i="11"/>
  <c r="R355" i="11"/>
  <c r="Q355" i="11"/>
  <c r="P355" i="11"/>
  <c r="O355" i="11"/>
  <c r="N355" i="11"/>
  <c r="M355" i="11"/>
  <c r="L355" i="11"/>
  <c r="K355" i="11"/>
  <c r="R354" i="11"/>
  <c r="Q354" i="11"/>
  <c r="P354" i="11"/>
  <c r="O354" i="11"/>
  <c r="N354" i="11"/>
  <c r="M354" i="11"/>
  <c r="L354" i="11"/>
  <c r="K354" i="11"/>
  <c r="R353" i="11"/>
  <c r="Q353" i="11"/>
  <c r="P353" i="11"/>
  <c r="O353" i="11"/>
  <c r="N353" i="11"/>
  <c r="M353" i="11"/>
  <c r="L353" i="11"/>
  <c r="K353" i="11"/>
  <c r="R352" i="11"/>
  <c r="Q352" i="11"/>
  <c r="P352" i="11"/>
  <c r="O352" i="11"/>
  <c r="N352" i="11"/>
  <c r="M352" i="11"/>
  <c r="L352" i="11"/>
  <c r="K352" i="11"/>
  <c r="R351" i="11"/>
  <c r="Q351" i="11"/>
  <c r="P351" i="11"/>
  <c r="O351" i="11"/>
  <c r="N351" i="11"/>
  <c r="M351" i="11"/>
  <c r="L351" i="11"/>
  <c r="K351" i="11"/>
  <c r="R350" i="11"/>
  <c r="Q350" i="11"/>
  <c r="P350" i="11"/>
  <c r="O350" i="11"/>
  <c r="N350" i="11"/>
  <c r="M350" i="11"/>
  <c r="L350" i="11"/>
  <c r="K350" i="11"/>
  <c r="R349" i="11"/>
  <c r="Q349" i="11"/>
  <c r="P349" i="11"/>
  <c r="O349" i="11"/>
  <c r="N349" i="11"/>
  <c r="M349" i="11"/>
  <c r="L349" i="11"/>
  <c r="K349" i="11"/>
  <c r="R348" i="11"/>
  <c r="Q348" i="11"/>
  <c r="P348" i="11"/>
  <c r="O348" i="11"/>
  <c r="N348" i="11"/>
  <c r="M348" i="11"/>
  <c r="L348" i="11"/>
  <c r="K348" i="11"/>
  <c r="R347" i="11"/>
  <c r="Q347" i="11"/>
  <c r="P347" i="11"/>
  <c r="O347" i="11"/>
  <c r="N347" i="11"/>
  <c r="M347" i="11"/>
  <c r="L347" i="11"/>
  <c r="K347" i="11"/>
  <c r="R346" i="11"/>
  <c r="Q346" i="11"/>
  <c r="P346" i="11"/>
  <c r="O346" i="11"/>
  <c r="N346" i="11"/>
  <c r="M346" i="11"/>
  <c r="L346" i="11"/>
  <c r="K346" i="11"/>
  <c r="R345" i="11"/>
  <c r="Q345" i="11"/>
  <c r="P345" i="11"/>
  <c r="O345" i="11"/>
  <c r="N345" i="11"/>
  <c r="M345" i="11"/>
  <c r="L345" i="11"/>
  <c r="K345" i="11"/>
  <c r="R344" i="11"/>
  <c r="Q344" i="11"/>
  <c r="P344" i="11"/>
  <c r="O344" i="11"/>
  <c r="N344" i="11"/>
  <c r="M344" i="11"/>
  <c r="L344" i="11"/>
  <c r="K344" i="11"/>
  <c r="R343" i="11"/>
  <c r="Q343" i="11"/>
  <c r="P343" i="11"/>
  <c r="O343" i="11"/>
  <c r="N343" i="11"/>
  <c r="M343" i="11"/>
  <c r="L343" i="11"/>
  <c r="K343" i="11"/>
  <c r="R342" i="11"/>
  <c r="Q342" i="11"/>
  <c r="P342" i="11"/>
  <c r="O342" i="11"/>
  <c r="N342" i="11"/>
  <c r="M342" i="11"/>
  <c r="L342" i="11"/>
  <c r="K342" i="11"/>
  <c r="AJ341" i="11"/>
  <c r="R340" i="11"/>
  <c r="Q340" i="11"/>
  <c r="P340" i="11"/>
  <c r="O340" i="11"/>
  <c r="N340" i="11"/>
  <c r="M340" i="11"/>
  <c r="L340" i="11"/>
  <c r="K340" i="11"/>
  <c r="R339" i="11"/>
  <c r="Q339" i="11"/>
  <c r="P339" i="11"/>
  <c r="O339" i="11"/>
  <c r="N339" i="11"/>
  <c r="M339" i="11"/>
  <c r="L339" i="11"/>
  <c r="K339" i="11"/>
  <c r="R338" i="11"/>
  <c r="Q338" i="11"/>
  <c r="P338" i="11"/>
  <c r="O338" i="11"/>
  <c r="N338" i="11"/>
  <c r="M338" i="11"/>
  <c r="L338" i="11"/>
  <c r="K338" i="11"/>
  <c r="R337" i="11"/>
  <c r="Q337" i="11"/>
  <c r="P337" i="11"/>
  <c r="O337" i="11"/>
  <c r="N337" i="11"/>
  <c r="M337" i="11"/>
  <c r="L337" i="11"/>
  <c r="K337" i="11"/>
  <c r="R336" i="11"/>
  <c r="Q336" i="11"/>
  <c r="P336" i="11"/>
  <c r="O336" i="11"/>
  <c r="N336" i="11"/>
  <c r="M336" i="11"/>
  <c r="L336" i="11"/>
  <c r="K336" i="11"/>
  <c r="R335" i="11"/>
  <c r="Q335" i="11"/>
  <c r="P335" i="11"/>
  <c r="O335" i="11"/>
  <c r="N335" i="11"/>
  <c r="M335" i="11"/>
  <c r="L335" i="11"/>
  <c r="K335" i="11"/>
  <c r="R334" i="11"/>
  <c r="Q334" i="11"/>
  <c r="P334" i="11"/>
  <c r="O334" i="11"/>
  <c r="N334" i="11"/>
  <c r="M334" i="11"/>
  <c r="L334" i="11"/>
  <c r="K334" i="11"/>
  <c r="R333" i="11"/>
  <c r="Q333" i="11"/>
  <c r="P333" i="11"/>
  <c r="O333" i="11"/>
  <c r="N333" i="11"/>
  <c r="M333" i="11"/>
  <c r="L333" i="11"/>
  <c r="K333" i="11"/>
  <c r="R332" i="11"/>
  <c r="Q332" i="11"/>
  <c r="P332" i="11"/>
  <c r="O332" i="11"/>
  <c r="N332" i="11"/>
  <c r="M332" i="11"/>
  <c r="L332" i="11"/>
  <c r="K332" i="11"/>
  <c r="R331" i="11"/>
  <c r="Q331" i="11"/>
  <c r="P331" i="11"/>
  <c r="O331" i="11"/>
  <c r="N331" i="11"/>
  <c r="M331" i="11"/>
  <c r="L331" i="11"/>
  <c r="K331" i="11"/>
  <c r="R330" i="11"/>
  <c r="Q330" i="11"/>
  <c r="P330" i="11"/>
  <c r="O330" i="11"/>
  <c r="N330" i="11"/>
  <c r="M330" i="11"/>
  <c r="L330" i="11"/>
  <c r="K330" i="11"/>
  <c r="R329" i="11"/>
  <c r="Q329" i="11"/>
  <c r="P329" i="11"/>
  <c r="O329" i="11"/>
  <c r="N329" i="11"/>
  <c r="M329" i="11"/>
  <c r="L329" i="11"/>
  <c r="K329" i="11"/>
  <c r="R328" i="11"/>
  <c r="Q328" i="11"/>
  <c r="P328" i="11"/>
  <c r="O328" i="11"/>
  <c r="N328" i="11"/>
  <c r="M328" i="11"/>
  <c r="L328" i="11"/>
  <c r="K328" i="11"/>
  <c r="R327" i="11"/>
  <c r="Q327" i="11"/>
  <c r="P327" i="11"/>
  <c r="O327" i="11"/>
  <c r="N327" i="11"/>
  <c r="M327" i="11"/>
  <c r="L327" i="11"/>
  <c r="K327" i="11"/>
  <c r="R326" i="11"/>
  <c r="Q326" i="11"/>
  <c r="P326" i="11"/>
  <c r="O326" i="11"/>
  <c r="N326" i="11"/>
  <c r="M326" i="11"/>
  <c r="L326" i="11"/>
  <c r="K326" i="11"/>
  <c r="R325" i="11"/>
  <c r="Q325" i="11"/>
  <c r="P325" i="11"/>
  <c r="O325" i="11"/>
  <c r="N325" i="11"/>
  <c r="M325" i="11"/>
  <c r="L325" i="11"/>
  <c r="K325" i="11"/>
  <c r="AJ324" i="11"/>
  <c r="R323" i="11"/>
  <c r="Q323" i="11"/>
  <c r="P323" i="11"/>
  <c r="O323" i="11"/>
  <c r="N323" i="11"/>
  <c r="M323" i="11"/>
  <c r="L323" i="11"/>
  <c r="K323" i="11"/>
  <c r="R322" i="11"/>
  <c r="Q322" i="11"/>
  <c r="P322" i="11"/>
  <c r="O322" i="11"/>
  <c r="N322" i="11"/>
  <c r="M322" i="11"/>
  <c r="L322" i="11"/>
  <c r="K322" i="11"/>
  <c r="R321" i="11"/>
  <c r="Q321" i="11"/>
  <c r="P321" i="11"/>
  <c r="O321" i="11"/>
  <c r="N321" i="11"/>
  <c r="M321" i="11"/>
  <c r="L321" i="11"/>
  <c r="K321" i="11"/>
  <c r="R320" i="11"/>
  <c r="Q320" i="11"/>
  <c r="P320" i="11"/>
  <c r="O320" i="11"/>
  <c r="N320" i="11"/>
  <c r="M320" i="11"/>
  <c r="L320" i="11"/>
  <c r="K320" i="11"/>
  <c r="R319" i="11"/>
  <c r="Q319" i="11"/>
  <c r="P319" i="11"/>
  <c r="O319" i="11"/>
  <c r="N319" i="11"/>
  <c r="M319" i="11"/>
  <c r="L319" i="11"/>
  <c r="K319" i="11"/>
  <c r="R318" i="11"/>
  <c r="Q318" i="11"/>
  <c r="P318" i="11"/>
  <c r="O318" i="11"/>
  <c r="N318" i="11"/>
  <c r="M318" i="11"/>
  <c r="L318" i="11"/>
  <c r="K318" i="11"/>
  <c r="R317" i="11"/>
  <c r="Q317" i="11"/>
  <c r="P317" i="11"/>
  <c r="O317" i="11"/>
  <c r="N317" i="11"/>
  <c r="M317" i="11"/>
  <c r="L317" i="11"/>
  <c r="K317" i="11"/>
  <c r="R316" i="11"/>
  <c r="Q316" i="11"/>
  <c r="P316" i="11"/>
  <c r="O316" i="11"/>
  <c r="N316" i="11"/>
  <c r="M316" i="11"/>
  <c r="L316" i="11"/>
  <c r="K316" i="11"/>
  <c r="R315" i="11"/>
  <c r="Q315" i="11"/>
  <c r="P315" i="11"/>
  <c r="O315" i="11"/>
  <c r="N315" i="11"/>
  <c r="M315" i="11"/>
  <c r="L315" i="11"/>
  <c r="K315" i="11"/>
  <c r="R314" i="11"/>
  <c r="Q314" i="11"/>
  <c r="P314" i="11"/>
  <c r="O314" i="11"/>
  <c r="N314" i="11"/>
  <c r="M314" i="11"/>
  <c r="L314" i="11"/>
  <c r="K314" i="11"/>
  <c r="R313" i="11"/>
  <c r="Q313" i="11"/>
  <c r="P313" i="11"/>
  <c r="O313" i="11"/>
  <c r="N313" i="11"/>
  <c r="M313" i="11"/>
  <c r="L313" i="11"/>
  <c r="K313" i="11"/>
  <c r="R312" i="11"/>
  <c r="Q312" i="11"/>
  <c r="P312" i="11"/>
  <c r="O312" i="11"/>
  <c r="N312" i="11"/>
  <c r="M312" i="11"/>
  <c r="L312" i="11"/>
  <c r="K312" i="11"/>
  <c r="R311" i="11"/>
  <c r="Q311" i="11"/>
  <c r="P311" i="11"/>
  <c r="O311" i="11"/>
  <c r="N311" i="11"/>
  <c r="M311" i="11"/>
  <c r="L311" i="11"/>
  <c r="K311" i="11"/>
  <c r="R310" i="11"/>
  <c r="Q310" i="11"/>
  <c r="P310" i="11"/>
  <c r="O310" i="11"/>
  <c r="N310" i="11"/>
  <c r="M310" i="11"/>
  <c r="L310" i="11"/>
  <c r="K310" i="11"/>
  <c r="R309" i="11"/>
  <c r="Q309" i="11"/>
  <c r="P309" i="11"/>
  <c r="O309" i="11"/>
  <c r="N309" i="11"/>
  <c r="M309" i="11"/>
  <c r="L309" i="11"/>
  <c r="K309" i="11"/>
  <c r="R308" i="11"/>
  <c r="Q308" i="11"/>
  <c r="P308" i="11"/>
  <c r="O308" i="11"/>
  <c r="N308" i="11"/>
  <c r="M308" i="11"/>
  <c r="L308" i="11"/>
  <c r="K308" i="11"/>
  <c r="AJ307" i="11"/>
  <c r="R306" i="11"/>
  <c r="Q306" i="11"/>
  <c r="P306" i="11"/>
  <c r="O306" i="11"/>
  <c r="N306" i="11"/>
  <c r="M306" i="11"/>
  <c r="L306" i="11"/>
  <c r="K306" i="11"/>
  <c r="R305" i="11"/>
  <c r="Q305" i="11"/>
  <c r="P305" i="11"/>
  <c r="O305" i="11"/>
  <c r="N305" i="11"/>
  <c r="M305" i="11"/>
  <c r="L305" i="11"/>
  <c r="K305" i="11"/>
  <c r="R304" i="11"/>
  <c r="Q304" i="11"/>
  <c r="P304" i="11"/>
  <c r="O304" i="11"/>
  <c r="N304" i="11"/>
  <c r="M304" i="11"/>
  <c r="L304" i="11"/>
  <c r="K304" i="11"/>
  <c r="R303" i="11"/>
  <c r="Q303" i="11"/>
  <c r="P303" i="11"/>
  <c r="O303" i="11"/>
  <c r="N303" i="11"/>
  <c r="M303" i="11"/>
  <c r="L303" i="11"/>
  <c r="K303" i="11"/>
  <c r="R302" i="11"/>
  <c r="Q302" i="11"/>
  <c r="P302" i="11"/>
  <c r="O302" i="11"/>
  <c r="N302" i="11"/>
  <c r="M302" i="11"/>
  <c r="L302" i="11"/>
  <c r="K302" i="11"/>
  <c r="R301" i="11"/>
  <c r="Q301" i="11"/>
  <c r="P301" i="11"/>
  <c r="O301" i="11"/>
  <c r="N301" i="11"/>
  <c r="M301" i="11"/>
  <c r="L301" i="11"/>
  <c r="K301" i="11"/>
  <c r="R300" i="11"/>
  <c r="Q300" i="11"/>
  <c r="P300" i="11"/>
  <c r="O300" i="11"/>
  <c r="N300" i="11"/>
  <c r="M300" i="11"/>
  <c r="L300" i="11"/>
  <c r="K300" i="11"/>
  <c r="R299" i="11"/>
  <c r="Q299" i="11"/>
  <c r="P299" i="11"/>
  <c r="O299" i="11"/>
  <c r="N299" i="11"/>
  <c r="M299" i="11"/>
  <c r="L299" i="11"/>
  <c r="K299" i="11"/>
  <c r="R298" i="11"/>
  <c r="Q298" i="11"/>
  <c r="P298" i="11"/>
  <c r="O298" i="11"/>
  <c r="N298" i="11"/>
  <c r="M298" i="11"/>
  <c r="L298" i="11"/>
  <c r="K298" i="11"/>
  <c r="R297" i="11"/>
  <c r="Q297" i="11"/>
  <c r="P297" i="11"/>
  <c r="O297" i="11"/>
  <c r="N297" i="11"/>
  <c r="M297" i="11"/>
  <c r="L297" i="11"/>
  <c r="K297" i="11"/>
  <c r="R296" i="11"/>
  <c r="Q296" i="11"/>
  <c r="P296" i="11"/>
  <c r="O296" i="11"/>
  <c r="N296" i="11"/>
  <c r="M296" i="11"/>
  <c r="L296" i="11"/>
  <c r="K296" i="11"/>
  <c r="R295" i="11"/>
  <c r="Q295" i="11"/>
  <c r="P295" i="11"/>
  <c r="O295" i="11"/>
  <c r="N295" i="11"/>
  <c r="M295" i="11"/>
  <c r="L295" i="11"/>
  <c r="K295" i="11"/>
  <c r="R294" i="11"/>
  <c r="Q294" i="11"/>
  <c r="P294" i="11"/>
  <c r="O294" i="11"/>
  <c r="N294" i="11"/>
  <c r="M294" i="11"/>
  <c r="L294" i="11"/>
  <c r="K294" i="11"/>
  <c r="R293" i="11"/>
  <c r="Q293" i="11"/>
  <c r="P293" i="11"/>
  <c r="O293" i="11"/>
  <c r="N293" i="11"/>
  <c r="M293" i="11"/>
  <c r="L293" i="11"/>
  <c r="K293" i="11"/>
  <c r="R292" i="11"/>
  <c r="Q292" i="11"/>
  <c r="P292" i="11"/>
  <c r="O292" i="11"/>
  <c r="N292" i="11"/>
  <c r="M292" i="11"/>
  <c r="L292" i="11"/>
  <c r="K292" i="11"/>
  <c r="R291" i="11"/>
  <c r="Q291" i="11"/>
  <c r="P291" i="11"/>
  <c r="O291" i="11"/>
  <c r="N291" i="11"/>
  <c r="M291" i="11"/>
  <c r="L291" i="11"/>
  <c r="K291" i="11"/>
  <c r="AJ290" i="11"/>
  <c r="R289" i="11"/>
  <c r="Q289" i="11"/>
  <c r="P289" i="11"/>
  <c r="O289" i="11"/>
  <c r="N289" i="11"/>
  <c r="M289" i="11"/>
  <c r="L289" i="11"/>
  <c r="K289" i="11"/>
  <c r="R288" i="11"/>
  <c r="Q288" i="11"/>
  <c r="P288" i="11"/>
  <c r="O288" i="11"/>
  <c r="N288" i="11"/>
  <c r="M288" i="11"/>
  <c r="L288" i="11"/>
  <c r="K288" i="11"/>
  <c r="R287" i="11"/>
  <c r="Q287" i="11"/>
  <c r="P287" i="11"/>
  <c r="O287" i="11"/>
  <c r="N287" i="11"/>
  <c r="M287" i="11"/>
  <c r="L287" i="11"/>
  <c r="K287" i="11"/>
  <c r="R286" i="11"/>
  <c r="Q286" i="11"/>
  <c r="P286" i="11"/>
  <c r="O286" i="11"/>
  <c r="N286" i="11"/>
  <c r="M286" i="11"/>
  <c r="L286" i="11"/>
  <c r="K286" i="11"/>
  <c r="R285" i="11"/>
  <c r="Q285" i="11"/>
  <c r="P285" i="11"/>
  <c r="O285" i="11"/>
  <c r="N285" i="11"/>
  <c r="M285" i="11"/>
  <c r="L285" i="11"/>
  <c r="K285" i="11"/>
  <c r="R284" i="11"/>
  <c r="Q284" i="11"/>
  <c r="P284" i="11"/>
  <c r="O284" i="11"/>
  <c r="N284" i="11"/>
  <c r="M284" i="11"/>
  <c r="L284" i="11"/>
  <c r="K284" i="11"/>
  <c r="R283" i="11"/>
  <c r="Q283" i="11"/>
  <c r="P283" i="11"/>
  <c r="O283" i="11"/>
  <c r="N283" i="11"/>
  <c r="M283" i="11"/>
  <c r="L283" i="11"/>
  <c r="K283" i="11"/>
  <c r="R282" i="11"/>
  <c r="Q282" i="11"/>
  <c r="P282" i="11"/>
  <c r="O282" i="11"/>
  <c r="N282" i="11"/>
  <c r="M282" i="11"/>
  <c r="L282" i="11"/>
  <c r="K282" i="11"/>
  <c r="R281" i="11"/>
  <c r="Q281" i="11"/>
  <c r="P281" i="11"/>
  <c r="O281" i="11"/>
  <c r="N281" i="11"/>
  <c r="M281" i="11"/>
  <c r="L281" i="11"/>
  <c r="K281" i="11"/>
  <c r="R280" i="11"/>
  <c r="Q280" i="11"/>
  <c r="P280" i="11"/>
  <c r="O280" i="11"/>
  <c r="N280" i="11"/>
  <c r="M280" i="11"/>
  <c r="L280" i="11"/>
  <c r="K280" i="11"/>
  <c r="R279" i="11"/>
  <c r="Q279" i="11"/>
  <c r="P279" i="11"/>
  <c r="O279" i="11"/>
  <c r="N279" i="11"/>
  <c r="M279" i="11"/>
  <c r="L279" i="11"/>
  <c r="K279" i="11"/>
  <c r="R278" i="11"/>
  <c r="Q278" i="11"/>
  <c r="P278" i="11"/>
  <c r="O278" i="11"/>
  <c r="N278" i="11"/>
  <c r="M278" i="11"/>
  <c r="L278" i="11"/>
  <c r="K278" i="11"/>
  <c r="R277" i="11"/>
  <c r="Q277" i="11"/>
  <c r="P277" i="11"/>
  <c r="O277" i="11"/>
  <c r="N277" i="11"/>
  <c r="M277" i="11"/>
  <c r="L277" i="11"/>
  <c r="K277" i="11"/>
  <c r="R276" i="11"/>
  <c r="Q276" i="11"/>
  <c r="P276" i="11"/>
  <c r="O276" i="11"/>
  <c r="N276" i="11"/>
  <c r="M276" i="11"/>
  <c r="L276" i="11"/>
  <c r="K276" i="11"/>
  <c r="R275" i="11"/>
  <c r="Q275" i="11"/>
  <c r="P275" i="11"/>
  <c r="O275" i="11"/>
  <c r="N275" i="11"/>
  <c r="M275" i="11"/>
  <c r="L275" i="11"/>
  <c r="K275" i="11"/>
  <c r="R274" i="11"/>
  <c r="Q274" i="11"/>
  <c r="P274" i="11"/>
  <c r="O274" i="11"/>
  <c r="N274" i="11"/>
  <c r="M274" i="11"/>
  <c r="L274" i="11"/>
  <c r="K274" i="11"/>
  <c r="AJ273" i="11"/>
  <c r="AJ494" i="11"/>
  <c r="K495" i="11"/>
  <c r="L495" i="11"/>
  <c r="M495" i="11"/>
  <c r="N495" i="11"/>
  <c r="O495" i="11"/>
  <c r="P495" i="11"/>
  <c r="Q495" i="11"/>
  <c r="R495" i="11"/>
  <c r="R204" i="11"/>
  <c r="Q204" i="11"/>
  <c r="P204" i="11"/>
  <c r="O204" i="11"/>
  <c r="N204" i="11"/>
  <c r="M204" i="11"/>
  <c r="L204" i="11"/>
  <c r="K204" i="11"/>
  <c r="R203" i="11"/>
  <c r="Q203" i="11"/>
  <c r="P203" i="11"/>
  <c r="O203" i="11"/>
  <c r="N203" i="11"/>
  <c r="M203" i="11"/>
  <c r="L203" i="11"/>
  <c r="K203" i="11"/>
  <c r="R202" i="11"/>
  <c r="Q202" i="11"/>
  <c r="P202" i="11"/>
  <c r="O202" i="11"/>
  <c r="N202" i="11"/>
  <c r="M202" i="11"/>
  <c r="L202" i="11"/>
  <c r="K202" i="11"/>
  <c r="R201" i="11"/>
  <c r="Q201" i="11"/>
  <c r="P201" i="11"/>
  <c r="O201" i="11"/>
  <c r="N201" i="11"/>
  <c r="M201" i="11"/>
  <c r="L201" i="11"/>
  <c r="K201" i="11"/>
  <c r="R200" i="11"/>
  <c r="Q200" i="11"/>
  <c r="P200" i="11"/>
  <c r="O200" i="11"/>
  <c r="N200" i="11"/>
  <c r="M200" i="11"/>
  <c r="L200" i="11"/>
  <c r="K200" i="11"/>
  <c r="R199" i="11"/>
  <c r="Q199" i="11"/>
  <c r="P199" i="11"/>
  <c r="O199" i="11"/>
  <c r="N199" i="11"/>
  <c r="M199" i="11"/>
  <c r="L199" i="11"/>
  <c r="K199" i="11"/>
  <c r="R198" i="11"/>
  <c r="Q198" i="11"/>
  <c r="P198" i="11"/>
  <c r="O198" i="11"/>
  <c r="N198" i="11"/>
  <c r="M198" i="11"/>
  <c r="L198" i="11"/>
  <c r="K198" i="11"/>
  <c r="R197" i="11"/>
  <c r="Q197" i="11"/>
  <c r="P197" i="11"/>
  <c r="O197" i="11"/>
  <c r="N197" i="11"/>
  <c r="M197" i="11"/>
  <c r="L197" i="11"/>
  <c r="K197" i="11"/>
  <c r="R196" i="11"/>
  <c r="Q196" i="11"/>
  <c r="P196" i="11"/>
  <c r="O196" i="11"/>
  <c r="N196" i="11"/>
  <c r="M196" i="11"/>
  <c r="L196" i="11"/>
  <c r="K196" i="11"/>
  <c r="R195" i="11"/>
  <c r="Q195" i="11"/>
  <c r="P195" i="11"/>
  <c r="O195" i="11"/>
  <c r="N195" i="11"/>
  <c r="M195" i="11"/>
  <c r="L195" i="11"/>
  <c r="K195" i="11"/>
  <c r="R194" i="11"/>
  <c r="Q194" i="11"/>
  <c r="P194" i="11"/>
  <c r="O194" i="11"/>
  <c r="N194" i="11"/>
  <c r="M194" i="11"/>
  <c r="L194" i="11"/>
  <c r="K194" i="11"/>
  <c r="R193" i="11"/>
  <c r="Q193" i="11"/>
  <c r="P193" i="11"/>
  <c r="O193" i="11"/>
  <c r="N193" i="11"/>
  <c r="M193" i="11"/>
  <c r="L193" i="11"/>
  <c r="K193" i="11"/>
  <c r="R192" i="11"/>
  <c r="Q192" i="11"/>
  <c r="P192" i="11"/>
  <c r="O192" i="11"/>
  <c r="N192" i="11"/>
  <c r="M192" i="11"/>
  <c r="L192" i="11"/>
  <c r="K192" i="11"/>
  <c r="R191" i="11"/>
  <c r="Q191" i="11"/>
  <c r="P191" i="11"/>
  <c r="O191" i="11"/>
  <c r="N191" i="11"/>
  <c r="M191" i="11"/>
  <c r="L191" i="11"/>
  <c r="K191" i="11"/>
  <c r="R190" i="11"/>
  <c r="Q190" i="11"/>
  <c r="P190" i="11"/>
  <c r="O190" i="11"/>
  <c r="N190" i="11"/>
  <c r="M190" i="11"/>
  <c r="L190" i="11"/>
  <c r="K190" i="11"/>
  <c r="R189" i="11"/>
  <c r="Q189" i="11"/>
  <c r="P189" i="11"/>
  <c r="O189" i="11"/>
  <c r="N189" i="11"/>
  <c r="M189" i="11"/>
  <c r="L189" i="11"/>
  <c r="K189" i="11"/>
  <c r="AJ188" i="11"/>
  <c r="R187" i="11"/>
  <c r="Q187" i="11"/>
  <c r="P187" i="11"/>
  <c r="O187" i="11"/>
  <c r="N187" i="11"/>
  <c r="M187" i="11"/>
  <c r="L187" i="11"/>
  <c r="K187" i="11"/>
  <c r="R186" i="11"/>
  <c r="Q186" i="11"/>
  <c r="P186" i="11"/>
  <c r="O186" i="11"/>
  <c r="N186" i="11"/>
  <c r="M186" i="11"/>
  <c r="L186" i="11"/>
  <c r="K186" i="11"/>
  <c r="R185" i="11"/>
  <c r="Q185" i="11"/>
  <c r="P185" i="11"/>
  <c r="O185" i="11"/>
  <c r="N185" i="11"/>
  <c r="M185" i="11"/>
  <c r="L185" i="11"/>
  <c r="K185" i="11"/>
  <c r="R184" i="11"/>
  <c r="Q184" i="11"/>
  <c r="P184" i="11"/>
  <c r="O184" i="11"/>
  <c r="N184" i="11"/>
  <c r="M184" i="11"/>
  <c r="L184" i="11"/>
  <c r="K184" i="11"/>
  <c r="R183" i="11"/>
  <c r="Q183" i="11"/>
  <c r="P183" i="11"/>
  <c r="O183" i="11"/>
  <c r="N183" i="11"/>
  <c r="M183" i="11"/>
  <c r="L183" i="11"/>
  <c r="K183" i="11"/>
  <c r="R182" i="11"/>
  <c r="Q182" i="11"/>
  <c r="P182" i="11"/>
  <c r="O182" i="11"/>
  <c r="N182" i="11"/>
  <c r="M182" i="11"/>
  <c r="L182" i="11"/>
  <c r="K182" i="11"/>
  <c r="R181" i="11"/>
  <c r="Q181" i="11"/>
  <c r="P181" i="11"/>
  <c r="O181" i="11"/>
  <c r="N181" i="11"/>
  <c r="M181" i="11"/>
  <c r="L181" i="11"/>
  <c r="K181" i="11"/>
  <c r="R180" i="11"/>
  <c r="Q180" i="11"/>
  <c r="P180" i="11"/>
  <c r="O180" i="11"/>
  <c r="N180" i="11"/>
  <c r="M180" i="11"/>
  <c r="L180" i="11"/>
  <c r="K180" i="11"/>
  <c r="R179" i="11"/>
  <c r="Q179" i="11"/>
  <c r="P179" i="11"/>
  <c r="O179" i="11"/>
  <c r="N179" i="11"/>
  <c r="M179" i="11"/>
  <c r="L179" i="11"/>
  <c r="K179" i="11"/>
  <c r="R178" i="11"/>
  <c r="Q178" i="11"/>
  <c r="P178" i="11"/>
  <c r="O178" i="11"/>
  <c r="N178" i="11"/>
  <c r="M178" i="11"/>
  <c r="L178" i="11"/>
  <c r="K178" i="11"/>
  <c r="R177" i="11"/>
  <c r="Q177" i="11"/>
  <c r="P177" i="11"/>
  <c r="O177" i="11"/>
  <c r="N177" i="11"/>
  <c r="M177" i="11"/>
  <c r="L177" i="11"/>
  <c r="K177" i="11"/>
  <c r="R176" i="11"/>
  <c r="Q176" i="11"/>
  <c r="P176" i="11"/>
  <c r="O176" i="11"/>
  <c r="N176" i="11"/>
  <c r="M176" i="11"/>
  <c r="L176" i="11"/>
  <c r="K176" i="11"/>
  <c r="R175" i="11"/>
  <c r="Q175" i="11"/>
  <c r="P175" i="11"/>
  <c r="O175" i="11"/>
  <c r="N175" i="11"/>
  <c r="M175" i="11"/>
  <c r="L175" i="11"/>
  <c r="K175" i="11"/>
  <c r="R174" i="11"/>
  <c r="Q174" i="11"/>
  <c r="P174" i="11"/>
  <c r="O174" i="11"/>
  <c r="N174" i="11"/>
  <c r="M174" i="11"/>
  <c r="L174" i="11"/>
  <c r="K174" i="11"/>
  <c r="R173" i="11"/>
  <c r="Q173" i="11"/>
  <c r="P173" i="11"/>
  <c r="O173" i="11"/>
  <c r="N173" i="11"/>
  <c r="M173" i="11"/>
  <c r="L173" i="11"/>
  <c r="K173" i="11"/>
  <c r="R172" i="11"/>
  <c r="Q172" i="11"/>
  <c r="P172" i="11"/>
  <c r="O172" i="11"/>
  <c r="N172" i="11"/>
  <c r="M172" i="11"/>
  <c r="L172" i="11"/>
  <c r="K172" i="11"/>
  <c r="AJ171" i="11"/>
  <c r="R170" i="11"/>
  <c r="Q170" i="11"/>
  <c r="P170" i="11"/>
  <c r="O170" i="11"/>
  <c r="N170" i="11"/>
  <c r="M170" i="11"/>
  <c r="L170" i="11"/>
  <c r="K170" i="11"/>
  <c r="R169" i="11"/>
  <c r="Q169" i="11"/>
  <c r="P169" i="11"/>
  <c r="O169" i="11"/>
  <c r="N169" i="11"/>
  <c r="M169" i="11"/>
  <c r="L169" i="11"/>
  <c r="K169" i="11"/>
  <c r="R168" i="11"/>
  <c r="Q168" i="11"/>
  <c r="P168" i="11"/>
  <c r="O168" i="11"/>
  <c r="N168" i="11"/>
  <c r="M168" i="11"/>
  <c r="L168" i="11"/>
  <c r="K168" i="11"/>
  <c r="R167" i="11"/>
  <c r="Q167" i="11"/>
  <c r="P167" i="11"/>
  <c r="O167" i="11"/>
  <c r="N167" i="11"/>
  <c r="M167" i="11"/>
  <c r="L167" i="11"/>
  <c r="K167" i="11"/>
  <c r="R166" i="11"/>
  <c r="Q166" i="11"/>
  <c r="P166" i="11"/>
  <c r="O166" i="11"/>
  <c r="N166" i="11"/>
  <c r="M166" i="11"/>
  <c r="L166" i="11"/>
  <c r="K166" i="11"/>
  <c r="R165" i="11"/>
  <c r="Q165" i="11"/>
  <c r="P165" i="11"/>
  <c r="O165" i="11"/>
  <c r="N165" i="11"/>
  <c r="M165" i="11"/>
  <c r="L165" i="11"/>
  <c r="K165" i="11"/>
  <c r="R164" i="11"/>
  <c r="Q164" i="11"/>
  <c r="P164" i="11"/>
  <c r="O164" i="11"/>
  <c r="N164" i="11"/>
  <c r="M164" i="11"/>
  <c r="L164" i="11"/>
  <c r="K164" i="11"/>
  <c r="R163" i="11"/>
  <c r="Q163" i="11"/>
  <c r="P163" i="11"/>
  <c r="O163" i="11"/>
  <c r="N163" i="11"/>
  <c r="M163" i="11"/>
  <c r="L163" i="11"/>
  <c r="K163" i="11"/>
  <c r="R162" i="11"/>
  <c r="Q162" i="11"/>
  <c r="P162" i="11"/>
  <c r="O162" i="11"/>
  <c r="N162" i="11"/>
  <c r="M162" i="11"/>
  <c r="L162" i="11"/>
  <c r="K162" i="11"/>
  <c r="R161" i="11"/>
  <c r="Q161" i="11"/>
  <c r="P161" i="11"/>
  <c r="O161" i="11"/>
  <c r="N161" i="11"/>
  <c r="M161" i="11"/>
  <c r="L161" i="11"/>
  <c r="K161" i="11"/>
  <c r="R160" i="11"/>
  <c r="Q160" i="11"/>
  <c r="P160" i="11"/>
  <c r="O160" i="11"/>
  <c r="N160" i="11"/>
  <c r="M160" i="11"/>
  <c r="L160" i="11"/>
  <c r="K160" i="11"/>
  <c r="R159" i="11"/>
  <c r="Q159" i="11"/>
  <c r="P159" i="11"/>
  <c r="O159" i="11"/>
  <c r="N159" i="11"/>
  <c r="M159" i="11"/>
  <c r="L159" i="11"/>
  <c r="K159" i="11"/>
  <c r="R158" i="11"/>
  <c r="Q158" i="11"/>
  <c r="P158" i="11"/>
  <c r="O158" i="11"/>
  <c r="N158" i="11"/>
  <c r="M158" i="11"/>
  <c r="L158" i="11"/>
  <c r="K158" i="11"/>
  <c r="R157" i="11"/>
  <c r="Q157" i="11"/>
  <c r="P157" i="11"/>
  <c r="O157" i="11"/>
  <c r="N157" i="11"/>
  <c r="M157" i="11"/>
  <c r="L157" i="11"/>
  <c r="K157" i="11"/>
  <c r="R156" i="11"/>
  <c r="Q156" i="11"/>
  <c r="P156" i="11"/>
  <c r="O156" i="11"/>
  <c r="N156" i="11"/>
  <c r="M156" i="11"/>
  <c r="L156" i="11"/>
  <c r="K156" i="11"/>
  <c r="R155" i="11"/>
  <c r="Q155" i="11"/>
  <c r="P155" i="11"/>
  <c r="O155" i="11"/>
  <c r="N155" i="11"/>
  <c r="M155" i="11"/>
  <c r="L155" i="11"/>
  <c r="K155" i="11"/>
  <c r="AJ154" i="11"/>
  <c r="R153" i="11"/>
  <c r="Q153" i="11"/>
  <c r="P153" i="11"/>
  <c r="O153" i="11"/>
  <c r="N153" i="11"/>
  <c r="M153" i="11"/>
  <c r="L153" i="11"/>
  <c r="K153" i="11"/>
  <c r="R152" i="11"/>
  <c r="Q152" i="11"/>
  <c r="P152" i="11"/>
  <c r="O152" i="11"/>
  <c r="N152" i="11"/>
  <c r="M152" i="11"/>
  <c r="L152" i="11"/>
  <c r="K152" i="11"/>
  <c r="R151" i="11"/>
  <c r="Q151" i="11"/>
  <c r="P151" i="11"/>
  <c r="O151" i="11"/>
  <c r="N151" i="11"/>
  <c r="M151" i="11"/>
  <c r="L151" i="11"/>
  <c r="K151" i="11"/>
  <c r="R150" i="11"/>
  <c r="Q150" i="11"/>
  <c r="P150" i="11"/>
  <c r="O150" i="11"/>
  <c r="N150" i="11"/>
  <c r="M150" i="11"/>
  <c r="L150" i="11"/>
  <c r="K150" i="11"/>
  <c r="R149" i="11"/>
  <c r="Q149" i="11"/>
  <c r="P149" i="11"/>
  <c r="O149" i="11"/>
  <c r="N149" i="11"/>
  <c r="M149" i="11"/>
  <c r="L149" i="11"/>
  <c r="K149" i="11"/>
  <c r="R148" i="11"/>
  <c r="Q148" i="11"/>
  <c r="P148" i="11"/>
  <c r="O148" i="11"/>
  <c r="N148" i="11"/>
  <c r="M148" i="11"/>
  <c r="L148" i="11"/>
  <c r="K148" i="11"/>
  <c r="R147" i="11"/>
  <c r="Q147" i="11"/>
  <c r="P147" i="11"/>
  <c r="O147" i="11"/>
  <c r="N147" i="11"/>
  <c r="M147" i="11"/>
  <c r="L147" i="11"/>
  <c r="K147" i="11"/>
  <c r="R146" i="11"/>
  <c r="Q146" i="11"/>
  <c r="P146" i="11"/>
  <c r="O146" i="11"/>
  <c r="N146" i="11"/>
  <c r="M146" i="11"/>
  <c r="L146" i="11"/>
  <c r="K146" i="11"/>
  <c r="R145" i="11"/>
  <c r="Q145" i="11"/>
  <c r="P145" i="11"/>
  <c r="O145" i="11"/>
  <c r="N145" i="11"/>
  <c r="M145" i="11"/>
  <c r="L145" i="11"/>
  <c r="K145" i="11"/>
  <c r="R144" i="11"/>
  <c r="Q144" i="11"/>
  <c r="P144" i="11"/>
  <c r="O144" i="11"/>
  <c r="N144" i="11"/>
  <c r="M144" i="11"/>
  <c r="L144" i="11"/>
  <c r="K144" i="11"/>
  <c r="R143" i="11"/>
  <c r="Q143" i="11"/>
  <c r="P143" i="11"/>
  <c r="O143" i="11"/>
  <c r="N143" i="11"/>
  <c r="M143" i="11"/>
  <c r="L143" i="11"/>
  <c r="K143" i="11"/>
  <c r="R142" i="11"/>
  <c r="Q142" i="11"/>
  <c r="P142" i="11"/>
  <c r="O142" i="11"/>
  <c r="N142" i="11"/>
  <c r="M142" i="11"/>
  <c r="L142" i="11"/>
  <c r="K142" i="11"/>
  <c r="R141" i="11"/>
  <c r="Q141" i="11"/>
  <c r="P141" i="11"/>
  <c r="O141" i="11"/>
  <c r="N141" i="11"/>
  <c r="M141" i="11"/>
  <c r="L141" i="11"/>
  <c r="K141" i="11"/>
  <c r="R140" i="11"/>
  <c r="Q140" i="11"/>
  <c r="P140" i="11"/>
  <c r="O140" i="11"/>
  <c r="N140" i="11"/>
  <c r="M140" i="11"/>
  <c r="L140" i="11"/>
  <c r="K140" i="11"/>
  <c r="R139" i="11"/>
  <c r="Q139" i="11"/>
  <c r="P139" i="11"/>
  <c r="O139" i="11"/>
  <c r="N139" i="11"/>
  <c r="M139" i="11"/>
  <c r="L139" i="11"/>
  <c r="K139" i="11"/>
  <c r="R138" i="11"/>
  <c r="Q138" i="11"/>
  <c r="P138" i="11"/>
  <c r="O138" i="11"/>
  <c r="N138" i="11"/>
  <c r="M138" i="11"/>
  <c r="L138" i="11"/>
  <c r="K138" i="11"/>
  <c r="AJ137" i="11"/>
  <c r="R136" i="11"/>
  <c r="Q136" i="11"/>
  <c r="P136" i="11"/>
  <c r="O136" i="11"/>
  <c r="N136" i="11"/>
  <c r="M136" i="11"/>
  <c r="L136" i="11"/>
  <c r="K136" i="11"/>
  <c r="R135" i="11"/>
  <c r="Q135" i="11"/>
  <c r="P135" i="11"/>
  <c r="O135" i="11"/>
  <c r="N135" i="11"/>
  <c r="M135" i="11"/>
  <c r="L135" i="11"/>
  <c r="K135" i="11"/>
  <c r="R134" i="11"/>
  <c r="Q134" i="11"/>
  <c r="P134" i="11"/>
  <c r="O134" i="11"/>
  <c r="N134" i="11"/>
  <c r="M134" i="11"/>
  <c r="L134" i="11"/>
  <c r="K134" i="11"/>
  <c r="R133" i="11"/>
  <c r="Q133" i="11"/>
  <c r="P133" i="11"/>
  <c r="O133" i="11"/>
  <c r="N133" i="11"/>
  <c r="M133" i="11"/>
  <c r="L133" i="11"/>
  <c r="K133" i="11"/>
  <c r="R132" i="11"/>
  <c r="Q132" i="11"/>
  <c r="P132" i="11"/>
  <c r="O132" i="11"/>
  <c r="N132" i="11"/>
  <c r="M132" i="11"/>
  <c r="L132" i="11"/>
  <c r="K132" i="11"/>
  <c r="R131" i="11"/>
  <c r="Q131" i="11"/>
  <c r="P131" i="11"/>
  <c r="O131" i="11"/>
  <c r="N131" i="11"/>
  <c r="M131" i="11"/>
  <c r="L131" i="11"/>
  <c r="K131" i="11"/>
  <c r="R130" i="11"/>
  <c r="Q130" i="11"/>
  <c r="P130" i="11"/>
  <c r="O130" i="11"/>
  <c r="N130" i="11"/>
  <c r="M130" i="11"/>
  <c r="L130" i="11"/>
  <c r="K130" i="11"/>
  <c r="R129" i="11"/>
  <c r="Q129" i="11"/>
  <c r="P129" i="11"/>
  <c r="O129" i="11"/>
  <c r="N129" i="11"/>
  <c r="M129" i="11"/>
  <c r="L129" i="11"/>
  <c r="K129" i="11"/>
  <c r="R128" i="11"/>
  <c r="Q128" i="11"/>
  <c r="P128" i="11"/>
  <c r="O128" i="11"/>
  <c r="N128" i="11"/>
  <c r="M128" i="11"/>
  <c r="L128" i="11"/>
  <c r="K128" i="11"/>
  <c r="R127" i="11"/>
  <c r="Q127" i="11"/>
  <c r="P127" i="11"/>
  <c r="O127" i="11"/>
  <c r="N127" i="11"/>
  <c r="M127" i="11"/>
  <c r="L127" i="11"/>
  <c r="K127" i="11"/>
  <c r="R126" i="11"/>
  <c r="Q126" i="11"/>
  <c r="P126" i="11"/>
  <c r="O126" i="11"/>
  <c r="N126" i="11"/>
  <c r="M126" i="11"/>
  <c r="L126" i="11"/>
  <c r="K126" i="11"/>
  <c r="R125" i="11"/>
  <c r="Q125" i="11"/>
  <c r="P125" i="11"/>
  <c r="O125" i="11"/>
  <c r="N125" i="11"/>
  <c r="M125" i="11"/>
  <c r="L125" i="11"/>
  <c r="K125" i="11"/>
  <c r="R124" i="11"/>
  <c r="Q124" i="11"/>
  <c r="P124" i="11"/>
  <c r="O124" i="11"/>
  <c r="N124" i="11"/>
  <c r="M124" i="11"/>
  <c r="L124" i="11"/>
  <c r="K124" i="11"/>
  <c r="R123" i="11"/>
  <c r="Q123" i="11"/>
  <c r="P123" i="11"/>
  <c r="O123" i="11"/>
  <c r="N123" i="11"/>
  <c r="M123" i="11"/>
  <c r="L123" i="11"/>
  <c r="K123" i="11"/>
  <c r="R122" i="11"/>
  <c r="Q122" i="11"/>
  <c r="P122" i="11"/>
  <c r="O122" i="11"/>
  <c r="N122" i="11"/>
  <c r="M122" i="11"/>
  <c r="L122" i="11"/>
  <c r="K122" i="11"/>
  <c r="R121" i="11"/>
  <c r="Q121" i="11"/>
  <c r="P121" i="11"/>
  <c r="O121" i="11"/>
  <c r="N121" i="11"/>
  <c r="M121" i="11"/>
  <c r="L121" i="11"/>
  <c r="K121" i="11"/>
  <c r="AJ120" i="11"/>
  <c r="T205" i="11"/>
  <c r="AJ205" i="11"/>
  <c r="K206" i="11"/>
  <c r="L206" i="11"/>
  <c r="M206" i="11"/>
  <c r="N206" i="11"/>
  <c r="O206" i="11"/>
  <c r="P206" i="11"/>
  <c r="Q206" i="11"/>
  <c r="R206" i="11"/>
  <c r="K207" i="11"/>
  <c r="L207" i="11"/>
  <c r="M207" i="11"/>
  <c r="N207" i="11"/>
  <c r="O207" i="11"/>
  <c r="P207" i="11"/>
  <c r="Q207" i="11"/>
  <c r="R207" i="11"/>
  <c r="K208" i="11"/>
  <c r="L208" i="11"/>
  <c r="M208" i="11"/>
  <c r="N208" i="11"/>
  <c r="O208" i="11"/>
  <c r="P208" i="11"/>
  <c r="Q208" i="11"/>
  <c r="R208" i="11"/>
  <c r="K209" i="11"/>
  <c r="L209" i="11"/>
  <c r="M209" i="11"/>
  <c r="N209" i="11"/>
  <c r="O209" i="11"/>
  <c r="P209" i="11"/>
  <c r="Q209" i="11"/>
  <c r="R209" i="11"/>
  <c r="K210" i="11"/>
  <c r="L210" i="11"/>
  <c r="M210" i="11"/>
  <c r="N210" i="11"/>
  <c r="O210" i="11"/>
  <c r="P210" i="11"/>
  <c r="Q210" i="11"/>
  <c r="R210" i="11"/>
  <c r="K211" i="11"/>
  <c r="L211" i="11"/>
  <c r="M211" i="11"/>
  <c r="N211" i="11"/>
  <c r="O211" i="11"/>
  <c r="P211" i="11"/>
  <c r="Q211" i="11"/>
  <c r="R211" i="11"/>
  <c r="K212" i="11"/>
  <c r="L212" i="11"/>
  <c r="M212" i="11"/>
  <c r="N212" i="11"/>
  <c r="O212" i="11"/>
  <c r="P212" i="11"/>
  <c r="Q212" i="11"/>
  <c r="R212" i="11"/>
  <c r="R119" i="11"/>
  <c r="Q119" i="11"/>
  <c r="P119" i="11"/>
  <c r="O119" i="11"/>
  <c r="N119" i="11"/>
  <c r="M119" i="11"/>
  <c r="L119" i="11"/>
  <c r="K119" i="11"/>
  <c r="R118" i="11"/>
  <c r="Q118" i="11"/>
  <c r="P118" i="11"/>
  <c r="O118" i="11"/>
  <c r="N118" i="11"/>
  <c r="M118" i="11"/>
  <c r="L118" i="11"/>
  <c r="K118" i="11"/>
  <c r="R117" i="11"/>
  <c r="Q117" i="11"/>
  <c r="P117" i="11"/>
  <c r="O117" i="11"/>
  <c r="N117" i="11"/>
  <c r="M117" i="11"/>
  <c r="L117" i="11"/>
  <c r="K117" i="11"/>
  <c r="R116" i="11"/>
  <c r="Q116" i="11"/>
  <c r="P116" i="11"/>
  <c r="O116" i="11"/>
  <c r="N116" i="11"/>
  <c r="M116" i="11"/>
  <c r="L116" i="11"/>
  <c r="K116" i="11"/>
  <c r="R115" i="11"/>
  <c r="Q115" i="11"/>
  <c r="P115" i="11"/>
  <c r="O115" i="11"/>
  <c r="N115" i="11"/>
  <c r="M115" i="11"/>
  <c r="L115" i="11"/>
  <c r="K115" i="11"/>
  <c r="R114" i="11"/>
  <c r="Q114" i="11"/>
  <c r="P114" i="11"/>
  <c r="O114" i="11"/>
  <c r="N114" i="11"/>
  <c r="M114" i="11"/>
  <c r="L114" i="11"/>
  <c r="K114" i="11"/>
  <c r="R113" i="11"/>
  <c r="Q113" i="11"/>
  <c r="P113" i="11"/>
  <c r="O113" i="11"/>
  <c r="N113" i="11"/>
  <c r="M113" i="11"/>
  <c r="L113" i="11"/>
  <c r="K113" i="11"/>
  <c r="R112" i="11"/>
  <c r="Q112" i="11"/>
  <c r="P112" i="11"/>
  <c r="O112" i="11"/>
  <c r="N112" i="11"/>
  <c r="M112" i="11"/>
  <c r="L112" i="11"/>
  <c r="K112" i="11"/>
  <c r="R111" i="11"/>
  <c r="Q111" i="11"/>
  <c r="P111" i="11"/>
  <c r="O111" i="11"/>
  <c r="N111" i="11"/>
  <c r="M111" i="11"/>
  <c r="L111" i="11"/>
  <c r="K111" i="11"/>
  <c r="R110" i="11"/>
  <c r="Q110" i="11"/>
  <c r="P110" i="11"/>
  <c r="O110" i="11"/>
  <c r="N110" i="11"/>
  <c r="M110" i="11"/>
  <c r="L110" i="11"/>
  <c r="K110" i="11"/>
  <c r="R109" i="11"/>
  <c r="Q109" i="11"/>
  <c r="P109" i="11"/>
  <c r="O109" i="11"/>
  <c r="N109" i="11"/>
  <c r="M109" i="11"/>
  <c r="L109" i="11"/>
  <c r="K109" i="11"/>
  <c r="R108" i="11"/>
  <c r="Q108" i="11"/>
  <c r="P108" i="11"/>
  <c r="O108" i="11"/>
  <c r="N108" i="11"/>
  <c r="M108" i="11"/>
  <c r="L108" i="11"/>
  <c r="K108" i="11"/>
  <c r="R107" i="11"/>
  <c r="Q107" i="11"/>
  <c r="P107" i="11"/>
  <c r="O107" i="11"/>
  <c r="N107" i="11"/>
  <c r="M107" i="11"/>
  <c r="L107" i="11"/>
  <c r="K107" i="11"/>
  <c r="R106" i="11"/>
  <c r="Q106" i="11"/>
  <c r="P106" i="11"/>
  <c r="O106" i="11"/>
  <c r="N106" i="11"/>
  <c r="M106" i="11"/>
  <c r="L106" i="11"/>
  <c r="K106" i="11"/>
  <c r="R105" i="11"/>
  <c r="Q105" i="11"/>
  <c r="P105" i="11"/>
  <c r="O105" i="11"/>
  <c r="N105" i="11"/>
  <c r="M105" i="11"/>
  <c r="L105" i="11"/>
  <c r="K105" i="11"/>
  <c r="R104" i="11"/>
  <c r="Q104" i="11"/>
  <c r="P104" i="11"/>
  <c r="O104" i="11"/>
  <c r="N104" i="11"/>
  <c r="M104" i="11"/>
  <c r="L104" i="11"/>
  <c r="K104" i="11"/>
  <c r="AJ103" i="11"/>
  <c r="R102" i="11"/>
  <c r="Q102" i="11"/>
  <c r="P102" i="11"/>
  <c r="O102" i="11"/>
  <c r="N102" i="11"/>
  <c r="M102" i="11"/>
  <c r="L102" i="11"/>
  <c r="K102" i="11"/>
  <c r="R101" i="11"/>
  <c r="Q101" i="11"/>
  <c r="P101" i="11"/>
  <c r="O101" i="11"/>
  <c r="N101" i="11"/>
  <c r="M101" i="11"/>
  <c r="L101" i="11"/>
  <c r="K101" i="11"/>
  <c r="R100" i="11"/>
  <c r="Q100" i="11"/>
  <c r="P100" i="11"/>
  <c r="O100" i="11"/>
  <c r="N100" i="11"/>
  <c r="M100" i="11"/>
  <c r="L100" i="11"/>
  <c r="K100" i="11"/>
  <c r="R99" i="11"/>
  <c r="Q99" i="11"/>
  <c r="P99" i="11"/>
  <c r="O99" i="11"/>
  <c r="N99" i="11"/>
  <c r="M99" i="11"/>
  <c r="L99" i="11"/>
  <c r="K99" i="11"/>
  <c r="R98" i="11"/>
  <c r="Q98" i="11"/>
  <c r="P98" i="11"/>
  <c r="O98" i="11"/>
  <c r="N98" i="11"/>
  <c r="M98" i="11"/>
  <c r="L98" i="11"/>
  <c r="K98" i="11"/>
  <c r="R97" i="11"/>
  <c r="Q97" i="11"/>
  <c r="P97" i="11"/>
  <c r="O97" i="11"/>
  <c r="N97" i="11"/>
  <c r="M97" i="11"/>
  <c r="L97" i="11"/>
  <c r="K97" i="11"/>
  <c r="R96" i="11"/>
  <c r="Q96" i="11"/>
  <c r="P96" i="11"/>
  <c r="O96" i="11"/>
  <c r="N96" i="11"/>
  <c r="M96" i="11"/>
  <c r="L96" i="11"/>
  <c r="K96" i="11"/>
  <c r="R95" i="11"/>
  <c r="Q95" i="11"/>
  <c r="P95" i="11"/>
  <c r="O95" i="11"/>
  <c r="N95" i="11"/>
  <c r="M95" i="11"/>
  <c r="L95" i="11"/>
  <c r="K95" i="11"/>
  <c r="R94" i="11"/>
  <c r="Q94" i="11"/>
  <c r="P94" i="11"/>
  <c r="O94" i="11"/>
  <c r="N94" i="11"/>
  <c r="M94" i="11"/>
  <c r="L94" i="11"/>
  <c r="K94" i="11"/>
  <c r="R93" i="11"/>
  <c r="Q93" i="11"/>
  <c r="P93" i="11"/>
  <c r="O93" i="11"/>
  <c r="N93" i="11"/>
  <c r="M93" i="11"/>
  <c r="L93" i="11"/>
  <c r="K93" i="11"/>
  <c r="R92" i="11"/>
  <c r="Q92" i="11"/>
  <c r="P92" i="11"/>
  <c r="O92" i="11"/>
  <c r="N92" i="11"/>
  <c r="M92" i="11"/>
  <c r="L92" i="11"/>
  <c r="K92" i="11"/>
  <c r="R91" i="11"/>
  <c r="Q91" i="11"/>
  <c r="P91" i="11"/>
  <c r="O91" i="11"/>
  <c r="N91" i="11"/>
  <c r="M91" i="11"/>
  <c r="L91" i="11"/>
  <c r="K91" i="11"/>
  <c r="R90" i="11"/>
  <c r="Q90" i="11"/>
  <c r="P90" i="11"/>
  <c r="O90" i="11"/>
  <c r="N90" i="11"/>
  <c r="M90" i="11"/>
  <c r="L90" i="11"/>
  <c r="K90" i="11"/>
  <c r="R89" i="11"/>
  <c r="Q89" i="11"/>
  <c r="P89" i="11"/>
  <c r="O89" i="11"/>
  <c r="N89" i="11"/>
  <c r="M89" i="11"/>
  <c r="L89" i="11"/>
  <c r="K89" i="11"/>
  <c r="R88" i="11"/>
  <c r="Q88" i="11"/>
  <c r="P88" i="11"/>
  <c r="O88" i="11"/>
  <c r="N88" i="11"/>
  <c r="M88" i="11"/>
  <c r="L88" i="11"/>
  <c r="K88" i="11"/>
  <c r="R87" i="11"/>
  <c r="Q87" i="11"/>
  <c r="P87" i="11"/>
  <c r="O87" i="11"/>
  <c r="N87" i="11"/>
  <c r="M87" i="11"/>
  <c r="L87" i="11"/>
  <c r="K87" i="11"/>
  <c r="AJ86" i="11"/>
  <c r="R68" i="11"/>
  <c r="Q68" i="11"/>
  <c r="P68" i="11"/>
  <c r="O68" i="11"/>
  <c r="N68" i="11"/>
  <c r="M68" i="11"/>
  <c r="L68" i="11"/>
  <c r="K68" i="11"/>
  <c r="R67" i="11"/>
  <c r="Q67" i="11"/>
  <c r="P67" i="11"/>
  <c r="O67" i="11"/>
  <c r="N67" i="11"/>
  <c r="M67" i="11"/>
  <c r="L67" i="11"/>
  <c r="K67" i="11"/>
  <c r="R66" i="11"/>
  <c r="Q66" i="11"/>
  <c r="P66" i="11"/>
  <c r="O66" i="11"/>
  <c r="N66" i="11"/>
  <c r="M66" i="11"/>
  <c r="L66" i="11"/>
  <c r="K66" i="11"/>
  <c r="R65" i="11"/>
  <c r="Q65" i="11"/>
  <c r="P65" i="11"/>
  <c r="O65" i="11"/>
  <c r="N65" i="11"/>
  <c r="M65" i="11"/>
  <c r="L65" i="11"/>
  <c r="K65" i="11"/>
  <c r="R64" i="11"/>
  <c r="Q64" i="11"/>
  <c r="P64" i="11"/>
  <c r="O64" i="11"/>
  <c r="N64" i="11"/>
  <c r="M64" i="11"/>
  <c r="L64" i="11"/>
  <c r="K64" i="11"/>
  <c r="R63" i="11"/>
  <c r="Q63" i="11"/>
  <c r="P63" i="11"/>
  <c r="O63" i="11"/>
  <c r="N63" i="11"/>
  <c r="M63" i="11"/>
  <c r="L63" i="11"/>
  <c r="K63" i="11"/>
  <c r="R62" i="11"/>
  <c r="Q62" i="11"/>
  <c r="P62" i="11"/>
  <c r="O62" i="11"/>
  <c r="N62" i="11"/>
  <c r="M62" i="11"/>
  <c r="L62" i="11"/>
  <c r="K62" i="11"/>
  <c r="R61" i="11"/>
  <c r="Q61" i="11"/>
  <c r="P61" i="11"/>
  <c r="O61" i="11"/>
  <c r="N61" i="11"/>
  <c r="M61" i="11"/>
  <c r="L61" i="11"/>
  <c r="K61" i="11"/>
  <c r="R60" i="11"/>
  <c r="Q60" i="11"/>
  <c r="P60" i="11"/>
  <c r="O60" i="11"/>
  <c r="N60" i="11"/>
  <c r="M60" i="11"/>
  <c r="L60" i="11"/>
  <c r="K60" i="11"/>
  <c r="R59" i="11"/>
  <c r="Q59" i="11"/>
  <c r="P59" i="11"/>
  <c r="O59" i="11"/>
  <c r="N59" i="11"/>
  <c r="M59" i="11"/>
  <c r="L59" i="11"/>
  <c r="K59" i="11"/>
  <c r="R58" i="11"/>
  <c r="Q58" i="11"/>
  <c r="P58" i="11"/>
  <c r="O58" i="11"/>
  <c r="N58" i="11"/>
  <c r="M58" i="11"/>
  <c r="L58" i="11"/>
  <c r="K58" i="11"/>
  <c r="R57" i="11"/>
  <c r="Q57" i="11"/>
  <c r="P57" i="11"/>
  <c r="O57" i="11"/>
  <c r="N57" i="11"/>
  <c r="M57" i="11"/>
  <c r="L57" i="11"/>
  <c r="K57" i="11"/>
  <c r="R56" i="11"/>
  <c r="Q56" i="11"/>
  <c r="P56" i="11"/>
  <c r="O56" i="11"/>
  <c r="N56" i="11"/>
  <c r="M56" i="11"/>
  <c r="L56" i="11"/>
  <c r="K56" i="11"/>
  <c r="R55" i="11"/>
  <c r="Q55" i="11"/>
  <c r="P55" i="11"/>
  <c r="O55" i="11"/>
  <c r="N55" i="11"/>
  <c r="M55" i="11"/>
  <c r="L55" i="11"/>
  <c r="K55" i="11"/>
  <c r="R54" i="11"/>
  <c r="Q54" i="11"/>
  <c r="P54" i="11"/>
  <c r="O54" i="11"/>
  <c r="N54" i="11"/>
  <c r="M54" i="11"/>
  <c r="L54" i="11"/>
  <c r="K54" i="11"/>
  <c r="R53" i="11"/>
  <c r="Q53" i="11"/>
  <c r="P53" i="11"/>
  <c r="O53" i="11"/>
  <c r="N53" i="11"/>
  <c r="M53" i="11"/>
  <c r="L53" i="11"/>
  <c r="K53" i="11"/>
  <c r="R34" i="11"/>
  <c r="Q34" i="11"/>
  <c r="P34" i="11"/>
  <c r="O34" i="11"/>
  <c r="N34" i="11"/>
  <c r="M34" i="11"/>
  <c r="L34" i="11"/>
  <c r="K34" i="11"/>
  <c r="R33" i="11"/>
  <c r="Q33" i="11"/>
  <c r="P33" i="11"/>
  <c r="O33" i="11"/>
  <c r="N33" i="11"/>
  <c r="M33" i="11"/>
  <c r="L33" i="11"/>
  <c r="K33" i="11"/>
  <c r="R32" i="11"/>
  <c r="Q32" i="11"/>
  <c r="P32" i="11"/>
  <c r="O32" i="11"/>
  <c r="N32" i="11"/>
  <c r="M32" i="11"/>
  <c r="L32" i="11"/>
  <c r="K32" i="11"/>
  <c r="R31" i="11"/>
  <c r="Q31" i="11"/>
  <c r="P31" i="11"/>
  <c r="O31" i="11"/>
  <c r="N31" i="11"/>
  <c r="M31" i="11"/>
  <c r="L31" i="11"/>
  <c r="K31" i="11"/>
  <c r="R30" i="11"/>
  <c r="Q30" i="11"/>
  <c r="P30" i="11"/>
  <c r="O30" i="11"/>
  <c r="N30" i="11"/>
  <c r="M30" i="11"/>
  <c r="L30" i="11"/>
  <c r="K30" i="11"/>
  <c r="R29" i="11"/>
  <c r="Q29" i="11"/>
  <c r="P29" i="11"/>
  <c r="O29" i="11"/>
  <c r="N29" i="11"/>
  <c r="M29" i="11"/>
  <c r="L29" i="11"/>
  <c r="K29" i="11"/>
  <c r="R28" i="11"/>
  <c r="Q28" i="11"/>
  <c r="P28" i="11"/>
  <c r="O28" i="11"/>
  <c r="N28" i="11"/>
  <c r="M28" i="11"/>
  <c r="L28" i="11"/>
  <c r="K28" i="11"/>
  <c r="R27" i="11"/>
  <c r="Q27" i="11"/>
  <c r="P27" i="11"/>
  <c r="O27" i="11"/>
  <c r="N27" i="11"/>
  <c r="M27" i="11"/>
  <c r="L27" i="11"/>
  <c r="K27" i="11"/>
  <c r="R26" i="11"/>
  <c r="Q26" i="11"/>
  <c r="P26" i="11"/>
  <c r="O26" i="11"/>
  <c r="N26" i="11"/>
  <c r="M26" i="11"/>
  <c r="L26" i="11"/>
  <c r="K26" i="11"/>
  <c r="R25" i="11"/>
  <c r="Q25" i="11"/>
  <c r="P25" i="11"/>
  <c r="O25" i="11"/>
  <c r="N25" i="11"/>
  <c r="M25" i="11"/>
  <c r="L25" i="11"/>
  <c r="K25" i="11"/>
  <c r="R24" i="11"/>
  <c r="Q24" i="11"/>
  <c r="P24" i="11"/>
  <c r="O24" i="11"/>
  <c r="N24" i="11"/>
  <c r="M24" i="11"/>
  <c r="L24" i="11"/>
  <c r="K24" i="11"/>
  <c r="R23" i="11"/>
  <c r="Q23" i="11"/>
  <c r="P23" i="11"/>
  <c r="O23" i="11"/>
  <c r="N23" i="11"/>
  <c r="M23" i="11"/>
  <c r="L23" i="11"/>
  <c r="K23" i="11"/>
  <c r="R22" i="11"/>
  <c r="Q22" i="11"/>
  <c r="P22" i="11"/>
  <c r="O22" i="11"/>
  <c r="N22" i="11"/>
  <c r="M22" i="11"/>
  <c r="L22" i="11"/>
  <c r="K22" i="11"/>
  <c r="R21" i="11"/>
  <c r="Q21" i="11"/>
  <c r="P21" i="11"/>
  <c r="O21" i="11"/>
  <c r="N21" i="11"/>
  <c r="M21" i="11"/>
  <c r="L21" i="11"/>
  <c r="K21" i="11"/>
  <c r="R20" i="11"/>
  <c r="Q20" i="11"/>
  <c r="P20" i="11"/>
  <c r="O20" i="11"/>
  <c r="N20" i="11"/>
  <c r="M20" i="11"/>
  <c r="L20" i="11"/>
  <c r="K20" i="11"/>
  <c r="R19" i="11"/>
  <c r="Q19" i="11"/>
  <c r="P19" i="11"/>
  <c r="O19" i="11"/>
  <c r="N19" i="11"/>
  <c r="M19" i="11"/>
  <c r="L19" i="11"/>
  <c r="K19" i="11"/>
  <c r="AJ18" i="11"/>
  <c r="R17" i="11"/>
  <c r="Q17" i="11"/>
  <c r="P17" i="11"/>
  <c r="O17" i="11"/>
  <c r="N17" i="11"/>
  <c r="M17" i="11"/>
  <c r="L17" i="11"/>
  <c r="K17" i="11"/>
  <c r="R16" i="11"/>
  <c r="Q16" i="11"/>
  <c r="P16" i="11"/>
  <c r="O16" i="11"/>
  <c r="N16" i="11"/>
  <c r="M16" i="11"/>
  <c r="L16" i="11"/>
  <c r="K16" i="11"/>
  <c r="R15" i="11"/>
  <c r="Q15" i="11"/>
  <c r="P15" i="11"/>
  <c r="O15" i="11"/>
  <c r="N15" i="11"/>
  <c r="M15" i="11"/>
  <c r="L15" i="11"/>
  <c r="K15" i="11"/>
  <c r="R14" i="11"/>
  <c r="Q14" i="11"/>
  <c r="P14" i="11"/>
  <c r="O14" i="11"/>
  <c r="N14" i="11"/>
  <c r="M14" i="11"/>
  <c r="L14" i="11"/>
  <c r="K14" i="11"/>
  <c r="R13" i="11"/>
  <c r="Q13" i="11"/>
  <c r="P13" i="11"/>
  <c r="O13" i="11"/>
  <c r="N13" i="11"/>
  <c r="M13" i="11"/>
  <c r="L13" i="11"/>
  <c r="K13" i="11"/>
  <c r="R12" i="11"/>
  <c r="Q12" i="11"/>
  <c r="P12" i="11"/>
  <c r="O12" i="11"/>
  <c r="N12" i="11"/>
  <c r="M12" i="11"/>
  <c r="L12" i="11"/>
  <c r="K12" i="11"/>
  <c r="R11" i="11"/>
  <c r="Q11" i="11"/>
  <c r="P11" i="11"/>
  <c r="O11" i="11"/>
  <c r="N11" i="11"/>
  <c r="M11" i="11"/>
  <c r="L11" i="11"/>
  <c r="K11" i="11"/>
  <c r="R10" i="11"/>
  <c r="Q10" i="11"/>
  <c r="P10" i="11"/>
  <c r="O10" i="11"/>
  <c r="N10" i="11"/>
  <c r="M10" i="11"/>
  <c r="L10" i="11"/>
  <c r="K10" i="11"/>
  <c r="R9" i="11"/>
  <c r="Q9" i="11"/>
  <c r="P9" i="11"/>
  <c r="O9" i="11"/>
  <c r="N9" i="11"/>
  <c r="M9" i="11"/>
  <c r="L9" i="11"/>
  <c r="K9" i="11"/>
  <c r="R8" i="11"/>
  <c r="Q8" i="11"/>
  <c r="P8" i="11"/>
  <c r="O8" i="11"/>
  <c r="N8" i="11"/>
  <c r="M8" i="11"/>
  <c r="L8" i="11"/>
  <c r="K8" i="11"/>
  <c r="R7" i="11"/>
  <c r="Q7" i="11"/>
  <c r="P7" i="11"/>
  <c r="O7" i="11"/>
  <c r="N7" i="11"/>
  <c r="M7" i="11"/>
  <c r="L7" i="11"/>
  <c r="K7" i="11"/>
  <c r="R6" i="11"/>
  <c r="Q6" i="11"/>
  <c r="P6" i="11"/>
  <c r="O6" i="11"/>
  <c r="N6" i="11"/>
  <c r="M6" i="11"/>
  <c r="L6" i="11"/>
  <c r="K6" i="11"/>
  <c r="R5" i="11"/>
  <c r="Q5" i="11"/>
  <c r="P5" i="11"/>
  <c r="O5" i="11"/>
  <c r="N5" i="11"/>
  <c r="M5" i="11"/>
  <c r="L5" i="11"/>
  <c r="K5" i="11"/>
  <c r="R4" i="11"/>
  <c r="Q4" i="11"/>
  <c r="P4" i="11"/>
  <c r="O4" i="11"/>
  <c r="N4" i="11"/>
  <c r="M4" i="11"/>
  <c r="L4" i="11"/>
  <c r="K4" i="11"/>
  <c r="R3" i="11"/>
  <c r="Q3" i="11"/>
  <c r="P3" i="11"/>
  <c r="O3" i="11"/>
  <c r="N3" i="11"/>
  <c r="M3" i="11"/>
  <c r="L3" i="11"/>
  <c r="K3" i="11"/>
  <c r="R2" i="11"/>
  <c r="Q2" i="11"/>
  <c r="P2" i="11"/>
  <c r="O2" i="11"/>
  <c r="N2" i="11"/>
  <c r="M2" i="11"/>
  <c r="L2" i="11"/>
  <c r="K2" i="11"/>
  <c r="AJ1" i="11"/>
  <c r="R867" i="11"/>
  <c r="Q867" i="11"/>
  <c r="P867" i="11"/>
  <c r="O867" i="11"/>
  <c r="N867" i="11"/>
  <c r="M867" i="11"/>
  <c r="L867" i="11"/>
  <c r="K867" i="11"/>
  <c r="R866" i="11"/>
  <c r="Q866" i="11"/>
  <c r="P866" i="11"/>
  <c r="O866" i="11"/>
  <c r="N866" i="11"/>
  <c r="M866" i="11"/>
  <c r="L866" i="11"/>
  <c r="K866" i="11"/>
  <c r="R865" i="11"/>
  <c r="Q865" i="11"/>
  <c r="P865" i="11"/>
  <c r="O865" i="11"/>
  <c r="N865" i="11"/>
  <c r="M865" i="11"/>
  <c r="L865" i="11"/>
  <c r="K865" i="11"/>
  <c r="R864" i="11"/>
  <c r="Q864" i="11"/>
  <c r="P864" i="11"/>
  <c r="O864" i="11"/>
  <c r="N864" i="11"/>
  <c r="M864" i="11"/>
  <c r="L864" i="11"/>
  <c r="K864" i="11"/>
  <c r="R863" i="11"/>
  <c r="Q863" i="11"/>
  <c r="P863" i="11"/>
  <c r="O863" i="11"/>
  <c r="N863" i="11"/>
  <c r="M863" i="11"/>
  <c r="L863" i="11"/>
  <c r="K863" i="11"/>
  <c r="R862" i="11"/>
  <c r="Q862" i="11"/>
  <c r="P862" i="11"/>
  <c r="O862" i="11"/>
  <c r="N862" i="11"/>
  <c r="M862" i="11"/>
  <c r="L862" i="11"/>
  <c r="K862" i="11"/>
  <c r="R861" i="11"/>
  <c r="Q861" i="11"/>
  <c r="P861" i="11"/>
  <c r="O861" i="11"/>
  <c r="N861" i="11"/>
  <c r="M861" i="11"/>
  <c r="L861" i="11"/>
  <c r="K861" i="11"/>
  <c r="R860" i="11"/>
  <c r="Q860" i="11"/>
  <c r="P860" i="11"/>
  <c r="O860" i="11"/>
  <c r="N860" i="11"/>
  <c r="M860" i="11"/>
  <c r="L860" i="11"/>
  <c r="K860" i="11"/>
  <c r="R859" i="11"/>
  <c r="Q859" i="11"/>
  <c r="P859" i="11"/>
  <c r="O859" i="11"/>
  <c r="N859" i="11"/>
  <c r="M859" i="11"/>
  <c r="L859" i="11"/>
  <c r="K859" i="11"/>
  <c r="R858" i="11"/>
  <c r="Q858" i="11"/>
  <c r="P858" i="11"/>
  <c r="O858" i="11"/>
  <c r="N858" i="11"/>
  <c r="M858" i="11"/>
  <c r="L858" i="11"/>
  <c r="K858" i="11"/>
  <c r="R857" i="11"/>
  <c r="Q857" i="11"/>
  <c r="P857" i="11"/>
  <c r="O857" i="11"/>
  <c r="N857" i="11"/>
  <c r="M857" i="11"/>
  <c r="L857" i="11"/>
  <c r="K857" i="11"/>
  <c r="R856" i="11"/>
  <c r="Q856" i="11"/>
  <c r="P856" i="11"/>
  <c r="O856" i="11"/>
  <c r="N856" i="11"/>
  <c r="M856" i="11"/>
  <c r="L856" i="11"/>
  <c r="K856" i="11"/>
  <c r="R855" i="11"/>
  <c r="Q855" i="11"/>
  <c r="P855" i="11"/>
  <c r="O855" i="11"/>
  <c r="N855" i="11"/>
  <c r="M855" i="11"/>
  <c r="L855" i="11"/>
  <c r="K855" i="11"/>
  <c r="R854" i="11"/>
  <c r="Q854" i="11"/>
  <c r="P854" i="11"/>
  <c r="O854" i="11"/>
  <c r="N854" i="11"/>
  <c r="M854" i="11"/>
  <c r="L854" i="11"/>
  <c r="K854" i="11"/>
  <c r="R853" i="11"/>
  <c r="Q853" i="11"/>
  <c r="P853" i="11"/>
  <c r="O853" i="11"/>
  <c r="N853" i="11"/>
  <c r="M853" i="11"/>
  <c r="L853" i="11"/>
  <c r="K853" i="11"/>
  <c r="R852" i="11"/>
  <c r="Q852" i="11"/>
  <c r="P852" i="11"/>
  <c r="O852" i="11"/>
  <c r="N852" i="11"/>
  <c r="M852" i="11"/>
  <c r="L852" i="11"/>
  <c r="K852" i="11"/>
  <c r="R850" i="11"/>
  <c r="Q850" i="11"/>
  <c r="P850" i="11"/>
  <c r="O850" i="11"/>
  <c r="N850" i="11"/>
  <c r="M850" i="11"/>
  <c r="L850" i="11"/>
  <c r="K850" i="11"/>
  <c r="R849" i="11"/>
  <c r="Q849" i="11"/>
  <c r="P849" i="11"/>
  <c r="O849" i="11"/>
  <c r="N849" i="11"/>
  <c r="M849" i="11"/>
  <c r="L849" i="11"/>
  <c r="K849" i="11"/>
  <c r="R848" i="11"/>
  <c r="Q848" i="11"/>
  <c r="P848" i="11"/>
  <c r="O848" i="11"/>
  <c r="N848" i="11"/>
  <c r="M848" i="11"/>
  <c r="L848" i="11"/>
  <c r="K848" i="11"/>
  <c r="R847" i="11"/>
  <c r="Q847" i="11"/>
  <c r="P847" i="11"/>
  <c r="O847" i="11"/>
  <c r="N847" i="11"/>
  <c r="M847" i="11"/>
  <c r="L847" i="11"/>
  <c r="K847" i="11"/>
  <c r="R846" i="11"/>
  <c r="Q846" i="11"/>
  <c r="P846" i="11"/>
  <c r="O846" i="11"/>
  <c r="N846" i="11"/>
  <c r="M846" i="11"/>
  <c r="L846" i="11"/>
  <c r="K846" i="11"/>
  <c r="R845" i="11"/>
  <c r="Q845" i="11"/>
  <c r="P845" i="11"/>
  <c r="O845" i="11"/>
  <c r="N845" i="11"/>
  <c r="M845" i="11"/>
  <c r="L845" i="11"/>
  <c r="K845" i="11"/>
  <c r="R844" i="11"/>
  <c r="Q844" i="11"/>
  <c r="P844" i="11"/>
  <c r="O844" i="11"/>
  <c r="N844" i="11"/>
  <c r="M844" i="11"/>
  <c r="L844" i="11"/>
  <c r="K844" i="11"/>
  <c r="R843" i="11"/>
  <c r="Q843" i="11"/>
  <c r="P843" i="11"/>
  <c r="O843" i="11"/>
  <c r="N843" i="11"/>
  <c r="M843" i="11"/>
  <c r="L843" i="11"/>
  <c r="K843" i="11"/>
  <c r="R842" i="11"/>
  <c r="Q842" i="11"/>
  <c r="P842" i="11"/>
  <c r="O842" i="11"/>
  <c r="N842" i="11"/>
  <c r="M842" i="11"/>
  <c r="L842" i="11"/>
  <c r="K842" i="11"/>
  <c r="R841" i="11"/>
  <c r="Q841" i="11"/>
  <c r="P841" i="11"/>
  <c r="O841" i="11"/>
  <c r="N841" i="11"/>
  <c r="M841" i="11"/>
  <c r="L841" i="11"/>
  <c r="K841" i="11"/>
  <c r="R840" i="11"/>
  <c r="Q840" i="11"/>
  <c r="P840" i="11"/>
  <c r="O840" i="11"/>
  <c r="N840" i="11"/>
  <c r="M840" i="11"/>
  <c r="L840" i="11"/>
  <c r="K840" i="11"/>
  <c r="R839" i="11"/>
  <c r="Q839" i="11"/>
  <c r="P839" i="11"/>
  <c r="O839" i="11"/>
  <c r="N839" i="11"/>
  <c r="M839" i="11"/>
  <c r="L839" i="11"/>
  <c r="K839" i="11"/>
  <c r="R838" i="11"/>
  <c r="Q838" i="11"/>
  <c r="P838" i="11"/>
  <c r="O838" i="11"/>
  <c r="N838" i="11"/>
  <c r="M838" i="11"/>
  <c r="L838" i="11"/>
  <c r="K838" i="11"/>
  <c r="R837" i="11"/>
  <c r="Q837" i="11"/>
  <c r="P837" i="11"/>
  <c r="O837" i="11"/>
  <c r="N837" i="11"/>
  <c r="M837" i="11"/>
  <c r="L837" i="11"/>
  <c r="K837" i="11"/>
  <c r="R836" i="11"/>
  <c r="Q836" i="11"/>
  <c r="P836" i="11"/>
  <c r="O836" i="11"/>
  <c r="N836" i="11"/>
  <c r="M836" i="11"/>
  <c r="L836" i="11"/>
  <c r="K836" i="11"/>
  <c r="R835" i="11"/>
  <c r="Q835" i="11"/>
  <c r="P835" i="11"/>
  <c r="O835" i="11"/>
  <c r="N835" i="11"/>
  <c r="M835" i="11"/>
  <c r="L835" i="11"/>
  <c r="K835" i="11"/>
  <c r="R833" i="11"/>
  <c r="Q833" i="11"/>
  <c r="P833" i="11"/>
  <c r="O833" i="11"/>
  <c r="N833" i="11"/>
  <c r="M833" i="11"/>
  <c r="L833" i="11"/>
  <c r="K833" i="11"/>
  <c r="R832" i="11"/>
  <c r="Q832" i="11"/>
  <c r="P832" i="11"/>
  <c r="O832" i="11"/>
  <c r="N832" i="11"/>
  <c r="M832" i="11"/>
  <c r="L832" i="11"/>
  <c r="K832" i="11"/>
  <c r="R831" i="11"/>
  <c r="Q831" i="11"/>
  <c r="P831" i="11"/>
  <c r="O831" i="11"/>
  <c r="N831" i="11"/>
  <c r="M831" i="11"/>
  <c r="L831" i="11"/>
  <c r="K831" i="11"/>
  <c r="R830" i="11"/>
  <c r="Q830" i="11"/>
  <c r="P830" i="11"/>
  <c r="O830" i="11"/>
  <c r="N830" i="11"/>
  <c r="M830" i="11"/>
  <c r="L830" i="11"/>
  <c r="K830" i="11"/>
  <c r="R829" i="11"/>
  <c r="Q829" i="11"/>
  <c r="P829" i="11"/>
  <c r="O829" i="11"/>
  <c r="N829" i="11"/>
  <c r="M829" i="11"/>
  <c r="L829" i="11"/>
  <c r="K829" i="11"/>
  <c r="R828" i="11"/>
  <c r="Q828" i="11"/>
  <c r="P828" i="11"/>
  <c r="O828" i="11"/>
  <c r="N828" i="11"/>
  <c r="M828" i="11"/>
  <c r="L828" i="11"/>
  <c r="K828" i="11"/>
  <c r="R827" i="11"/>
  <c r="Q827" i="11"/>
  <c r="P827" i="11"/>
  <c r="O827" i="11"/>
  <c r="N827" i="11"/>
  <c r="M827" i="11"/>
  <c r="L827" i="11"/>
  <c r="K827" i="11"/>
  <c r="R826" i="11"/>
  <c r="Q826" i="11"/>
  <c r="P826" i="11"/>
  <c r="O826" i="11"/>
  <c r="N826" i="11"/>
  <c r="M826" i="11"/>
  <c r="L826" i="11"/>
  <c r="K826" i="11"/>
  <c r="R825" i="11"/>
  <c r="Q825" i="11"/>
  <c r="P825" i="11"/>
  <c r="O825" i="11"/>
  <c r="N825" i="11"/>
  <c r="M825" i="11"/>
  <c r="L825" i="11"/>
  <c r="K825" i="11"/>
  <c r="R824" i="11"/>
  <c r="Q824" i="11"/>
  <c r="P824" i="11"/>
  <c r="O824" i="11"/>
  <c r="N824" i="11"/>
  <c r="M824" i="11"/>
  <c r="L824" i="11"/>
  <c r="K824" i="11"/>
  <c r="R823" i="11"/>
  <c r="Q823" i="11"/>
  <c r="P823" i="11"/>
  <c r="O823" i="11"/>
  <c r="N823" i="11"/>
  <c r="M823" i="11"/>
  <c r="L823" i="11"/>
  <c r="K823" i="11"/>
  <c r="R822" i="11"/>
  <c r="Q822" i="11"/>
  <c r="P822" i="11"/>
  <c r="O822" i="11"/>
  <c r="N822" i="11"/>
  <c r="M822" i="11"/>
  <c r="L822" i="11"/>
  <c r="K822" i="11"/>
  <c r="R821" i="11"/>
  <c r="Q821" i="11"/>
  <c r="P821" i="11"/>
  <c r="O821" i="11"/>
  <c r="N821" i="11"/>
  <c r="M821" i="11"/>
  <c r="L821" i="11"/>
  <c r="K821" i="11"/>
  <c r="R820" i="11"/>
  <c r="Q820" i="11"/>
  <c r="P820" i="11"/>
  <c r="O820" i="11"/>
  <c r="N820" i="11"/>
  <c r="M820" i="11"/>
  <c r="L820" i="11"/>
  <c r="K820" i="11"/>
  <c r="R819" i="11"/>
  <c r="Q819" i="11"/>
  <c r="P819" i="11"/>
  <c r="O819" i="11"/>
  <c r="N819" i="11"/>
  <c r="M819" i="11"/>
  <c r="L819" i="11"/>
  <c r="K819" i="11"/>
  <c r="R818" i="11"/>
  <c r="Q818" i="11"/>
  <c r="P818" i="11"/>
  <c r="O818" i="11"/>
  <c r="N818" i="11"/>
  <c r="M818" i="11"/>
  <c r="L818" i="11"/>
  <c r="K818" i="11"/>
  <c r="R816" i="11"/>
  <c r="Q816" i="11"/>
  <c r="P816" i="11"/>
  <c r="O816" i="11"/>
  <c r="N816" i="11"/>
  <c r="M816" i="11"/>
  <c r="L816" i="11"/>
  <c r="K816" i="11"/>
  <c r="R815" i="11"/>
  <c r="Q815" i="11"/>
  <c r="P815" i="11"/>
  <c r="O815" i="11"/>
  <c r="N815" i="11"/>
  <c r="M815" i="11"/>
  <c r="L815" i="11"/>
  <c r="K815" i="11"/>
  <c r="R814" i="11"/>
  <c r="Q814" i="11"/>
  <c r="P814" i="11"/>
  <c r="O814" i="11"/>
  <c r="N814" i="11"/>
  <c r="M814" i="11"/>
  <c r="L814" i="11"/>
  <c r="K814" i="11"/>
  <c r="R813" i="11"/>
  <c r="Q813" i="11"/>
  <c r="P813" i="11"/>
  <c r="O813" i="11"/>
  <c r="N813" i="11"/>
  <c r="M813" i="11"/>
  <c r="L813" i="11"/>
  <c r="K813" i="11"/>
  <c r="R812" i="11"/>
  <c r="Q812" i="11"/>
  <c r="P812" i="11"/>
  <c r="O812" i="11"/>
  <c r="N812" i="11"/>
  <c r="M812" i="11"/>
  <c r="L812" i="11"/>
  <c r="K812" i="11"/>
  <c r="R811" i="11"/>
  <c r="Q811" i="11"/>
  <c r="P811" i="11"/>
  <c r="O811" i="11"/>
  <c r="N811" i="11"/>
  <c r="M811" i="11"/>
  <c r="L811" i="11"/>
  <c r="K811" i="11"/>
  <c r="R810" i="11"/>
  <c r="Q810" i="11"/>
  <c r="P810" i="11"/>
  <c r="O810" i="11"/>
  <c r="N810" i="11"/>
  <c r="M810" i="11"/>
  <c r="L810" i="11"/>
  <c r="K810" i="11"/>
  <c r="R809" i="11"/>
  <c r="Q809" i="11"/>
  <c r="P809" i="11"/>
  <c r="O809" i="11"/>
  <c r="N809" i="11"/>
  <c r="M809" i="11"/>
  <c r="L809" i="11"/>
  <c r="K809" i="11"/>
  <c r="R808" i="11"/>
  <c r="Q808" i="11"/>
  <c r="P808" i="11"/>
  <c r="O808" i="11"/>
  <c r="N808" i="11"/>
  <c r="M808" i="11"/>
  <c r="L808" i="11"/>
  <c r="K808" i="11"/>
  <c r="R807" i="11"/>
  <c r="Q807" i="11"/>
  <c r="P807" i="11"/>
  <c r="O807" i="11"/>
  <c r="N807" i="11"/>
  <c r="M807" i="11"/>
  <c r="L807" i="11"/>
  <c r="K807" i="11"/>
  <c r="R806" i="11"/>
  <c r="Q806" i="11"/>
  <c r="P806" i="11"/>
  <c r="O806" i="11"/>
  <c r="N806" i="11"/>
  <c r="M806" i="11"/>
  <c r="L806" i="11"/>
  <c r="K806" i="11"/>
  <c r="R805" i="11"/>
  <c r="Q805" i="11"/>
  <c r="P805" i="11"/>
  <c r="O805" i="11"/>
  <c r="N805" i="11"/>
  <c r="M805" i="11"/>
  <c r="L805" i="11"/>
  <c r="K805" i="11"/>
  <c r="R804" i="11"/>
  <c r="Q804" i="11"/>
  <c r="P804" i="11"/>
  <c r="O804" i="11"/>
  <c r="N804" i="11"/>
  <c r="M804" i="11"/>
  <c r="L804" i="11"/>
  <c r="K804" i="11"/>
  <c r="R803" i="11"/>
  <c r="Q803" i="11"/>
  <c r="P803" i="11"/>
  <c r="O803" i="11"/>
  <c r="N803" i="11"/>
  <c r="M803" i="11"/>
  <c r="L803" i="11"/>
  <c r="K803" i="11"/>
  <c r="R802" i="11"/>
  <c r="Q802" i="11"/>
  <c r="P802" i="11"/>
  <c r="O802" i="11"/>
  <c r="N802" i="11"/>
  <c r="M802" i="11"/>
  <c r="L802" i="11"/>
  <c r="K802" i="11"/>
  <c r="R801" i="11"/>
  <c r="Q801" i="11"/>
  <c r="P801" i="11"/>
  <c r="O801" i="11"/>
  <c r="N801" i="11"/>
  <c r="M801" i="11"/>
  <c r="L801" i="11"/>
  <c r="K801" i="11"/>
  <c r="R799" i="11"/>
  <c r="Q799" i="11"/>
  <c r="P799" i="11"/>
  <c r="O799" i="11"/>
  <c r="N799" i="11"/>
  <c r="M799" i="11"/>
  <c r="L799" i="11"/>
  <c r="K799" i="11"/>
  <c r="R798" i="11"/>
  <c r="Q798" i="11"/>
  <c r="P798" i="11"/>
  <c r="O798" i="11"/>
  <c r="N798" i="11"/>
  <c r="M798" i="11"/>
  <c r="L798" i="11"/>
  <c r="K798" i="11"/>
  <c r="R797" i="11"/>
  <c r="Q797" i="11"/>
  <c r="P797" i="11"/>
  <c r="O797" i="11"/>
  <c r="N797" i="11"/>
  <c r="M797" i="11"/>
  <c r="L797" i="11"/>
  <c r="K797" i="11"/>
  <c r="R796" i="11"/>
  <c r="Q796" i="11"/>
  <c r="P796" i="11"/>
  <c r="O796" i="11"/>
  <c r="N796" i="11"/>
  <c r="M796" i="11"/>
  <c r="L796" i="11"/>
  <c r="K796" i="11"/>
  <c r="R795" i="11"/>
  <c r="Q795" i="11"/>
  <c r="P795" i="11"/>
  <c r="O795" i="11"/>
  <c r="N795" i="11"/>
  <c r="M795" i="11"/>
  <c r="L795" i="11"/>
  <c r="K795" i="11"/>
  <c r="R794" i="11"/>
  <c r="Q794" i="11"/>
  <c r="P794" i="11"/>
  <c r="O794" i="11"/>
  <c r="N794" i="11"/>
  <c r="M794" i="11"/>
  <c r="L794" i="11"/>
  <c r="K794" i="11"/>
  <c r="R793" i="11"/>
  <c r="Q793" i="11"/>
  <c r="P793" i="11"/>
  <c r="O793" i="11"/>
  <c r="N793" i="11"/>
  <c r="M793" i="11"/>
  <c r="L793" i="11"/>
  <c r="K793" i="11"/>
  <c r="R792" i="11"/>
  <c r="Q792" i="11"/>
  <c r="P792" i="11"/>
  <c r="O792" i="11"/>
  <c r="N792" i="11"/>
  <c r="M792" i="11"/>
  <c r="L792" i="11"/>
  <c r="K792" i="11"/>
  <c r="R791" i="11"/>
  <c r="Q791" i="11"/>
  <c r="P791" i="11"/>
  <c r="O791" i="11"/>
  <c r="N791" i="11"/>
  <c r="M791" i="11"/>
  <c r="L791" i="11"/>
  <c r="K791" i="11"/>
  <c r="R790" i="11"/>
  <c r="Q790" i="11"/>
  <c r="P790" i="11"/>
  <c r="O790" i="11"/>
  <c r="N790" i="11"/>
  <c r="M790" i="11"/>
  <c r="L790" i="11"/>
  <c r="K790" i="11"/>
  <c r="R789" i="11"/>
  <c r="Q789" i="11"/>
  <c r="P789" i="11"/>
  <c r="O789" i="11"/>
  <c r="N789" i="11"/>
  <c r="M789" i="11"/>
  <c r="L789" i="11"/>
  <c r="K789" i="11"/>
  <c r="R788" i="11"/>
  <c r="Q788" i="11"/>
  <c r="P788" i="11"/>
  <c r="O788" i="11"/>
  <c r="N788" i="11"/>
  <c r="M788" i="11"/>
  <c r="L788" i="11"/>
  <c r="K788" i="11"/>
  <c r="R787" i="11"/>
  <c r="Q787" i="11"/>
  <c r="P787" i="11"/>
  <c r="O787" i="11"/>
  <c r="N787" i="11"/>
  <c r="M787" i="11"/>
  <c r="L787" i="11"/>
  <c r="K787" i="11"/>
  <c r="R786" i="11"/>
  <c r="Q786" i="11"/>
  <c r="P786" i="11"/>
  <c r="O786" i="11"/>
  <c r="N786" i="11"/>
  <c r="M786" i="11"/>
  <c r="L786" i="11"/>
  <c r="K786" i="11"/>
  <c r="R785" i="11"/>
  <c r="Q785" i="11"/>
  <c r="P785" i="11"/>
  <c r="O785" i="11"/>
  <c r="N785" i="11"/>
  <c r="M785" i="11"/>
  <c r="L785" i="11"/>
  <c r="K785" i="11"/>
  <c r="R784" i="11"/>
  <c r="Q784" i="11"/>
  <c r="P784" i="11"/>
  <c r="O784" i="11"/>
  <c r="N784" i="11"/>
  <c r="M784" i="11"/>
  <c r="L784" i="11"/>
  <c r="K784" i="11"/>
  <c r="R782" i="11"/>
  <c r="Q782" i="11"/>
  <c r="P782" i="11"/>
  <c r="O782" i="11"/>
  <c r="N782" i="11"/>
  <c r="M782" i="11"/>
  <c r="L782" i="11"/>
  <c r="K782" i="11"/>
  <c r="R781" i="11"/>
  <c r="Q781" i="11"/>
  <c r="P781" i="11"/>
  <c r="O781" i="11"/>
  <c r="N781" i="11"/>
  <c r="M781" i="11"/>
  <c r="L781" i="11"/>
  <c r="K781" i="11"/>
  <c r="R780" i="11"/>
  <c r="Q780" i="11"/>
  <c r="P780" i="11"/>
  <c r="O780" i="11"/>
  <c r="N780" i="11"/>
  <c r="M780" i="11"/>
  <c r="L780" i="11"/>
  <c r="K780" i="11"/>
  <c r="R779" i="11"/>
  <c r="Q779" i="11"/>
  <c r="P779" i="11"/>
  <c r="O779" i="11"/>
  <c r="N779" i="11"/>
  <c r="M779" i="11"/>
  <c r="L779" i="11"/>
  <c r="K779" i="11"/>
  <c r="R778" i="11"/>
  <c r="Q778" i="11"/>
  <c r="P778" i="11"/>
  <c r="O778" i="11"/>
  <c r="N778" i="11"/>
  <c r="M778" i="11"/>
  <c r="L778" i="11"/>
  <c r="K778" i="11"/>
  <c r="R777" i="11"/>
  <c r="Q777" i="11"/>
  <c r="P777" i="11"/>
  <c r="O777" i="11"/>
  <c r="N777" i="11"/>
  <c r="M777" i="11"/>
  <c r="L777" i="11"/>
  <c r="K777" i="11"/>
  <c r="R776" i="11"/>
  <c r="Q776" i="11"/>
  <c r="P776" i="11"/>
  <c r="O776" i="11"/>
  <c r="N776" i="11"/>
  <c r="M776" i="11"/>
  <c r="L776" i="11"/>
  <c r="K776" i="11"/>
  <c r="R775" i="11"/>
  <c r="Q775" i="11"/>
  <c r="P775" i="11"/>
  <c r="O775" i="11"/>
  <c r="N775" i="11"/>
  <c r="M775" i="11"/>
  <c r="L775" i="11"/>
  <c r="K775" i="11"/>
  <c r="R774" i="11"/>
  <c r="Q774" i="11"/>
  <c r="P774" i="11"/>
  <c r="O774" i="11"/>
  <c r="N774" i="11"/>
  <c r="M774" i="11"/>
  <c r="L774" i="11"/>
  <c r="K774" i="11"/>
  <c r="R773" i="11"/>
  <c r="Q773" i="11"/>
  <c r="P773" i="11"/>
  <c r="O773" i="11"/>
  <c r="N773" i="11"/>
  <c r="M773" i="11"/>
  <c r="L773" i="11"/>
  <c r="K773" i="11"/>
  <c r="R772" i="11"/>
  <c r="Q772" i="11"/>
  <c r="P772" i="11"/>
  <c r="O772" i="11"/>
  <c r="N772" i="11"/>
  <c r="M772" i="11"/>
  <c r="L772" i="11"/>
  <c r="K772" i="11"/>
  <c r="R771" i="11"/>
  <c r="Q771" i="11"/>
  <c r="P771" i="11"/>
  <c r="O771" i="11"/>
  <c r="N771" i="11"/>
  <c r="M771" i="11"/>
  <c r="L771" i="11"/>
  <c r="K771" i="11"/>
  <c r="R770" i="11"/>
  <c r="Q770" i="11"/>
  <c r="P770" i="11"/>
  <c r="O770" i="11"/>
  <c r="N770" i="11"/>
  <c r="M770" i="11"/>
  <c r="L770" i="11"/>
  <c r="K770" i="11"/>
  <c r="R769" i="11"/>
  <c r="Q769" i="11"/>
  <c r="P769" i="11"/>
  <c r="O769" i="11"/>
  <c r="N769" i="11"/>
  <c r="M769" i="11"/>
  <c r="L769" i="11"/>
  <c r="K769" i="11"/>
  <c r="R768" i="11"/>
  <c r="Q768" i="11"/>
  <c r="P768" i="11"/>
  <c r="O768" i="11"/>
  <c r="N768" i="11"/>
  <c r="M768" i="11"/>
  <c r="L768" i="11"/>
  <c r="K768" i="11"/>
  <c r="R767" i="11"/>
  <c r="Q767" i="11"/>
  <c r="P767" i="11"/>
  <c r="O767" i="11"/>
  <c r="N767" i="11"/>
  <c r="M767" i="11"/>
  <c r="L767" i="11"/>
  <c r="K767" i="11"/>
  <c r="R765" i="11"/>
  <c r="Q765" i="11"/>
  <c r="P765" i="11"/>
  <c r="O765" i="11"/>
  <c r="N765" i="11"/>
  <c r="M765" i="11"/>
  <c r="L765" i="11"/>
  <c r="K765" i="11"/>
  <c r="R764" i="11"/>
  <c r="Q764" i="11"/>
  <c r="P764" i="11"/>
  <c r="O764" i="11"/>
  <c r="N764" i="11"/>
  <c r="M764" i="11"/>
  <c r="L764" i="11"/>
  <c r="K764" i="11"/>
  <c r="R763" i="11"/>
  <c r="Q763" i="11"/>
  <c r="P763" i="11"/>
  <c r="O763" i="11"/>
  <c r="N763" i="11"/>
  <c r="M763" i="11"/>
  <c r="L763" i="11"/>
  <c r="K763" i="11"/>
  <c r="R762" i="11"/>
  <c r="Q762" i="11"/>
  <c r="P762" i="11"/>
  <c r="O762" i="11"/>
  <c r="N762" i="11"/>
  <c r="M762" i="11"/>
  <c r="L762" i="11"/>
  <c r="K762" i="11"/>
  <c r="R761" i="11"/>
  <c r="Q761" i="11"/>
  <c r="P761" i="11"/>
  <c r="O761" i="11"/>
  <c r="N761" i="11"/>
  <c r="M761" i="11"/>
  <c r="L761" i="11"/>
  <c r="K761" i="11"/>
  <c r="R760" i="11"/>
  <c r="Q760" i="11"/>
  <c r="P760" i="11"/>
  <c r="O760" i="11"/>
  <c r="N760" i="11"/>
  <c r="M760" i="11"/>
  <c r="L760" i="11"/>
  <c r="K760" i="11"/>
  <c r="R759" i="11"/>
  <c r="Q759" i="11"/>
  <c r="P759" i="11"/>
  <c r="O759" i="11"/>
  <c r="N759" i="11"/>
  <c r="M759" i="11"/>
  <c r="L759" i="11"/>
  <c r="K759" i="11"/>
  <c r="R758" i="11"/>
  <c r="Q758" i="11"/>
  <c r="P758" i="11"/>
  <c r="O758" i="11"/>
  <c r="N758" i="11"/>
  <c r="M758" i="11"/>
  <c r="L758" i="11"/>
  <c r="K758" i="11"/>
  <c r="R757" i="11"/>
  <c r="Q757" i="11"/>
  <c r="P757" i="11"/>
  <c r="O757" i="11"/>
  <c r="N757" i="11"/>
  <c r="M757" i="11"/>
  <c r="L757" i="11"/>
  <c r="K757" i="11"/>
  <c r="R756" i="11"/>
  <c r="Q756" i="11"/>
  <c r="P756" i="11"/>
  <c r="O756" i="11"/>
  <c r="N756" i="11"/>
  <c r="M756" i="11"/>
  <c r="L756" i="11"/>
  <c r="K756" i="11"/>
  <c r="R755" i="11"/>
  <c r="Q755" i="11"/>
  <c r="P755" i="11"/>
  <c r="O755" i="11"/>
  <c r="N755" i="11"/>
  <c r="M755" i="11"/>
  <c r="L755" i="11"/>
  <c r="K755" i="11"/>
  <c r="R754" i="11"/>
  <c r="Q754" i="11"/>
  <c r="P754" i="11"/>
  <c r="O754" i="11"/>
  <c r="N754" i="11"/>
  <c r="M754" i="11"/>
  <c r="L754" i="11"/>
  <c r="K754" i="11"/>
  <c r="R753" i="11"/>
  <c r="Q753" i="11"/>
  <c r="P753" i="11"/>
  <c r="O753" i="11"/>
  <c r="N753" i="11"/>
  <c r="M753" i="11"/>
  <c r="L753" i="11"/>
  <c r="K753" i="11"/>
  <c r="R752" i="11"/>
  <c r="Q752" i="11"/>
  <c r="P752" i="11"/>
  <c r="O752" i="11"/>
  <c r="N752" i="11"/>
  <c r="M752" i="11"/>
  <c r="L752" i="11"/>
  <c r="K752" i="11"/>
  <c r="R751" i="11"/>
  <c r="Q751" i="11"/>
  <c r="P751" i="11"/>
  <c r="O751" i="11"/>
  <c r="N751" i="11"/>
  <c r="M751" i="11"/>
  <c r="L751" i="11"/>
  <c r="K751" i="11"/>
  <c r="R750" i="11"/>
  <c r="Q750" i="11"/>
  <c r="P750" i="11"/>
  <c r="O750" i="11"/>
  <c r="N750" i="11"/>
  <c r="M750" i="11"/>
  <c r="L750" i="11"/>
  <c r="K750" i="11"/>
  <c r="R748" i="11"/>
  <c r="Q748" i="11"/>
  <c r="P748" i="11"/>
  <c r="O748" i="11"/>
  <c r="N748" i="11"/>
  <c r="M748" i="11"/>
  <c r="L748" i="11"/>
  <c r="K748" i="11"/>
  <c r="R747" i="11"/>
  <c r="Q747" i="11"/>
  <c r="P747" i="11"/>
  <c r="O747" i="11"/>
  <c r="N747" i="11"/>
  <c r="M747" i="11"/>
  <c r="L747" i="11"/>
  <c r="K747" i="11"/>
  <c r="R746" i="11"/>
  <c r="Q746" i="11"/>
  <c r="P746" i="11"/>
  <c r="O746" i="11"/>
  <c r="N746" i="11"/>
  <c r="M746" i="11"/>
  <c r="L746" i="11"/>
  <c r="K746" i="11"/>
  <c r="R745" i="11"/>
  <c r="Q745" i="11"/>
  <c r="P745" i="11"/>
  <c r="O745" i="11"/>
  <c r="N745" i="11"/>
  <c r="M745" i="11"/>
  <c r="L745" i="11"/>
  <c r="K745" i="11"/>
  <c r="R744" i="11"/>
  <c r="Q744" i="11"/>
  <c r="P744" i="11"/>
  <c r="O744" i="11"/>
  <c r="N744" i="11"/>
  <c r="M744" i="11"/>
  <c r="L744" i="11"/>
  <c r="K744" i="11"/>
  <c r="R743" i="11"/>
  <c r="Q743" i="11"/>
  <c r="P743" i="11"/>
  <c r="O743" i="11"/>
  <c r="N743" i="11"/>
  <c r="M743" i="11"/>
  <c r="L743" i="11"/>
  <c r="K743" i="11"/>
  <c r="R742" i="11"/>
  <c r="Q742" i="11"/>
  <c r="P742" i="11"/>
  <c r="O742" i="11"/>
  <c r="N742" i="11"/>
  <c r="M742" i="11"/>
  <c r="L742" i="11"/>
  <c r="K742" i="11"/>
  <c r="R741" i="11"/>
  <c r="Q741" i="11"/>
  <c r="P741" i="11"/>
  <c r="O741" i="11"/>
  <c r="N741" i="11"/>
  <c r="M741" i="11"/>
  <c r="L741" i="11"/>
  <c r="K741" i="11"/>
  <c r="R740" i="11"/>
  <c r="Q740" i="11"/>
  <c r="P740" i="11"/>
  <c r="O740" i="11"/>
  <c r="N740" i="11"/>
  <c r="M740" i="11"/>
  <c r="L740" i="11"/>
  <c r="K740" i="11"/>
  <c r="R739" i="11"/>
  <c r="Q739" i="11"/>
  <c r="P739" i="11"/>
  <c r="O739" i="11"/>
  <c r="N739" i="11"/>
  <c r="M739" i="11"/>
  <c r="L739" i="11"/>
  <c r="K739" i="11"/>
  <c r="R738" i="11"/>
  <c r="Q738" i="11"/>
  <c r="P738" i="11"/>
  <c r="O738" i="11"/>
  <c r="N738" i="11"/>
  <c r="M738" i="11"/>
  <c r="L738" i="11"/>
  <c r="K738" i="11"/>
  <c r="R737" i="11"/>
  <c r="Q737" i="11"/>
  <c r="P737" i="11"/>
  <c r="O737" i="11"/>
  <c r="N737" i="11"/>
  <c r="M737" i="11"/>
  <c r="L737" i="11"/>
  <c r="K737" i="11"/>
  <c r="R736" i="11"/>
  <c r="Q736" i="11"/>
  <c r="P736" i="11"/>
  <c r="O736" i="11"/>
  <c r="N736" i="11"/>
  <c r="M736" i="11"/>
  <c r="L736" i="11"/>
  <c r="K736" i="11"/>
  <c r="R735" i="11"/>
  <c r="Q735" i="11"/>
  <c r="P735" i="11"/>
  <c r="O735" i="11"/>
  <c r="N735" i="11"/>
  <c r="M735" i="11"/>
  <c r="L735" i="11"/>
  <c r="K735" i="11"/>
  <c r="R734" i="11"/>
  <c r="Q734" i="11"/>
  <c r="P734" i="11"/>
  <c r="O734" i="11"/>
  <c r="N734" i="11"/>
  <c r="M734" i="11"/>
  <c r="L734" i="11"/>
  <c r="K734" i="11"/>
  <c r="R733" i="11"/>
  <c r="Q733" i="11"/>
  <c r="P733" i="11"/>
  <c r="O733" i="11"/>
  <c r="N733" i="11"/>
  <c r="M733" i="11"/>
  <c r="L733" i="11"/>
  <c r="K733" i="11"/>
  <c r="R731" i="11"/>
  <c r="Q731" i="11"/>
  <c r="P731" i="11"/>
  <c r="O731" i="11"/>
  <c r="N731" i="11"/>
  <c r="M731" i="11"/>
  <c r="L731" i="11"/>
  <c r="K731" i="11"/>
  <c r="R730" i="11"/>
  <c r="Q730" i="11"/>
  <c r="P730" i="11"/>
  <c r="O730" i="11"/>
  <c r="N730" i="11"/>
  <c r="M730" i="11"/>
  <c r="L730" i="11"/>
  <c r="K730" i="11"/>
  <c r="R729" i="11"/>
  <c r="Q729" i="11"/>
  <c r="P729" i="11"/>
  <c r="O729" i="11"/>
  <c r="N729" i="11"/>
  <c r="M729" i="11"/>
  <c r="L729" i="11"/>
  <c r="K729" i="11"/>
  <c r="R728" i="11"/>
  <c r="Q728" i="11"/>
  <c r="P728" i="11"/>
  <c r="O728" i="11"/>
  <c r="N728" i="11"/>
  <c r="M728" i="11"/>
  <c r="L728" i="11"/>
  <c r="K728" i="11"/>
  <c r="R727" i="11"/>
  <c r="Q727" i="11"/>
  <c r="P727" i="11"/>
  <c r="O727" i="11"/>
  <c r="N727" i="11"/>
  <c r="M727" i="11"/>
  <c r="L727" i="11"/>
  <c r="K727" i="11"/>
  <c r="R726" i="11"/>
  <c r="Q726" i="11"/>
  <c r="P726" i="11"/>
  <c r="O726" i="11"/>
  <c r="N726" i="11"/>
  <c r="M726" i="11"/>
  <c r="L726" i="11"/>
  <c r="K726" i="11"/>
  <c r="R725" i="11"/>
  <c r="Q725" i="11"/>
  <c r="P725" i="11"/>
  <c r="O725" i="11"/>
  <c r="N725" i="11"/>
  <c r="M725" i="11"/>
  <c r="L725" i="11"/>
  <c r="K725" i="11"/>
  <c r="R724" i="11"/>
  <c r="Q724" i="11"/>
  <c r="P724" i="11"/>
  <c r="O724" i="11"/>
  <c r="N724" i="11"/>
  <c r="M724" i="11"/>
  <c r="L724" i="11"/>
  <c r="K724" i="11"/>
  <c r="R723" i="11"/>
  <c r="Q723" i="11"/>
  <c r="P723" i="11"/>
  <c r="O723" i="11"/>
  <c r="N723" i="11"/>
  <c r="M723" i="11"/>
  <c r="L723" i="11"/>
  <c r="K723" i="11"/>
  <c r="R722" i="11"/>
  <c r="Q722" i="11"/>
  <c r="P722" i="11"/>
  <c r="O722" i="11"/>
  <c r="N722" i="11"/>
  <c r="M722" i="11"/>
  <c r="L722" i="11"/>
  <c r="K722" i="11"/>
  <c r="R721" i="11"/>
  <c r="Q721" i="11"/>
  <c r="P721" i="11"/>
  <c r="O721" i="11"/>
  <c r="N721" i="11"/>
  <c r="M721" i="11"/>
  <c r="L721" i="11"/>
  <c r="K721" i="11"/>
  <c r="R720" i="11"/>
  <c r="Q720" i="11"/>
  <c r="P720" i="11"/>
  <c r="O720" i="11"/>
  <c r="N720" i="11"/>
  <c r="M720" i="11"/>
  <c r="L720" i="11"/>
  <c r="K720" i="11"/>
  <c r="R719" i="11"/>
  <c r="Q719" i="11"/>
  <c r="P719" i="11"/>
  <c r="O719" i="11"/>
  <c r="N719" i="11"/>
  <c r="M719" i="11"/>
  <c r="L719" i="11"/>
  <c r="K719" i="11"/>
  <c r="R718" i="11"/>
  <c r="Q718" i="11"/>
  <c r="P718" i="11"/>
  <c r="O718" i="11"/>
  <c r="N718" i="11"/>
  <c r="M718" i="11"/>
  <c r="L718" i="11"/>
  <c r="K718" i="11"/>
  <c r="R717" i="11"/>
  <c r="Q717" i="11"/>
  <c r="P717" i="11"/>
  <c r="O717" i="11"/>
  <c r="N717" i="11"/>
  <c r="M717" i="11"/>
  <c r="L717" i="11"/>
  <c r="K717" i="11"/>
  <c r="R716" i="11"/>
  <c r="Q716" i="11"/>
  <c r="P716" i="11"/>
  <c r="O716" i="11"/>
  <c r="N716" i="11"/>
  <c r="M716" i="11"/>
  <c r="L716" i="11"/>
  <c r="K716" i="11"/>
  <c r="R714" i="11"/>
  <c r="Q714" i="11"/>
  <c r="P714" i="11"/>
  <c r="O714" i="11"/>
  <c r="N714" i="11"/>
  <c r="M714" i="11"/>
  <c r="L714" i="11"/>
  <c r="K714" i="11"/>
  <c r="R713" i="11"/>
  <c r="Q713" i="11"/>
  <c r="P713" i="11"/>
  <c r="O713" i="11"/>
  <c r="N713" i="11"/>
  <c r="M713" i="11"/>
  <c r="L713" i="11"/>
  <c r="K713" i="11"/>
  <c r="R712" i="11"/>
  <c r="Q712" i="11"/>
  <c r="P712" i="11"/>
  <c r="O712" i="11"/>
  <c r="N712" i="11"/>
  <c r="M712" i="11"/>
  <c r="L712" i="11"/>
  <c r="K712" i="11"/>
  <c r="R711" i="11"/>
  <c r="Q711" i="11"/>
  <c r="P711" i="11"/>
  <c r="O711" i="11"/>
  <c r="N711" i="11"/>
  <c r="M711" i="11"/>
  <c r="L711" i="11"/>
  <c r="K711" i="11"/>
  <c r="R710" i="11"/>
  <c r="Q710" i="11"/>
  <c r="P710" i="11"/>
  <c r="O710" i="11"/>
  <c r="N710" i="11"/>
  <c r="M710" i="11"/>
  <c r="L710" i="11"/>
  <c r="K710" i="11"/>
  <c r="R709" i="11"/>
  <c r="Q709" i="11"/>
  <c r="P709" i="11"/>
  <c r="O709" i="11"/>
  <c r="N709" i="11"/>
  <c r="M709" i="11"/>
  <c r="L709" i="11"/>
  <c r="K709" i="11"/>
  <c r="R708" i="11"/>
  <c r="Q708" i="11"/>
  <c r="P708" i="11"/>
  <c r="O708" i="11"/>
  <c r="N708" i="11"/>
  <c r="M708" i="11"/>
  <c r="L708" i="11"/>
  <c r="K708" i="11"/>
  <c r="R707" i="11"/>
  <c r="Q707" i="11"/>
  <c r="P707" i="11"/>
  <c r="O707" i="11"/>
  <c r="N707" i="11"/>
  <c r="M707" i="11"/>
  <c r="L707" i="11"/>
  <c r="K707" i="11"/>
  <c r="R706" i="11"/>
  <c r="Q706" i="11"/>
  <c r="P706" i="11"/>
  <c r="O706" i="11"/>
  <c r="N706" i="11"/>
  <c r="M706" i="11"/>
  <c r="L706" i="11"/>
  <c r="K706" i="11"/>
  <c r="R705" i="11"/>
  <c r="Q705" i="11"/>
  <c r="P705" i="11"/>
  <c r="O705" i="11"/>
  <c r="N705" i="11"/>
  <c r="M705" i="11"/>
  <c r="L705" i="11"/>
  <c r="K705" i="11"/>
  <c r="R704" i="11"/>
  <c r="Q704" i="11"/>
  <c r="P704" i="11"/>
  <c r="O704" i="11"/>
  <c r="N704" i="11"/>
  <c r="M704" i="11"/>
  <c r="L704" i="11"/>
  <c r="K704" i="11"/>
  <c r="R703" i="11"/>
  <c r="Q703" i="11"/>
  <c r="P703" i="11"/>
  <c r="O703" i="11"/>
  <c r="N703" i="11"/>
  <c r="M703" i="11"/>
  <c r="L703" i="11"/>
  <c r="K703" i="11"/>
  <c r="R702" i="11"/>
  <c r="Q702" i="11"/>
  <c r="P702" i="11"/>
  <c r="O702" i="11"/>
  <c r="N702" i="11"/>
  <c r="M702" i="11"/>
  <c r="L702" i="11"/>
  <c r="K702" i="11"/>
  <c r="R701" i="11"/>
  <c r="Q701" i="11"/>
  <c r="P701" i="11"/>
  <c r="O701" i="11"/>
  <c r="N701" i="11"/>
  <c r="M701" i="11"/>
  <c r="L701" i="11"/>
  <c r="K701" i="11"/>
  <c r="R700" i="11"/>
  <c r="Q700" i="11"/>
  <c r="P700" i="11"/>
  <c r="O700" i="11"/>
  <c r="N700" i="11"/>
  <c r="M700" i="11"/>
  <c r="L700" i="11"/>
  <c r="K700" i="11"/>
  <c r="R699" i="11"/>
  <c r="Q699" i="11"/>
  <c r="P699" i="11"/>
  <c r="O699" i="11"/>
  <c r="N699" i="11"/>
  <c r="M699" i="11"/>
  <c r="L699" i="11"/>
  <c r="K699" i="11"/>
  <c r="R697" i="11"/>
  <c r="Q697" i="11"/>
  <c r="P697" i="11"/>
  <c r="O697" i="11"/>
  <c r="N697" i="11"/>
  <c r="M697" i="11"/>
  <c r="L697" i="11"/>
  <c r="K697" i="11"/>
  <c r="R696" i="11"/>
  <c r="Q696" i="11"/>
  <c r="P696" i="11"/>
  <c r="O696" i="11"/>
  <c r="N696" i="11"/>
  <c r="M696" i="11"/>
  <c r="L696" i="11"/>
  <c r="K696" i="11"/>
  <c r="R695" i="11"/>
  <c r="Q695" i="11"/>
  <c r="P695" i="11"/>
  <c r="O695" i="11"/>
  <c r="N695" i="11"/>
  <c r="M695" i="11"/>
  <c r="L695" i="11"/>
  <c r="K695" i="11"/>
  <c r="R694" i="11"/>
  <c r="Q694" i="11"/>
  <c r="P694" i="11"/>
  <c r="O694" i="11"/>
  <c r="N694" i="11"/>
  <c r="M694" i="11"/>
  <c r="L694" i="11"/>
  <c r="K694" i="11"/>
  <c r="R693" i="11"/>
  <c r="Q693" i="11"/>
  <c r="P693" i="11"/>
  <c r="O693" i="11"/>
  <c r="N693" i="11"/>
  <c r="M693" i="11"/>
  <c r="L693" i="11"/>
  <c r="K693" i="11"/>
  <c r="R692" i="11"/>
  <c r="Q692" i="11"/>
  <c r="P692" i="11"/>
  <c r="O692" i="11"/>
  <c r="N692" i="11"/>
  <c r="M692" i="11"/>
  <c r="L692" i="11"/>
  <c r="K692" i="11"/>
  <c r="R691" i="11"/>
  <c r="Q691" i="11"/>
  <c r="P691" i="11"/>
  <c r="O691" i="11"/>
  <c r="N691" i="11"/>
  <c r="M691" i="11"/>
  <c r="L691" i="11"/>
  <c r="K691" i="11"/>
  <c r="R690" i="11"/>
  <c r="Q690" i="11"/>
  <c r="P690" i="11"/>
  <c r="O690" i="11"/>
  <c r="N690" i="11"/>
  <c r="M690" i="11"/>
  <c r="L690" i="11"/>
  <c r="K690" i="11"/>
  <c r="R689" i="11"/>
  <c r="Q689" i="11"/>
  <c r="P689" i="11"/>
  <c r="O689" i="11"/>
  <c r="N689" i="11"/>
  <c r="M689" i="11"/>
  <c r="L689" i="11"/>
  <c r="K689" i="11"/>
  <c r="R688" i="11"/>
  <c r="Q688" i="11"/>
  <c r="P688" i="11"/>
  <c r="O688" i="11"/>
  <c r="N688" i="11"/>
  <c r="M688" i="11"/>
  <c r="L688" i="11"/>
  <c r="K688" i="11"/>
  <c r="R687" i="11"/>
  <c r="Q687" i="11"/>
  <c r="P687" i="11"/>
  <c r="O687" i="11"/>
  <c r="N687" i="11"/>
  <c r="M687" i="11"/>
  <c r="L687" i="11"/>
  <c r="K687" i="11"/>
  <c r="R686" i="11"/>
  <c r="Q686" i="11"/>
  <c r="P686" i="11"/>
  <c r="O686" i="11"/>
  <c r="N686" i="11"/>
  <c r="M686" i="11"/>
  <c r="L686" i="11"/>
  <c r="K686" i="11"/>
  <c r="R685" i="11"/>
  <c r="Q685" i="11"/>
  <c r="P685" i="11"/>
  <c r="O685" i="11"/>
  <c r="N685" i="11"/>
  <c r="M685" i="11"/>
  <c r="L685" i="11"/>
  <c r="K685" i="11"/>
  <c r="R684" i="11"/>
  <c r="Q684" i="11"/>
  <c r="P684" i="11"/>
  <c r="O684" i="11"/>
  <c r="N684" i="11"/>
  <c r="M684" i="11"/>
  <c r="L684" i="11"/>
  <c r="K684" i="11"/>
  <c r="R683" i="11"/>
  <c r="Q683" i="11"/>
  <c r="P683" i="11"/>
  <c r="O683" i="11"/>
  <c r="N683" i="11"/>
  <c r="M683" i="11"/>
  <c r="L683" i="11"/>
  <c r="K683" i="11"/>
  <c r="R682" i="11"/>
  <c r="Q682" i="11"/>
  <c r="P682" i="11"/>
  <c r="O682" i="11"/>
  <c r="N682" i="11"/>
  <c r="M682" i="11"/>
  <c r="L682" i="11"/>
  <c r="K682" i="11"/>
  <c r="R680" i="11"/>
  <c r="Q680" i="11"/>
  <c r="P680" i="11"/>
  <c r="O680" i="11"/>
  <c r="N680" i="11"/>
  <c r="M680" i="11"/>
  <c r="L680" i="11"/>
  <c r="K680" i="11"/>
  <c r="R679" i="11"/>
  <c r="Q679" i="11"/>
  <c r="P679" i="11"/>
  <c r="O679" i="11"/>
  <c r="N679" i="11"/>
  <c r="M679" i="11"/>
  <c r="L679" i="11"/>
  <c r="K679" i="11"/>
  <c r="R678" i="11"/>
  <c r="Q678" i="11"/>
  <c r="P678" i="11"/>
  <c r="O678" i="11"/>
  <c r="N678" i="11"/>
  <c r="M678" i="11"/>
  <c r="L678" i="11"/>
  <c r="K678" i="11"/>
  <c r="R677" i="11"/>
  <c r="Q677" i="11"/>
  <c r="P677" i="11"/>
  <c r="O677" i="11"/>
  <c r="N677" i="11"/>
  <c r="M677" i="11"/>
  <c r="L677" i="11"/>
  <c r="K677" i="11"/>
  <c r="R676" i="11"/>
  <c r="Q676" i="11"/>
  <c r="P676" i="11"/>
  <c r="O676" i="11"/>
  <c r="N676" i="11"/>
  <c r="M676" i="11"/>
  <c r="L676" i="11"/>
  <c r="K676" i="11"/>
  <c r="R675" i="11"/>
  <c r="Q675" i="11"/>
  <c r="P675" i="11"/>
  <c r="O675" i="11"/>
  <c r="N675" i="11"/>
  <c r="M675" i="11"/>
  <c r="L675" i="11"/>
  <c r="K675" i="11"/>
  <c r="R674" i="11"/>
  <c r="Q674" i="11"/>
  <c r="P674" i="11"/>
  <c r="O674" i="11"/>
  <c r="N674" i="11"/>
  <c r="M674" i="11"/>
  <c r="L674" i="11"/>
  <c r="K674" i="11"/>
  <c r="R673" i="11"/>
  <c r="Q673" i="11"/>
  <c r="P673" i="11"/>
  <c r="O673" i="11"/>
  <c r="N673" i="11"/>
  <c r="M673" i="11"/>
  <c r="L673" i="11"/>
  <c r="K673" i="11"/>
  <c r="R672" i="11"/>
  <c r="Q672" i="11"/>
  <c r="P672" i="11"/>
  <c r="O672" i="11"/>
  <c r="N672" i="11"/>
  <c r="M672" i="11"/>
  <c r="L672" i="11"/>
  <c r="K672" i="11"/>
  <c r="R671" i="11"/>
  <c r="Q671" i="11"/>
  <c r="P671" i="11"/>
  <c r="O671" i="11"/>
  <c r="N671" i="11"/>
  <c r="M671" i="11"/>
  <c r="L671" i="11"/>
  <c r="K671" i="11"/>
  <c r="R670" i="11"/>
  <c r="Q670" i="11"/>
  <c r="P670" i="11"/>
  <c r="O670" i="11"/>
  <c r="N670" i="11"/>
  <c r="M670" i="11"/>
  <c r="L670" i="11"/>
  <c r="K670" i="11"/>
  <c r="R669" i="11"/>
  <c r="Q669" i="11"/>
  <c r="P669" i="11"/>
  <c r="O669" i="11"/>
  <c r="N669" i="11"/>
  <c r="M669" i="11"/>
  <c r="L669" i="11"/>
  <c r="K669" i="11"/>
  <c r="R668" i="11"/>
  <c r="Q668" i="11"/>
  <c r="P668" i="11"/>
  <c r="O668" i="11"/>
  <c r="N668" i="11"/>
  <c r="M668" i="11"/>
  <c r="L668" i="11"/>
  <c r="K668" i="11"/>
  <c r="R667" i="11"/>
  <c r="Q667" i="11"/>
  <c r="P667" i="11"/>
  <c r="O667" i="11"/>
  <c r="N667" i="11"/>
  <c r="M667" i="11"/>
  <c r="L667" i="11"/>
  <c r="K667" i="11"/>
  <c r="R666" i="11"/>
  <c r="Q666" i="11"/>
  <c r="P666" i="11"/>
  <c r="O666" i="11"/>
  <c r="N666" i="11"/>
  <c r="M666" i="11"/>
  <c r="L666" i="11"/>
  <c r="K666" i="11"/>
  <c r="R665" i="11"/>
  <c r="Q665" i="11"/>
  <c r="P665" i="11"/>
  <c r="O665" i="11"/>
  <c r="N665" i="11"/>
  <c r="M665" i="11"/>
  <c r="L665" i="11"/>
  <c r="K665" i="11"/>
  <c r="R663" i="11"/>
  <c r="Q663" i="11"/>
  <c r="P663" i="11"/>
  <c r="O663" i="11"/>
  <c r="N663" i="11"/>
  <c r="M663" i="11"/>
  <c r="L663" i="11"/>
  <c r="K663" i="11"/>
  <c r="R662" i="11"/>
  <c r="Q662" i="11"/>
  <c r="P662" i="11"/>
  <c r="O662" i="11"/>
  <c r="N662" i="11"/>
  <c r="M662" i="11"/>
  <c r="L662" i="11"/>
  <c r="K662" i="11"/>
  <c r="R661" i="11"/>
  <c r="Q661" i="11"/>
  <c r="P661" i="11"/>
  <c r="O661" i="11"/>
  <c r="N661" i="11"/>
  <c r="M661" i="11"/>
  <c r="L661" i="11"/>
  <c r="K661" i="11"/>
  <c r="R660" i="11"/>
  <c r="Q660" i="11"/>
  <c r="P660" i="11"/>
  <c r="O660" i="11"/>
  <c r="N660" i="11"/>
  <c r="M660" i="11"/>
  <c r="L660" i="11"/>
  <c r="K660" i="11"/>
  <c r="R659" i="11"/>
  <c r="Q659" i="11"/>
  <c r="P659" i="11"/>
  <c r="O659" i="11"/>
  <c r="N659" i="11"/>
  <c r="M659" i="11"/>
  <c r="L659" i="11"/>
  <c r="K659" i="11"/>
  <c r="R658" i="11"/>
  <c r="Q658" i="11"/>
  <c r="P658" i="11"/>
  <c r="O658" i="11"/>
  <c r="N658" i="11"/>
  <c r="M658" i="11"/>
  <c r="L658" i="11"/>
  <c r="K658" i="11"/>
  <c r="R657" i="11"/>
  <c r="Q657" i="11"/>
  <c r="P657" i="11"/>
  <c r="O657" i="11"/>
  <c r="N657" i="11"/>
  <c r="M657" i="11"/>
  <c r="L657" i="11"/>
  <c r="K657" i="11"/>
  <c r="R656" i="11"/>
  <c r="Q656" i="11"/>
  <c r="P656" i="11"/>
  <c r="O656" i="11"/>
  <c r="N656" i="11"/>
  <c r="M656" i="11"/>
  <c r="L656" i="11"/>
  <c r="K656" i="11"/>
  <c r="R655" i="11"/>
  <c r="Q655" i="11"/>
  <c r="P655" i="11"/>
  <c r="O655" i="11"/>
  <c r="N655" i="11"/>
  <c r="M655" i="11"/>
  <c r="L655" i="11"/>
  <c r="K655" i="11"/>
  <c r="R654" i="11"/>
  <c r="Q654" i="11"/>
  <c r="P654" i="11"/>
  <c r="O654" i="11"/>
  <c r="N654" i="11"/>
  <c r="M654" i="11"/>
  <c r="L654" i="11"/>
  <c r="K654" i="11"/>
  <c r="R653" i="11"/>
  <c r="Q653" i="11"/>
  <c r="P653" i="11"/>
  <c r="O653" i="11"/>
  <c r="N653" i="11"/>
  <c r="M653" i="11"/>
  <c r="L653" i="11"/>
  <c r="K653" i="11"/>
  <c r="R652" i="11"/>
  <c r="Q652" i="11"/>
  <c r="P652" i="11"/>
  <c r="O652" i="11"/>
  <c r="N652" i="11"/>
  <c r="M652" i="11"/>
  <c r="L652" i="11"/>
  <c r="K652" i="11"/>
  <c r="R651" i="11"/>
  <c r="Q651" i="11"/>
  <c r="P651" i="11"/>
  <c r="O651" i="11"/>
  <c r="N651" i="11"/>
  <c r="M651" i="11"/>
  <c r="L651" i="11"/>
  <c r="K651" i="11"/>
  <c r="R650" i="11"/>
  <c r="Q650" i="11"/>
  <c r="P650" i="11"/>
  <c r="O650" i="11"/>
  <c r="N650" i="11"/>
  <c r="M650" i="11"/>
  <c r="L650" i="11"/>
  <c r="K650" i="11"/>
  <c r="R649" i="11"/>
  <c r="Q649" i="11"/>
  <c r="P649" i="11"/>
  <c r="O649" i="11"/>
  <c r="N649" i="11"/>
  <c r="M649" i="11"/>
  <c r="L649" i="11"/>
  <c r="K649" i="11"/>
  <c r="R648" i="11"/>
  <c r="Q648" i="11"/>
  <c r="P648" i="11"/>
  <c r="O648" i="11"/>
  <c r="N648" i="11"/>
  <c r="M648" i="11"/>
  <c r="L648" i="11"/>
  <c r="K648" i="11"/>
  <c r="R646" i="11"/>
  <c r="Q646" i="11"/>
  <c r="P646" i="11"/>
  <c r="O646" i="11"/>
  <c r="N646" i="11"/>
  <c r="M646" i="11"/>
  <c r="L646" i="11"/>
  <c r="K646" i="11"/>
  <c r="R645" i="11"/>
  <c r="Q645" i="11"/>
  <c r="P645" i="11"/>
  <c r="O645" i="11"/>
  <c r="N645" i="11"/>
  <c r="M645" i="11"/>
  <c r="L645" i="11"/>
  <c r="K645" i="11"/>
  <c r="R644" i="11"/>
  <c r="Q644" i="11"/>
  <c r="P644" i="11"/>
  <c r="O644" i="11"/>
  <c r="N644" i="11"/>
  <c r="M644" i="11"/>
  <c r="L644" i="11"/>
  <c r="K644" i="11"/>
  <c r="R643" i="11"/>
  <c r="Q643" i="11"/>
  <c r="P643" i="11"/>
  <c r="O643" i="11"/>
  <c r="N643" i="11"/>
  <c r="M643" i="11"/>
  <c r="L643" i="11"/>
  <c r="K643" i="11"/>
  <c r="R642" i="11"/>
  <c r="Q642" i="11"/>
  <c r="P642" i="11"/>
  <c r="O642" i="11"/>
  <c r="N642" i="11"/>
  <c r="M642" i="11"/>
  <c r="L642" i="11"/>
  <c r="K642" i="11"/>
  <c r="R641" i="11"/>
  <c r="Q641" i="11"/>
  <c r="P641" i="11"/>
  <c r="O641" i="11"/>
  <c r="N641" i="11"/>
  <c r="M641" i="11"/>
  <c r="L641" i="11"/>
  <c r="K641" i="11"/>
  <c r="R640" i="11"/>
  <c r="Q640" i="11"/>
  <c r="P640" i="11"/>
  <c r="O640" i="11"/>
  <c r="N640" i="11"/>
  <c r="M640" i="11"/>
  <c r="L640" i="11"/>
  <c r="K640" i="11"/>
  <c r="R639" i="11"/>
  <c r="Q639" i="11"/>
  <c r="P639" i="11"/>
  <c r="O639" i="11"/>
  <c r="N639" i="11"/>
  <c r="M639" i="11"/>
  <c r="L639" i="11"/>
  <c r="K639" i="11"/>
  <c r="R638" i="11"/>
  <c r="Q638" i="11"/>
  <c r="P638" i="11"/>
  <c r="O638" i="11"/>
  <c r="N638" i="11"/>
  <c r="M638" i="11"/>
  <c r="L638" i="11"/>
  <c r="K638" i="11"/>
  <c r="R637" i="11"/>
  <c r="Q637" i="11"/>
  <c r="P637" i="11"/>
  <c r="O637" i="11"/>
  <c r="N637" i="11"/>
  <c r="M637" i="11"/>
  <c r="L637" i="11"/>
  <c r="K637" i="11"/>
  <c r="R636" i="11"/>
  <c r="Q636" i="11"/>
  <c r="P636" i="11"/>
  <c r="O636" i="11"/>
  <c r="N636" i="11"/>
  <c r="M636" i="11"/>
  <c r="L636" i="11"/>
  <c r="K636" i="11"/>
  <c r="R635" i="11"/>
  <c r="Q635" i="11"/>
  <c r="P635" i="11"/>
  <c r="O635" i="11"/>
  <c r="N635" i="11"/>
  <c r="M635" i="11"/>
  <c r="L635" i="11"/>
  <c r="K635" i="11"/>
  <c r="R634" i="11"/>
  <c r="Q634" i="11"/>
  <c r="P634" i="11"/>
  <c r="O634" i="11"/>
  <c r="N634" i="11"/>
  <c r="M634" i="11"/>
  <c r="L634" i="11"/>
  <c r="K634" i="11"/>
  <c r="R633" i="11"/>
  <c r="Q633" i="11"/>
  <c r="P633" i="11"/>
  <c r="O633" i="11"/>
  <c r="N633" i="11"/>
  <c r="M633" i="11"/>
  <c r="L633" i="11"/>
  <c r="K633" i="11"/>
  <c r="R632" i="11"/>
  <c r="Q632" i="11"/>
  <c r="P632" i="11"/>
  <c r="O632" i="11"/>
  <c r="N632" i="11"/>
  <c r="M632" i="11"/>
  <c r="L632" i="11"/>
  <c r="K632" i="11"/>
  <c r="R631" i="11"/>
  <c r="Q631" i="11"/>
  <c r="P631" i="11"/>
  <c r="O631" i="11"/>
  <c r="N631" i="11"/>
  <c r="M631" i="11"/>
  <c r="L631" i="11"/>
  <c r="K631" i="11"/>
  <c r="R629" i="11"/>
  <c r="Q629" i="11"/>
  <c r="P629" i="11"/>
  <c r="O629" i="11"/>
  <c r="N629" i="11"/>
  <c r="M629" i="11"/>
  <c r="L629" i="11"/>
  <c r="K629" i="11"/>
  <c r="R628" i="11"/>
  <c r="Q628" i="11"/>
  <c r="P628" i="11"/>
  <c r="O628" i="11"/>
  <c r="N628" i="11"/>
  <c r="M628" i="11"/>
  <c r="L628" i="11"/>
  <c r="K628" i="11"/>
  <c r="R627" i="11"/>
  <c r="Q627" i="11"/>
  <c r="P627" i="11"/>
  <c r="O627" i="11"/>
  <c r="N627" i="11"/>
  <c r="M627" i="11"/>
  <c r="L627" i="11"/>
  <c r="K627" i="11"/>
  <c r="R626" i="11"/>
  <c r="Q626" i="11"/>
  <c r="P626" i="11"/>
  <c r="O626" i="11"/>
  <c r="N626" i="11"/>
  <c r="M626" i="11"/>
  <c r="L626" i="11"/>
  <c r="K626" i="11"/>
  <c r="R625" i="11"/>
  <c r="Q625" i="11"/>
  <c r="P625" i="11"/>
  <c r="O625" i="11"/>
  <c r="N625" i="11"/>
  <c r="M625" i="11"/>
  <c r="L625" i="11"/>
  <c r="K625" i="11"/>
  <c r="R624" i="11"/>
  <c r="Q624" i="11"/>
  <c r="P624" i="11"/>
  <c r="O624" i="11"/>
  <c r="N624" i="11"/>
  <c r="M624" i="11"/>
  <c r="L624" i="11"/>
  <c r="K624" i="11"/>
  <c r="R623" i="11"/>
  <c r="Q623" i="11"/>
  <c r="P623" i="11"/>
  <c r="O623" i="11"/>
  <c r="N623" i="11"/>
  <c r="M623" i="11"/>
  <c r="L623" i="11"/>
  <c r="K623" i="11"/>
  <c r="R622" i="11"/>
  <c r="Q622" i="11"/>
  <c r="P622" i="11"/>
  <c r="O622" i="11"/>
  <c r="N622" i="11"/>
  <c r="M622" i="11"/>
  <c r="L622" i="11"/>
  <c r="K622" i="11"/>
  <c r="R621" i="11"/>
  <c r="Q621" i="11"/>
  <c r="P621" i="11"/>
  <c r="O621" i="11"/>
  <c r="N621" i="11"/>
  <c r="M621" i="11"/>
  <c r="L621" i="11"/>
  <c r="K621" i="11"/>
  <c r="R620" i="11"/>
  <c r="Q620" i="11"/>
  <c r="P620" i="11"/>
  <c r="O620" i="11"/>
  <c r="N620" i="11"/>
  <c r="M620" i="11"/>
  <c r="L620" i="11"/>
  <c r="K620" i="11"/>
  <c r="R619" i="11"/>
  <c r="Q619" i="11"/>
  <c r="P619" i="11"/>
  <c r="O619" i="11"/>
  <c r="N619" i="11"/>
  <c r="M619" i="11"/>
  <c r="L619" i="11"/>
  <c r="K619" i="11"/>
  <c r="R618" i="11"/>
  <c r="Q618" i="11"/>
  <c r="P618" i="11"/>
  <c r="O618" i="11"/>
  <c r="N618" i="11"/>
  <c r="M618" i="11"/>
  <c r="L618" i="11"/>
  <c r="K618" i="11"/>
  <c r="R617" i="11"/>
  <c r="Q617" i="11"/>
  <c r="P617" i="11"/>
  <c r="O617" i="11"/>
  <c r="N617" i="11"/>
  <c r="M617" i="11"/>
  <c r="L617" i="11"/>
  <c r="K617" i="11"/>
  <c r="R616" i="11"/>
  <c r="Q616" i="11"/>
  <c r="P616" i="11"/>
  <c r="O616" i="11"/>
  <c r="N616" i="11"/>
  <c r="M616" i="11"/>
  <c r="L616" i="11"/>
  <c r="K616" i="11"/>
  <c r="R615" i="11"/>
  <c r="Q615" i="11"/>
  <c r="P615" i="11"/>
  <c r="O615" i="11"/>
  <c r="N615" i="11"/>
  <c r="M615" i="11"/>
  <c r="L615" i="11"/>
  <c r="K615" i="11"/>
  <c r="R614" i="11"/>
  <c r="Q614" i="11"/>
  <c r="P614" i="11"/>
  <c r="O614" i="11"/>
  <c r="N614" i="11"/>
  <c r="M614" i="11"/>
  <c r="L614" i="11"/>
  <c r="K614" i="11"/>
  <c r="R612" i="11"/>
  <c r="Q612" i="11"/>
  <c r="P612" i="11"/>
  <c r="O612" i="11"/>
  <c r="N612" i="11"/>
  <c r="M612" i="11"/>
  <c r="L612" i="11"/>
  <c r="K612" i="11"/>
  <c r="R611" i="11"/>
  <c r="Q611" i="11"/>
  <c r="P611" i="11"/>
  <c r="O611" i="11"/>
  <c r="N611" i="11"/>
  <c r="M611" i="11"/>
  <c r="L611" i="11"/>
  <c r="K611" i="11"/>
  <c r="R610" i="11"/>
  <c r="Q610" i="11"/>
  <c r="P610" i="11"/>
  <c r="O610" i="11"/>
  <c r="N610" i="11"/>
  <c r="M610" i="11"/>
  <c r="L610" i="11"/>
  <c r="K610" i="11"/>
  <c r="R609" i="11"/>
  <c r="Q609" i="11"/>
  <c r="P609" i="11"/>
  <c r="O609" i="11"/>
  <c r="N609" i="11"/>
  <c r="M609" i="11"/>
  <c r="L609" i="11"/>
  <c r="K609" i="11"/>
  <c r="R608" i="11"/>
  <c r="Q608" i="11"/>
  <c r="P608" i="11"/>
  <c r="O608" i="11"/>
  <c r="N608" i="11"/>
  <c r="M608" i="11"/>
  <c r="L608" i="11"/>
  <c r="K608" i="11"/>
  <c r="R607" i="11"/>
  <c r="Q607" i="11"/>
  <c r="P607" i="11"/>
  <c r="O607" i="11"/>
  <c r="N607" i="11"/>
  <c r="M607" i="11"/>
  <c r="L607" i="11"/>
  <c r="K607" i="11"/>
  <c r="R606" i="11"/>
  <c r="Q606" i="11"/>
  <c r="P606" i="11"/>
  <c r="O606" i="11"/>
  <c r="N606" i="11"/>
  <c r="M606" i="11"/>
  <c r="L606" i="11"/>
  <c r="K606" i="11"/>
  <c r="R605" i="11"/>
  <c r="Q605" i="11"/>
  <c r="P605" i="11"/>
  <c r="O605" i="11"/>
  <c r="N605" i="11"/>
  <c r="M605" i="11"/>
  <c r="L605" i="11"/>
  <c r="K605" i="11"/>
  <c r="R604" i="11"/>
  <c r="Q604" i="11"/>
  <c r="P604" i="11"/>
  <c r="O604" i="11"/>
  <c r="N604" i="11"/>
  <c r="M604" i="11"/>
  <c r="L604" i="11"/>
  <c r="K604" i="11"/>
  <c r="R603" i="11"/>
  <c r="Q603" i="11"/>
  <c r="P603" i="11"/>
  <c r="O603" i="11"/>
  <c r="N603" i="11"/>
  <c r="M603" i="11"/>
  <c r="L603" i="11"/>
  <c r="K603" i="11"/>
  <c r="R602" i="11"/>
  <c r="Q602" i="11"/>
  <c r="P602" i="11"/>
  <c r="O602" i="11"/>
  <c r="N602" i="11"/>
  <c r="M602" i="11"/>
  <c r="L602" i="11"/>
  <c r="K602" i="11"/>
  <c r="R601" i="11"/>
  <c r="Q601" i="11"/>
  <c r="P601" i="11"/>
  <c r="O601" i="11"/>
  <c r="N601" i="11"/>
  <c r="M601" i="11"/>
  <c r="L601" i="11"/>
  <c r="K601" i="11"/>
  <c r="R600" i="11"/>
  <c r="Q600" i="11"/>
  <c r="P600" i="11"/>
  <c r="O600" i="11"/>
  <c r="N600" i="11"/>
  <c r="M600" i="11"/>
  <c r="L600" i="11"/>
  <c r="K600" i="11"/>
  <c r="R599" i="11"/>
  <c r="Q599" i="11"/>
  <c r="P599" i="11"/>
  <c r="O599" i="11"/>
  <c r="N599" i="11"/>
  <c r="M599" i="11"/>
  <c r="L599" i="11"/>
  <c r="K599" i="11"/>
  <c r="R598" i="11"/>
  <c r="Q598" i="11"/>
  <c r="P598" i="11"/>
  <c r="O598" i="11"/>
  <c r="N598" i="11"/>
  <c r="M598" i="11"/>
  <c r="L598" i="11"/>
  <c r="K598" i="11"/>
  <c r="R597" i="11"/>
  <c r="Q597" i="11"/>
  <c r="P597" i="11"/>
  <c r="O597" i="11"/>
  <c r="N597" i="11"/>
  <c r="M597" i="11"/>
  <c r="L597" i="11"/>
  <c r="K597" i="11"/>
  <c r="R595" i="11"/>
  <c r="Q595" i="11"/>
  <c r="P595" i="11"/>
  <c r="O595" i="11"/>
  <c r="N595" i="11"/>
  <c r="M595" i="11"/>
  <c r="L595" i="11"/>
  <c r="K595" i="11"/>
  <c r="R594" i="11"/>
  <c r="Q594" i="11"/>
  <c r="P594" i="11"/>
  <c r="O594" i="11"/>
  <c r="N594" i="11"/>
  <c r="M594" i="11"/>
  <c r="L594" i="11"/>
  <c r="K594" i="11"/>
  <c r="R593" i="11"/>
  <c r="Q593" i="11"/>
  <c r="P593" i="11"/>
  <c r="O593" i="11"/>
  <c r="N593" i="11"/>
  <c r="M593" i="11"/>
  <c r="L593" i="11"/>
  <c r="K593" i="11"/>
  <c r="R592" i="11"/>
  <c r="Q592" i="11"/>
  <c r="P592" i="11"/>
  <c r="O592" i="11"/>
  <c r="N592" i="11"/>
  <c r="M592" i="11"/>
  <c r="L592" i="11"/>
  <c r="K592" i="11"/>
  <c r="R591" i="11"/>
  <c r="Q591" i="11"/>
  <c r="P591" i="11"/>
  <c r="O591" i="11"/>
  <c r="N591" i="11"/>
  <c r="M591" i="11"/>
  <c r="L591" i="11"/>
  <c r="K591" i="11"/>
  <c r="R590" i="11"/>
  <c r="Q590" i="11"/>
  <c r="P590" i="11"/>
  <c r="O590" i="11"/>
  <c r="N590" i="11"/>
  <c r="M590" i="11"/>
  <c r="L590" i="11"/>
  <c r="K590" i="11"/>
  <c r="R589" i="11"/>
  <c r="Q589" i="11"/>
  <c r="P589" i="11"/>
  <c r="O589" i="11"/>
  <c r="N589" i="11"/>
  <c r="M589" i="11"/>
  <c r="L589" i="11"/>
  <c r="K589" i="11"/>
  <c r="R588" i="11"/>
  <c r="Q588" i="11"/>
  <c r="P588" i="11"/>
  <c r="O588" i="11"/>
  <c r="N588" i="11"/>
  <c r="M588" i="11"/>
  <c r="L588" i="11"/>
  <c r="K588" i="11"/>
  <c r="R587" i="11"/>
  <c r="Q587" i="11"/>
  <c r="P587" i="11"/>
  <c r="O587" i="11"/>
  <c r="N587" i="11"/>
  <c r="M587" i="11"/>
  <c r="L587" i="11"/>
  <c r="K587" i="11"/>
  <c r="R586" i="11"/>
  <c r="Q586" i="11"/>
  <c r="P586" i="11"/>
  <c r="O586" i="11"/>
  <c r="N586" i="11"/>
  <c r="M586" i="11"/>
  <c r="L586" i="11"/>
  <c r="K586" i="11"/>
  <c r="R585" i="11"/>
  <c r="Q585" i="11"/>
  <c r="P585" i="11"/>
  <c r="O585" i="11"/>
  <c r="N585" i="11"/>
  <c r="M585" i="11"/>
  <c r="L585" i="11"/>
  <c r="K585" i="11"/>
  <c r="R584" i="11"/>
  <c r="Q584" i="11"/>
  <c r="P584" i="11"/>
  <c r="O584" i="11"/>
  <c r="N584" i="11"/>
  <c r="M584" i="11"/>
  <c r="L584" i="11"/>
  <c r="K584" i="11"/>
  <c r="R583" i="11"/>
  <c r="Q583" i="11"/>
  <c r="P583" i="11"/>
  <c r="O583" i="11"/>
  <c r="N583" i="11"/>
  <c r="M583" i="11"/>
  <c r="L583" i="11"/>
  <c r="K583" i="11"/>
  <c r="R582" i="11"/>
  <c r="Q582" i="11"/>
  <c r="P582" i="11"/>
  <c r="O582" i="11"/>
  <c r="N582" i="11"/>
  <c r="M582" i="11"/>
  <c r="L582" i="11"/>
  <c r="K582" i="11"/>
  <c r="R581" i="11"/>
  <c r="Q581" i="11"/>
  <c r="P581" i="11"/>
  <c r="O581" i="11"/>
  <c r="N581" i="11"/>
  <c r="M581" i="11"/>
  <c r="L581" i="11"/>
  <c r="K581" i="11"/>
  <c r="R580" i="11"/>
  <c r="Q580" i="11"/>
  <c r="P580" i="11"/>
  <c r="O580" i="11"/>
  <c r="N580" i="11"/>
  <c r="M580" i="11"/>
  <c r="L580" i="11"/>
  <c r="K580" i="11"/>
  <c r="R578" i="11"/>
  <c r="Q578" i="11"/>
  <c r="P578" i="11"/>
  <c r="O578" i="11"/>
  <c r="N578" i="11"/>
  <c r="M578" i="11"/>
  <c r="L578" i="11"/>
  <c r="K578" i="11"/>
  <c r="R577" i="11"/>
  <c r="Q577" i="11"/>
  <c r="P577" i="11"/>
  <c r="O577" i="11"/>
  <c r="N577" i="11"/>
  <c r="M577" i="11"/>
  <c r="L577" i="11"/>
  <c r="K577" i="11"/>
  <c r="R576" i="11"/>
  <c r="Q576" i="11"/>
  <c r="P576" i="11"/>
  <c r="O576" i="11"/>
  <c r="N576" i="11"/>
  <c r="M576" i="11"/>
  <c r="L576" i="11"/>
  <c r="K576" i="11"/>
  <c r="R575" i="11"/>
  <c r="Q575" i="11"/>
  <c r="P575" i="11"/>
  <c r="O575" i="11"/>
  <c r="N575" i="11"/>
  <c r="M575" i="11"/>
  <c r="L575" i="11"/>
  <c r="K575" i="11"/>
  <c r="R574" i="11"/>
  <c r="Q574" i="11"/>
  <c r="P574" i="11"/>
  <c r="O574" i="11"/>
  <c r="N574" i="11"/>
  <c r="M574" i="11"/>
  <c r="L574" i="11"/>
  <c r="K574" i="11"/>
  <c r="R573" i="11"/>
  <c r="Q573" i="11"/>
  <c r="P573" i="11"/>
  <c r="O573" i="11"/>
  <c r="N573" i="11"/>
  <c r="M573" i="11"/>
  <c r="L573" i="11"/>
  <c r="K573" i="11"/>
  <c r="R572" i="11"/>
  <c r="Q572" i="11"/>
  <c r="P572" i="11"/>
  <c r="O572" i="11"/>
  <c r="N572" i="11"/>
  <c r="M572" i="11"/>
  <c r="L572" i="11"/>
  <c r="K572" i="11"/>
  <c r="R571" i="11"/>
  <c r="Q571" i="11"/>
  <c r="P571" i="11"/>
  <c r="O571" i="11"/>
  <c r="N571" i="11"/>
  <c r="M571" i="11"/>
  <c r="L571" i="11"/>
  <c r="K571" i="11"/>
  <c r="R570" i="11"/>
  <c r="Q570" i="11"/>
  <c r="P570" i="11"/>
  <c r="O570" i="11"/>
  <c r="N570" i="11"/>
  <c r="M570" i="11"/>
  <c r="L570" i="11"/>
  <c r="K570" i="11"/>
  <c r="R569" i="11"/>
  <c r="Q569" i="11"/>
  <c r="P569" i="11"/>
  <c r="O569" i="11"/>
  <c r="N569" i="11"/>
  <c r="M569" i="11"/>
  <c r="L569" i="11"/>
  <c r="K569" i="11"/>
  <c r="R568" i="11"/>
  <c r="Q568" i="11"/>
  <c r="P568" i="11"/>
  <c r="O568" i="11"/>
  <c r="N568" i="11"/>
  <c r="M568" i="11"/>
  <c r="L568" i="11"/>
  <c r="K568" i="11"/>
  <c r="R567" i="11"/>
  <c r="Q567" i="11"/>
  <c r="P567" i="11"/>
  <c r="O567" i="11"/>
  <c r="N567" i="11"/>
  <c r="M567" i="11"/>
  <c r="L567" i="11"/>
  <c r="K567" i="11"/>
  <c r="R566" i="11"/>
  <c r="Q566" i="11"/>
  <c r="P566" i="11"/>
  <c r="O566" i="11"/>
  <c r="N566" i="11"/>
  <c r="M566" i="11"/>
  <c r="L566" i="11"/>
  <c r="K566" i="11"/>
  <c r="R565" i="11"/>
  <c r="Q565" i="11"/>
  <c r="P565" i="11"/>
  <c r="O565" i="11"/>
  <c r="N565" i="11"/>
  <c r="M565" i="11"/>
  <c r="L565" i="11"/>
  <c r="K565" i="11"/>
  <c r="R564" i="11"/>
  <c r="Q564" i="11"/>
  <c r="P564" i="11"/>
  <c r="O564" i="11"/>
  <c r="N564" i="11"/>
  <c r="M564" i="11"/>
  <c r="L564" i="11"/>
  <c r="K564" i="11"/>
  <c r="R563" i="11"/>
  <c r="Q563" i="11"/>
  <c r="P563" i="11"/>
  <c r="O563" i="11"/>
  <c r="N563" i="11"/>
  <c r="M563" i="11"/>
  <c r="L563" i="11"/>
  <c r="K563" i="11"/>
  <c r="R561" i="11"/>
  <c r="Q561" i="11"/>
  <c r="P561" i="11"/>
  <c r="O561" i="11"/>
  <c r="N561" i="11"/>
  <c r="M561" i="11"/>
  <c r="L561" i="11"/>
  <c r="K561" i="11"/>
  <c r="R560" i="11"/>
  <c r="Q560" i="11"/>
  <c r="P560" i="11"/>
  <c r="O560" i="11"/>
  <c r="N560" i="11"/>
  <c r="M560" i="11"/>
  <c r="L560" i="11"/>
  <c r="K560" i="11"/>
  <c r="R559" i="11"/>
  <c r="Q559" i="11"/>
  <c r="P559" i="11"/>
  <c r="O559" i="11"/>
  <c r="N559" i="11"/>
  <c r="M559" i="11"/>
  <c r="L559" i="11"/>
  <c r="K559" i="11"/>
  <c r="R558" i="11"/>
  <c r="Q558" i="11"/>
  <c r="P558" i="11"/>
  <c r="O558" i="11"/>
  <c r="N558" i="11"/>
  <c r="M558" i="11"/>
  <c r="L558" i="11"/>
  <c r="K558" i="11"/>
  <c r="R557" i="11"/>
  <c r="Q557" i="11"/>
  <c r="P557" i="11"/>
  <c r="O557" i="11"/>
  <c r="N557" i="11"/>
  <c r="M557" i="11"/>
  <c r="L557" i="11"/>
  <c r="K557" i="11"/>
  <c r="R556" i="11"/>
  <c r="Q556" i="11"/>
  <c r="P556" i="11"/>
  <c r="O556" i="11"/>
  <c r="N556" i="11"/>
  <c r="M556" i="11"/>
  <c r="L556" i="11"/>
  <c r="K556" i="11"/>
  <c r="R555" i="11"/>
  <c r="Q555" i="11"/>
  <c r="P555" i="11"/>
  <c r="O555" i="11"/>
  <c r="N555" i="11"/>
  <c r="M555" i="11"/>
  <c r="L555" i="11"/>
  <c r="K555" i="11"/>
  <c r="R554" i="11"/>
  <c r="Q554" i="11"/>
  <c r="P554" i="11"/>
  <c r="O554" i="11"/>
  <c r="N554" i="11"/>
  <c r="M554" i="11"/>
  <c r="L554" i="11"/>
  <c r="K554" i="11"/>
  <c r="R553" i="11"/>
  <c r="Q553" i="11"/>
  <c r="P553" i="11"/>
  <c r="O553" i="11"/>
  <c r="N553" i="11"/>
  <c r="M553" i="11"/>
  <c r="L553" i="11"/>
  <c r="K553" i="11"/>
  <c r="R552" i="11"/>
  <c r="Q552" i="11"/>
  <c r="P552" i="11"/>
  <c r="O552" i="11"/>
  <c r="N552" i="11"/>
  <c r="M552" i="11"/>
  <c r="L552" i="11"/>
  <c r="K552" i="11"/>
  <c r="R551" i="11"/>
  <c r="Q551" i="11"/>
  <c r="P551" i="11"/>
  <c r="O551" i="11"/>
  <c r="N551" i="11"/>
  <c r="M551" i="11"/>
  <c r="L551" i="11"/>
  <c r="K551" i="11"/>
  <c r="R550" i="11"/>
  <c r="Q550" i="11"/>
  <c r="P550" i="11"/>
  <c r="O550" i="11"/>
  <c r="N550" i="11"/>
  <c r="M550" i="11"/>
  <c r="L550" i="11"/>
  <c r="K550" i="11"/>
  <c r="R549" i="11"/>
  <c r="Q549" i="11"/>
  <c r="P549" i="11"/>
  <c r="O549" i="11"/>
  <c r="N549" i="11"/>
  <c r="M549" i="11"/>
  <c r="L549" i="11"/>
  <c r="K549" i="11"/>
  <c r="R548" i="11"/>
  <c r="Q548" i="11"/>
  <c r="P548" i="11"/>
  <c r="O548" i="11"/>
  <c r="N548" i="11"/>
  <c r="M548" i="11"/>
  <c r="L548" i="11"/>
  <c r="K548" i="11"/>
  <c r="R547" i="11"/>
  <c r="Q547" i="11"/>
  <c r="P547" i="11"/>
  <c r="O547" i="11"/>
  <c r="N547" i="11"/>
  <c r="M547" i="11"/>
  <c r="L547" i="11"/>
  <c r="K547" i="11"/>
  <c r="R546" i="11"/>
  <c r="Q546" i="11"/>
  <c r="P546" i="11"/>
  <c r="O546" i="11"/>
  <c r="N546" i="11"/>
  <c r="M546" i="11"/>
  <c r="L546" i="11"/>
  <c r="K546" i="11"/>
  <c r="R544" i="11"/>
  <c r="Q544" i="11"/>
  <c r="P544" i="11"/>
  <c r="O544" i="11"/>
  <c r="N544" i="11"/>
  <c r="M544" i="11"/>
  <c r="L544" i="11"/>
  <c r="K544" i="11"/>
  <c r="R543" i="11"/>
  <c r="Q543" i="11"/>
  <c r="P543" i="11"/>
  <c r="O543" i="11"/>
  <c r="N543" i="11"/>
  <c r="M543" i="11"/>
  <c r="L543" i="11"/>
  <c r="K543" i="11"/>
  <c r="R542" i="11"/>
  <c r="Q542" i="11"/>
  <c r="P542" i="11"/>
  <c r="O542" i="11"/>
  <c r="N542" i="11"/>
  <c r="M542" i="11"/>
  <c r="L542" i="11"/>
  <c r="K542" i="11"/>
  <c r="R541" i="11"/>
  <c r="Q541" i="11"/>
  <c r="P541" i="11"/>
  <c r="O541" i="11"/>
  <c r="N541" i="11"/>
  <c r="M541" i="11"/>
  <c r="L541" i="11"/>
  <c r="K541" i="11"/>
  <c r="R540" i="11"/>
  <c r="Q540" i="11"/>
  <c r="P540" i="11"/>
  <c r="O540" i="11"/>
  <c r="N540" i="11"/>
  <c r="M540" i="11"/>
  <c r="L540" i="11"/>
  <c r="K540" i="11"/>
  <c r="R539" i="11"/>
  <c r="Q539" i="11"/>
  <c r="P539" i="11"/>
  <c r="O539" i="11"/>
  <c r="N539" i="11"/>
  <c r="M539" i="11"/>
  <c r="L539" i="11"/>
  <c r="K539" i="11"/>
  <c r="R538" i="11"/>
  <c r="Q538" i="11"/>
  <c r="P538" i="11"/>
  <c r="O538" i="11"/>
  <c r="N538" i="11"/>
  <c r="M538" i="11"/>
  <c r="L538" i="11"/>
  <c r="K538" i="11"/>
  <c r="R537" i="11"/>
  <c r="Q537" i="11"/>
  <c r="P537" i="11"/>
  <c r="O537" i="11"/>
  <c r="N537" i="11"/>
  <c r="M537" i="11"/>
  <c r="L537" i="11"/>
  <c r="K537" i="11"/>
  <c r="R536" i="11"/>
  <c r="Q536" i="11"/>
  <c r="P536" i="11"/>
  <c r="O536" i="11"/>
  <c r="N536" i="11"/>
  <c r="M536" i="11"/>
  <c r="L536" i="11"/>
  <c r="K536" i="11"/>
  <c r="R535" i="11"/>
  <c r="Q535" i="11"/>
  <c r="P535" i="11"/>
  <c r="O535" i="11"/>
  <c r="N535" i="11"/>
  <c r="M535" i="11"/>
  <c r="L535" i="11"/>
  <c r="K535" i="11"/>
  <c r="R534" i="11"/>
  <c r="Q534" i="11"/>
  <c r="P534" i="11"/>
  <c r="O534" i="11"/>
  <c r="N534" i="11"/>
  <c r="M534" i="11"/>
  <c r="L534" i="11"/>
  <c r="K534" i="11"/>
  <c r="R533" i="11"/>
  <c r="Q533" i="11"/>
  <c r="P533" i="11"/>
  <c r="O533" i="11"/>
  <c r="N533" i="11"/>
  <c r="M533" i="11"/>
  <c r="L533" i="11"/>
  <c r="K533" i="11"/>
  <c r="R532" i="11"/>
  <c r="Q532" i="11"/>
  <c r="P532" i="11"/>
  <c r="O532" i="11"/>
  <c r="N532" i="11"/>
  <c r="M532" i="11"/>
  <c r="L532" i="11"/>
  <c r="K532" i="11"/>
  <c r="R531" i="11"/>
  <c r="Q531" i="11"/>
  <c r="P531" i="11"/>
  <c r="O531" i="11"/>
  <c r="N531" i="11"/>
  <c r="M531" i="11"/>
  <c r="L531" i="11"/>
  <c r="K531" i="11"/>
  <c r="R530" i="11"/>
  <c r="Q530" i="11"/>
  <c r="P530" i="11"/>
  <c r="O530" i="11"/>
  <c r="N530" i="11"/>
  <c r="M530" i="11"/>
  <c r="L530" i="11"/>
  <c r="K530" i="11"/>
  <c r="R529" i="11"/>
  <c r="Q529" i="11"/>
  <c r="P529" i="11"/>
  <c r="O529" i="11"/>
  <c r="N529" i="11"/>
  <c r="M529" i="11"/>
  <c r="L529" i="11"/>
  <c r="K529" i="11"/>
  <c r="R527" i="11"/>
  <c r="Q527" i="11"/>
  <c r="P527" i="11"/>
  <c r="O527" i="11"/>
  <c r="N527" i="11"/>
  <c r="M527" i="11"/>
  <c r="L527" i="11"/>
  <c r="K527" i="11"/>
  <c r="R526" i="11"/>
  <c r="Q526" i="11"/>
  <c r="P526" i="11"/>
  <c r="O526" i="11"/>
  <c r="N526" i="11"/>
  <c r="M526" i="11"/>
  <c r="L526" i="11"/>
  <c r="K526" i="11"/>
  <c r="R525" i="11"/>
  <c r="Q525" i="11"/>
  <c r="P525" i="11"/>
  <c r="O525" i="11"/>
  <c r="N525" i="11"/>
  <c r="M525" i="11"/>
  <c r="L525" i="11"/>
  <c r="K525" i="11"/>
  <c r="R524" i="11"/>
  <c r="Q524" i="11"/>
  <c r="P524" i="11"/>
  <c r="O524" i="11"/>
  <c r="N524" i="11"/>
  <c r="M524" i="11"/>
  <c r="L524" i="11"/>
  <c r="K524" i="11"/>
  <c r="R523" i="11"/>
  <c r="Q523" i="11"/>
  <c r="P523" i="11"/>
  <c r="O523" i="11"/>
  <c r="N523" i="11"/>
  <c r="M523" i="11"/>
  <c r="L523" i="11"/>
  <c r="K523" i="11"/>
  <c r="R522" i="11"/>
  <c r="Q522" i="11"/>
  <c r="P522" i="11"/>
  <c r="O522" i="11"/>
  <c r="N522" i="11"/>
  <c r="M522" i="11"/>
  <c r="L522" i="11"/>
  <c r="K522" i="11"/>
  <c r="R521" i="11"/>
  <c r="Q521" i="11"/>
  <c r="P521" i="11"/>
  <c r="O521" i="11"/>
  <c r="N521" i="11"/>
  <c r="M521" i="11"/>
  <c r="L521" i="11"/>
  <c r="K521" i="11"/>
  <c r="R520" i="11"/>
  <c r="Q520" i="11"/>
  <c r="P520" i="11"/>
  <c r="O520" i="11"/>
  <c r="N520" i="11"/>
  <c r="M520" i="11"/>
  <c r="L520" i="11"/>
  <c r="K520" i="11"/>
  <c r="R519" i="11"/>
  <c r="Q519" i="11"/>
  <c r="P519" i="11"/>
  <c r="O519" i="11"/>
  <c r="N519" i="11"/>
  <c r="M519" i="11"/>
  <c r="L519" i="11"/>
  <c r="K519" i="11"/>
  <c r="R518" i="11"/>
  <c r="Q518" i="11"/>
  <c r="P518" i="11"/>
  <c r="O518" i="11"/>
  <c r="N518" i="11"/>
  <c r="M518" i="11"/>
  <c r="L518" i="11"/>
  <c r="K518" i="11"/>
  <c r="R517" i="11"/>
  <c r="Q517" i="11"/>
  <c r="P517" i="11"/>
  <c r="O517" i="11"/>
  <c r="N517" i="11"/>
  <c r="M517" i="11"/>
  <c r="L517" i="11"/>
  <c r="K517" i="11"/>
  <c r="R516" i="11"/>
  <c r="Q516" i="11"/>
  <c r="P516" i="11"/>
  <c r="O516" i="11"/>
  <c r="N516" i="11"/>
  <c r="M516" i="11"/>
  <c r="L516" i="11"/>
  <c r="K516" i="11"/>
  <c r="R515" i="11"/>
  <c r="Q515" i="11"/>
  <c r="P515" i="11"/>
  <c r="O515" i="11"/>
  <c r="N515" i="11"/>
  <c r="M515" i="11"/>
  <c r="L515" i="11"/>
  <c r="K515" i="11"/>
  <c r="R514" i="11"/>
  <c r="Q514" i="11"/>
  <c r="P514" i="11"/>
  <c r="O514" i="11"/>
  <c r="N514" i="11"/>
  <c r="M514" i="11"/>
  <c r="L514" i="11"/>
  <c r="K514" i="11"/>
  <c r="R513" i="11"/>
  <c r="Q513" i="11"/>
  <c r="P513" i="11"/>
  <c r="O513" i="11"/>
  <c r="N513" i="11"/>
  <c r="M513" i="11"/>
  <c r="L513" i="11"/>
  <c r="K513" i="11"/>
  <c r="R512" i="11"/>
  <c r="Q512" i="11"/>
  <c r="P512" i="11"/>
  <c r="O512" i="11"/>
  <c r="N512" i="11"/>
  <c r="M512" i="11"/>
  <c r="L512" i="11"/>
  <c r="K512" i="11"/>
  <c r="R510" i="11"/>
  <c r="Q510" i="11"/>
  <c r="P510" i="11"/>
  <c r="O510" i="11"/>
  <c r="N510" i="11"/>
  <c r="M510" i="11"/>
  <c r="L510" i="11"/>
  <c r="K510" i="11"/>
  <c r="R509" i="11"/>
  <c r="Q509" i="11"/>
  <c r="P509" i="11"/>
  <c r="O509" i="11"/>
  <c r="N509" i="11"/>
  <c r="M509" i="11"/>
  <c r="L509" i="11"/>
  <c r="K509" i="11"/>
  <c r="R508" i="11"/>
  <c r="Q508" i="11"/>
  <c r="P508" i="11"/>
  <c r="O508" i="11"/>
  <c r="N508" i="11"/>
  <c r="M508" i="11"/>
  <c r="L508" i="11"/>
  <c r="K508" i="11"/>
  <c r="R507" i="11"/>
  <c r="Q507" i="11"/>
  <c r="P507" i="11"/>
  <c r="O507" i="11"/>
  <c r="N507" i="11"/>
  <c r="M507" i="11"/>
  <c r="L507" i="11"/>
  <c r="K507" i="11"/>
  <c r="R506" i="11"/>
  <c r="Q506" i="11"/>
  <c r="P506" i="11"/>
  <c r="O506" i="11"/>
  <c r="N506" i="11"/>
  <c r="M506" i="11"/>
  <c r="L506" i="11"/>
  <c r="K506" i="11"/>
  <c r="R505" i="11"/>
  <c r="Q505" i="11"/>
  <c r="P505" i="11"/>
  <c r="O505" i="11"/>
  <c r="N505" i="11"/>
  <c r="M505" i="11"/>
  <c r="L505" i="11"/>
  <c r="K505" i="11"/>
  <c r="R504" i="11"/>
  <c r="Q504" i="11"/>
  <c r="P504" i="11"/>
  <c r="O504" i="11"/>
  <c r="N504" i="11"/>
  <c r="M504" i="11"/>
  <c r="L504" i="11"/>
  <c r="K504" i="11"/>
  <c r="R503" i="11"/>
  <c r="Q503" i="11"/>
  <c r="P503" i="11"/>
  <c r="O503" i="11"/>
  <c r="N503" i="11"/>
  <c r="M503" i="11"/>
  <c r="L503" i="11"/>
  <c r="K503" i="11"/>
  <c r="R502" i="11"/>
  <c r="Q502" i="11"/>
  <c r="P502" i="11"/>
  <c r="O502" i="11"/>
  <c r="N502" i="11"/>
  <c r="M502" i="11"/>
  <c r="L502" i="11"/>
  <c r="K502" i="11"/>
  <c r="R501" i="11"/>
  <c r="Q501" i="11"/>
  <c r="P501" i="11"/>
  <c r="O501" i="11"/>
  <c r="N501" i="11"/>
  <c r="M501" i="11"/>
  <c r="L501" i="11"/>
  <c r="K501" i="11"/>
  <c r="R500" i="11"/>
  <c r="Q500" i="11"/>
  <c r="P500" i="11"/>
  <c r="O500" i="11"/>
  <c r="N500" i="11"/>
  <c r="M500" i="11"/>
  <c r="L500" i="11"/>
  <c r="K500" i="11"/>
  <c r="R499" i="11"/>
  <c r="Q499" i="11"/>
  <c r="P499" i="11"/>
  <c r="O499" i="11"/>
  <c r="N499" i="11"/>
  <c r="M499" i="11"/>
  <c r="L499" i="11"/>
  <c r="K499" i="11"/>
  <c r="R498" i="11"/>
  <c r="Q498" i="11"/>
  <c r="P498" i="11"/>
  <c r="O498" i="11"/>
  <c r="N498" i="11"/>
  <c r="M498" i="11"/>
  <c r="L498" i="11"/>
  <c r="K498" i="11"/>
  <c r="R497" i="11"/>
  <c r="Q497" i="11"/>
  <c r="P497" i="11"/>
  <c r="O497" i="11"/>
  <c r="N497" i="11"/>
  <c r="M497" i="11"/>
  <c r="L497" i="11"/>
  <c r="K497" i="11"/>
  <c r="R496" i="11"/>
  <c r="Q496" i="11"/>
  <c r="P496" i="11"/>
  <c r="O496" i="11"/>
  <c r="N496" i="11"/>
  <c r="M496" i="11"/>
  <c r="L496" i="11"/>
  <c r="K496" i="11"/>
  <c r="R272" i="11"/>
  <c r="Q272" i="11"/>
  <c r="P272" i="11"/>
  <c r="O272" i="11"/>
  <c r="N272" i="11"/>
  <c r="M272" i="11"/>
  <c r="L272" i="11"/>
  <c r="K272" i="11"/>
  <c r="R271" i="11"/>
  <c r="Q271" i="11"/>
  <c r="P271" i="11"/>
  <c r="O271" i="11"/>
  <c r="N271" i="11"/>
  <c r="M271" i="11"/>
  <c r="L271" i="11"/>
  <c r="K271" i="11"/>
  <c r="R270" i="11"/>
  <c r="Q270" i="11"/>
  <c r="P270" i="11"/>
  <c r="O270" i="11"/>
  <c r="N270" i="11"/>
  <c r="M270" i="11"/>
  <c r="L270" i="11"/>
  <c r="K270" i="11"/>
  <c r="R269" i="11"/>
  <c r="Q269" i="11"/>
  <c r="P269" i="11"/>
  <c r="O269" i="11"/>
  <c r="N269" i="11"/>
  <c r="M269" i="11"/>
  <c r="L269" i="11"/>
  <c r="K269" i="11"/>
  <c r="R268" i="11"/>
  <c r="Q268" i="11"/>
  <c r="P268" i="11"/>
  <c r="O268" i="11"/>
  <c r="N268" i="11"/>
  <c r="M268" i="11"/>
  <c r="L268" i="11"/>
  <c r="K268" i="11"/>
  <c r="R267" i="11"/>
  <c r="Q267" i="11"/>
  <c r="P267" i="11"/>
  <c r="O267" i="11"/>
  <c r="N267" i="11"/>
  <c r="M267" i="11"/>
  <c r="L267" i="11"/>
  <c r="K267" i="11"/>
  <c r="R266" i="11"/>
  <c r="Q266" i="11"/>
  <c r="P266" i="11"/>
  <c r="O266" i="11"/>
  <c r="N266" i="11"/>
  <c r="M266" i="11"/>
  <c r="L266" i="11"/>
  <c r="K266" i="11"/>
  <c r="R265" i="11"/>
  <c r="Q265" i="11"/>
  <c r="P265" i="11"/>
  <c r="O265" i="11"/>
  <c r="N265" i="11"/>
  <c r="M265" i="11"/>
  <c r="L265" i="11"/>
  <c r="K265" i="11"/>
  <c r="R264" i="11"/>
  <c r="Q264" i="11"/>
  <c r="P264" i="11"/>
  <c r="O264" i="11"/>
  <c r="N264" i="11"/>
  <c r="M264" i="11"/>
  <c r="L264" i="11"/>
  <c r="K264" i="11"/>
  <c r="R263" i="11"/>
  <c r="Q263" i="11"/>
  <c r="P263" i="11"/>
  <c r="O263" i="11"/>
  <c r="N263" i="11"/>
  <c r="M263" i="11"/>
  <c r="L263" i="11"/>
  <c r="K263" i="11"/>
  <c r="R262" i="11"/>
  <c r="Q262" i="11"/>
  <c r="P262" i="11"/>
  <c r="O262" i="11"/>
  <c r="N262" i="11"/>
  <c r="M262" i="11"/>
  <c r="L262" i="11"/>
  <c r="K262" i="11"/>
  <c r="R261" i="11"/>
  <c r="Q261" i="11"/>
  <c r="P261" i="11"/>
  <c r="O261" i="11"/>
  <c r="N261" i="11"/>
  <c r="M261" i="11"/>
  <c r="L261" i="11"/>
  <c r="K261" i="11"/>
  <c r="R260" i="11"/>
  <c r="Q260" i="11"/>
  <c r="P260" i="11"/>
  <c r="O260" i="11"/>
  <c r="N260" i="11"/>
  <c r="M260" i="11"/>
  <c r="L260" i="11"/>
  <c r="K260" i="11"/>
  <c r="R259" i="11"/>
  <c r="Q259" i="11"/>
  <c r="P259" i="11"/>
  <c r="O259" i="11"/>
  <c r="N259" i="11"/>
  <c r="M259" i="11"/>
  <c r="L259" i="11"/>
  <c r="K259" i="11"/>
  <c r="R258" i="11"/>
  <c r="Q258" i="11"/>
  <c r="P258" i="11"/>
  <c r="O258" i="11"/>
  <c r="N258" i="11"/>
  <c r="M258" i="11"/>
  <c r="L258" i="11"/>
  <c r="K258" i="11"/>
  <c r="R257" i="11"/>
  <c r="Q257" i="11"/>
  <c r="P257" i="11"/>
  <c r="O257" i="11"/>
  <c r="N257" i="11"/>
  <c r="M257" i="11"/>
  <c r="L257" i="11"/>
  <c r="K257" i="11"/>
  <c r="R255" i="11"/>
  <c r="Q255" i="11"/>
  <c r="P255" i="11"/>
  <c r="O255" i="11"/>
  <c r="N255" i="11"/>
  <c r="M255" i="11"/>
  <c r="L255" i="11"/>
  <c r="K255" i="11"/>
  <c r="R254" i="11"/>
  <c r="Q254" i="11"/>
  <c r="P254" i="11"/>
  <c r="O254" i="11"/>
  <c r="N254" i="11"/>
  <c r="M254" i="11"/>
  <c r="L254" i="11"/>
  <c r="K254" i="11"/>
  <c r="R253" i="11"/>
  <c r="Q253" i="11"/>
  <c r="P253" i="11"/>
  <c r="O253" i="11"/>
  <c r="N253" i="11"/>
  <c r="M253" i="11"/>
  <c r="L253" i="11"/>
  <c r="K253" i="11"/>
  <c r="R252" i="11"/>
  <c r="Q252" i="11"/>
  <c r="P252" i="11"/>
  <c r="O252" i="11"/>
  <c r="N252" i="11"/>
  <c r="M252" i="11"/>
  <c r="L252" i="11"/>
  <c r="K252" i="11"/>
  <c r="R251" i="11"/>
  <c r="Q251" i="11"/>
  <c r="P251" i="11"/>
  <c r="O251" i="11"/>
  <c r="N251" i="11"/>
  <c r="M251" i="11"/>
  <c r="L251" i="11"/>
  <c r="K251" i="11"/>
  <c r="R250" i="11"/>
  <c r="Q250" i="11"/>
  <c r="P250" i="11"/>
  <c r="O250" i="11"/>
  <c r="N250" i="11"/>
  <c r="M250" i="11"/>
  <c r="L250" i="11"/>
  <c r="K250" i="11"/>
  <c r="R249" i="11"/>
  <c r="Q249" i="11"/>
  <c r="P249" i="11"/>
  <c r="O249" i="11"/>
  <c r="N249" i="11"/>
  <c r="M249" i="11"/>
  <c r="L249" i="11"/>
  <c r="K249" i="11"/>
  <c r="R248" i="11"/>
  <c r="Q248" i="11"/>
  <c r="P248" i="11"/>
  <c r="O248" i="11"/>
  <c r="N248" i="11"/>
  <c r="M248" i="11"/>
  <c r="L248" i="11"/>
  <c r="K248" i="11"/>
  <c r="R247" i="11"/>
  <c r="Q247" i="11"/>
  <c r="P247" i="11"/>
  <c r="O247" i="11"/>
  <c r="N247" i="11"/>
  <c r="M247" i="11"/>
  <c r="L247" i="11"/>
  <c r="K247" i="11"/>
  <c r="R246" i="11"/>
  <c r="Q246" i="11"/>
  <c r="P246" i="11"/>
  <c r="O246" i="11"/>
  <c r="N246" i="11"/>
  <c r="M246" i="11"/>
  <c r="L246" i="11"/>
  <c r="K246" i="11"/>
  <c r="R245" i="11"/>
  <c r="Q245" i="11"/>
  <c r="P245" i="11"/>
  <c r="O245" i="11"/>
  <c r="N245" i="11"/>
  <c r="M245" i="11"/>
  <c r="L245" i="11"/>
  <c r="K245" i="11"/>
  <c r="R244" i="11"/>
  <c r="Q244" i="11"/>
  <c r="P244" i="11"/>
  <c r="O244" i="11"/>
  <c r="N244" i="11"/>
  <c r="M244" i="11"/>
  <c r="L244" i="11"/>
  <c r="K244" i="11"/>
  <c r="R243" i="11"/>
  <c r="Q243" i="11"/>
  <c r="P243" i="11"/>
  <c r="O243" i="11"/>
  <c r="N243" i="11"/>
  <c r="M243" i="11"/>
  <c r="L243" i="11"/>
  <c r="K243" i="11"/>
  <c r="R242" i="11"/>
  <c r="Q242" i="11"/>
  <c r="P242" i="11"/>
  <c r="O242" i="11"/>
  <c r="N242" i="11"/>
  <c r="M242" i="11"/>
  <c r="L242" i="11"/>
  <c r="K242" i="11"/>
  <c r="R241" i="11"/>
  <c r="Q241" i="11"/>
  <c r="P241" i="11"/>
  <c r="O241" i="11"/>
  <c r="N241" i="11"/>
  <c r="M241" i="11"/>
  <c r="L241" i="11"/>
  <c r="K241" i="11"/>
  <c r="R240" i="11"/>
  <c r="Q240" i="11"/>
  <c r="P240" i="11"/>
  <c r="O240" i="11"/>
  <c r="N240" i="11"/>
  <c r="M240" i="11"/>
  <c r="L240" i="11"/>
  <c r="K240" i="11"/>
  <c r="R238" i="11"/>
  <c r="Q238" i="11"/>
  <c r="P238" i="11"/>
  <c r="O238" i="11"/>
  <c r="N238" i="11"/>
  <c r="M238" i="11"/>
  <c r="L238" i="11"/>
  <c r="K238" i="11"/>
  <c r="R237" i="11"/>
  <c r="Q237" i="11"/>
  <c r="P237" i="11"/>
  <c r="O237" i="11"/>
  <c r="N237" i="11"/>
  <c r="M237" i="11"/>
  <c r="L237" i="11"/>
  <c r="K237" i="11"/>
  <c r="R236" i="11"/>
  <c r="Q236" i="11"/>
  <c r="P236" i="11"/>
  <c r="O236" i="11"/>
  <c r="N236" i="11"/>
  <c r="M236" i="11"/>
  <c r="L236" i="11"/>
  <c r="K236" i="11"/>
  <c r="R235" i="11"/>
  <c r="Q235" i="11"/>
  <c r="P235" i="11"/>
  <c r="O235" i="11"/>
  <c r="N235" i="11"/>
  <c r="M235" i="11"/>
  <c r="L235" i="11"/>
  <c r="K235" i="11"/>
  <c r="R234" i="11"/>
  <c r="Q234" i="11"/>
  <c r="P234" i="11"/>
  <c r="O234" i="11"/>
  <c r="N234" i="11"/>
  <c r="M234" i="11"/>
  <c r="L234" i="11"/>
  <c r="K234" i="11"/>
  <c r="R233" i="11"/>
  <c r="Q233" i="11"/>
  <c r="P233" i="11"/>
  <c r="O233" i="11"/>
  <c r="N233" i="11"/>
  <c r="M233" i="11"/>
  <c r="L233" i="11"/>
  <c r="K233" i="11"/>
  <c r="R232" i="11"/>
  <c r="Q232" i="11"/>
  <c r="P232" i="11"/>
  <c r="O232" i="11"/>
  <c r="N232" i="11"/>
  <c r="M232" i="11"/>
  <c r="L232" i="11"/>
  <c r="K232" i="11"/>
  <c r="R231" i="11"/>
  <c r="Q231" i="11"/>
  <c r="P231" i="11"/>
  <c r="O231" i="11"/>
  <c r="N231" i="11"/>
  <c r="M231" i="11"/>
  <c r="L231" i="11"/>
  <c r="K231" i="11"/>
  <c r="R230" i="11"/>
  <c r="Q230" i="11"/>
  <c r="P230" i="11"/>
  <c r="O230" i="11"/>
  <c r="N230" i="11"/>
  <c r="M230" i="11"/>
  <c r="L230" i="11"/>
  <c r="K230" i="11"/>
  <c r="R229" i="11"/>
  <c r="Q229" i="11"/>
  <c r="P229" i="11"/>
  <c r="O229" i="11"/>
  <c r="N229" i="11"/>
  <c r="M229" i="11"/>
  <c r="L229" i="11"/>
  <c r="K229" i="11"/>
  <c r="R228" i="11"/>
  <c r="Q228" i="11"/>
  <c r="P228" i="11"/>
  <c r="O228" i="11"/>
  <c r="N228" i="11"/>
  <c r="M228" i="11"/>
  <c r="L228" i="11"/>
  <c r="K228" i="11"/>
  <c r="R227" i="11"/>
  <c r="Q227" i="11"/>
  <c r="P227" i="11"/>
  <c r="O227" i="11"/>
  <c r="N227" i="11"/>
  <c r="M227" i="11"/>
  <c r="L227" i="11"/>
  <c r="K227" i="11"/>
  <c r="R226" i="11"/>
  <c r="Q226" i="11"/>
  <c r="P226" i="11"/>
  <c r="O226" i="11"/>
  <c r="N226" i="11"/>
  <c r="M226" i="11"/>
  <c r="L226" i="11"/>
  <c r="K226" i="11"/>
  <c r="R225" i="11"/>
  <c r="Q225" i="11"/>
  <c r="P225" i="11"/>
  <c r="O225" i="11"/>
  <c r="N225" i="11"/>
  <c r="M225" i="11"/>
  <c r="L225" i="11"/>
  <c r="K225" i="11"/>
  <c r="R224" i="11"/>
  <c r="Q224" i="11"/>
  <c r="P224" i="11"/>
  <c r="O224" i="11"/>
  <c r="N224" i="11"/>
  <c r="M224" i="11"/>
  <c r="L224" i="11"/>
  <c r="K224" i="11"/>
  <c r="R223" i="11"/>
  <c r="Q223" i="11"/>
  <c r="P223" i="11"/>
  <c r="O223" i="11"/>
  <c r="N223" i="11"/>
  <c r="M223" i="11"/>
  <c r="L223" i="11"/>
  <c r="K223" i="11"/>
  <c r="R221" i="11"/>
  <c r="Q221" i="11"/>
  <c r="P221" i="11"/>
  <c r="O221" i="11"/>
  <c r="N221" i="11"/>
  <c r="M221" i="11"/>
  <c r="L221" i="11"/>
  <c r="K221" i="11"/>
  <c r="R220" i="11"/>
  <c r="Q220" i="11"/>
  <c r="P220" i="11"/>
  <c r="O220" i="11"/>
  <c r="N220" i="11"/>
  <c r="M220" i="11"/>
  <c r="L220" i="11"/>
  <c r="K220" i="11"/>
  <c r="R219" i="11"/>
  <c r="Q219" i="11"/>
  <c r="P219" i="11"/>
  <c r="O219" i="11"/>
  <c r="N219" i="11"/>
  <c r="M219" i="11"/>
  <c r="L219" i="11"/>
  <c r="K219" i="11"/>
  <c r="R218" i="11"/>
  <c r="Q218" i="11"/>
  <c r="P218" i="11"/>
  <c r="O218" i="11"/>
  <c r="N218" i="11"/>
  <c r="M218" i="11"/>
  <c r="L218" i="11"/>
  <c r="K218" i="11"/>
  <c r="R217" i="11"/>
  <c r="Q217" i="11"/>
  <c r="P217" i="11"/>
  <c r="O217" i="11"/>
  <c r="N217" i="11"/>
  <c r="M217" i="11"/>
  <c r="L217" i="11"/>
  <c r="K217" i="11"/>
  <c r="R216" i="11"/>
  <c r="Q216" i="11"/>
  <c r="P216" i="11"/>
  <c r="O216" i="11"/>
  <c r="N216" i="11"/>
  <c r="M216" i="11"/>
  <c r="L216" i="11"/>
  <c r="K216" i="11"/>
  <c r="R215" i="11"/>
  <c r="Q215" i="11"/>
  <c r="P215" i="11"/>
  <c r="O215" i="11"/>
  <c r="N215" i="11"/>
  <c r="M215" i="11"/>
  <c r="L215" i="11"/>
  <c r="K215" i="11"/>
  <c r="R214" i="11"/>
  <c r="Q214" i="11"/>
  <c r="P214" i="11"/>
  <c r="O214" i="11"/>
  <c r="N214" i="11"/>
  <c r="M214" i="11"/>
  <c r="L214" i="11"/>
  <c r="K214" i="11"/>
  <c r="R213" i="11"/>
  <c r="Q213" i="11"/>
  <c r="P213" i="11"/>
  <c r="O213" i="11"/>
  <c r="N213" i="11"/>
  <c r="M213" i="11"/>
  <c r="L213" i="11"/>
  <c r="K213" i="11"/>
  <c r="R85" i="11"/>
  <c r="Q85" i="11"/>
  <c r="P85" i="11"/>
  <c r="O85" i="11"/>
  <c r="N85" i="11"/>
  <c r="M85" i="11"/>
  <c r="L85" i="11"/>
  <c r="K85" i="11"/>
  <c r="R84" i="11"/>
  <c r="Q84" i="11"/>
  <c r="P84" i="11"/>
  <c r="O84" i="11"/>
  <c r="N84" i="11"/>
  <c r="M84" i="11"/>
  <c r="L84" i="11"/>
  <c r="K84" i="11"/>
  <c r="R83" i="11"/>
  <c r="Q83" i="11"/>
  <c r="P83" i="11"/>
  <c r="O83" i="11"/>
  <c r="N83" i="11"/>
  <c r="M83" i="11"/>
  <c r="L83" i="11"/>
  <c r="K83" i="11"/>
  <c r="R82" i="11"/>
  <c r="Q82" i="11"/>
  <c r="P82" i="11"/>
  <c r="O82" i="11"/>
  <c r="N82" i="11"/>
  <c r="M82" i="11"/>
  <c r="L82" i="11"/>
  <c r="K82" i="11"/>
  <c r="R81" i="11"/>
  <c r="Q81" i="11"/>
  <c r="P81" i="11"/>
  <c r="O81" i="11"/>
  <c r="N81" i="11"/>
  <c r="M81" i="11"/>
  <c r="L81" i="11"/>
  <c r="K81" i="11"/>
  <c r="R80" i="11"/>
  <c r="Q80" i="11"/>
  <c r="P80" i="11"/>
  <c r="O80" i="11"/>
  <c r="N80" i="11"/>
  <c r="M80" i="11"/>
  <c r="L80" i="11"/>
  <c r="K80" i="11"/>
  <c r="R79" i="11"/>
  <c r="Q79" i="11"/>
  <c r="P79" i="11"/>
  <c r="O79" i="11"/>
  <c r="N79" i="11"/>
  <c r="M79" i="11"/>
  <c r="L79" i="11"/>
  <c r="K79" i="11"/>
  <c r="R78" i="11"/>
  <c r="Q78" i="11"/>
  <c r="P78" i="11"/>
  <c r="O78" i="11"/>
  <c r="N78" i="11"/>
  <c r="M78" i="11"/>
  <c r="L78" i="11"/>
  <c r="K78" i="11"/>
  <c r="R77" i="11"/>
  <c r="Q77" i="11"/>
  <c r="P77" i="11"/>
  <c r="O77" i="11"/>
  <c r="N77" i="11"/>
  <c r="M77" i="11"/>
  <c r="L77" i="11"/>
  <c r="K77" i="11"/>
  <c r="R76" i="11"/>
  <c r="Q76" i="11"/>
  <c r="P76" i="11"/>
  <c r="O76" i="11"/>
  <c r="N76" i="11"/>
  <c r="M76" i="11"/>
  <c r="L76" i="11"/>
  <c r="K76" i="11"/>
  <c r="R75" i="11"/>
  <c r="Q75" i="11"/>
  <c r="P75" i="11"/>
  <c r="O75" i="11"/>
  <c r="N75" i="11"/>
  <c r="M75" i="11"/>
  <c r="L75" i="11"/>
  <c r="K75" i="11"/>
  <c r="R74" i="11"/>
  <c r="Q74" i="11"/>
  <c r="P74" i="11"/>
  <c r="O74" i="11"/>
  <c r="N74" i="11"/>
  <c r="M74" i="11"/>
  <c r="L74" i="11"/>
  <c r="K74" i="11"/>
  <c r="R73" i="11"/>
  <c r="Q73" i="11"/>
  <c r="P73" i="11"/>
  <c r="O73" i="11"/>
  <c r="N73" i="11"/>
  <c r="M73" i="11"/>
  <c r="L73" i="11"/>
  <c r="K73" i="11"/>
  <c r="R72" i="11"/>
  <c r="Q72" i="11"/>
  <c r="P72" i="11"/>
  <c r="O72" i="11"/>
  <c r="N72" i="11"/>
  <c r="M72" i="11"/>
  <c r="L72" i="11"/>
  <c r="K72" i="11"/>
  <c r="R71" i="11"/>
  <c r="Q71" i="11"/>
  <c r="P71" i="11"/>
  <c r="O71" i="11"/>
  <c r="N71" i="11"/>
  <c r="M71" i="11"/>
  <c r="L71" i="11"/>
  <c r="K71" i="11"/>
  <c r="R70" i="11"/>
  <c r="Q70" i="11"/>
  <c r="P70" i="11"/>
  <c r="O70" i="11"/>
  <c r="N70" i="11"/>
  <c r="M70" i="11"/>
  <c r="L70" i="11"/>
  <c r="K70" i="11"/>
  <c r="R51" i="11"/>
  <c r="Q51" i="11"/>
  <c r="P51" i="11"/>
  <c r="O51" i="11"/>
  <c r="N51" i="11"/>
  <c r="M51" i="11"/>
  <c r="L51" i="11"/>
  <c r="K51" i="11"/>
  <c r="R50" i="11"/>
  <c r="Q50" i="11"/>
  <c r="P50" i="11"/>
  <c r="O50" i="11"/>
  <c r="N50" i="11"/>
  <c r="M50" i="11"/>
  <c r="L50" i="11"/>
  <c r="K50" i="11"/>
  <c r="R49" i="11"/>
  <c r="Q49" i="11"/>
  <c r="P49" i="11"/>
  <c r="O49" i="11"/>
  <c r="N49" i="11"/>
  <c r="M49" i="11"/>
  <c r="L49" i="11"/>
  <c r="K49" i="11"/>
  <c r="R48" i="11"/>
  <c r="Q48" i="11"/>
  <c r="P48" i="11"/>
  <c r="O48" i="11"/>
  <c r="N48" i="11"/>
  <c r="M48" i="11"/>
  <c r="L48" i="11"/>
  <c r="K48" i="11"/>
  <c r="R47" i="11"/>
  <c r="Q47" i="11"/>
  <c r="P47" i="11"/>
  <c r="O47" i="11"/>
  <c r="N47" i="11"/>
  <c r="M47" i="11"/>
  <c r="L47" i="11"/>
  <c r="K47" i="11"/>
  <c r="R46" i="11"/>
  <c r="Q46" i="11"/>
  <c r="P46" i="11"/>
  <c r="O46" i="11"/>
  <c r="N46" i="11"/>
  <c r="M46" i="11"/>
  <c r="L46" i="11"/>
  <c r="K46" i="11"/>
  <c r="R45" i="11"/>
  <c r="Q45" i="11"/>
  <c r="P45" i="11"/>
  <c r="O45" i="11"/>
  <c r="N45" i="11"/>
  <c r="M45" i="11"/>
  <c r="L45" i="11"/>
  <c r="K45" i="11"/>
  <c r="R44" i="11"/>
  <c r="Q44" i="11"/>
  <c r="P44" i="11"/>
  <c r="O44" i="11"/>
  <c r="N44" i="11"/>
  <c r="M44" i="11"/>
  <c r="L44" i="11"/>
  <c r="K44" i="11"/>
  <c r="R43" i="11"/>
  <c r="Q43" i="11"/>
  <c r="P43" i="11"/>
  <c r="O43" i="11"/>
  <c r="N43" i="11"/>
  <c r="M43" i="11"/>
  <c r="L43" i="11"/>
  <c r="K43" i="11"/>
  <c r="R42" i="11"/>
  <c r="Q42" i="11"/>
  <c r="P42" i="11"/>
  <c r="O42" i="11"/>
  <c r="N42" i="11"/>
  <c r="M42" i="11"/>
  <c r="L42" i="11"/>
  <c r="K42" i="11"/>
  <c r="R41" i="11"/>
  <c r="Q41" i="11"/>
  <c r="P41" i="11"/>
  <c r="O41" i="11"/>
  <c r="N41" i="11"/>
  <c r="M41" i="11"/>
  <c r="L41" i="11"/>
  <c r="K41" i="11"/>
  <c r="R40" i="11"/>
  <c r="Q40" i="11"/>
  <c r="P40" i="11"/>
  <c r="O40" i="11"/>
  <c r="N40" i="11"/>
  <c r="M40" i="11"/>
  <c r="L40" i="11"/>
  <c r="K40" i="11"/>
  <c r="R39" i="11"/>
  <c r="Q39" i="11"/>
  <c r="P39" i="11"/>
  <c r="O39" i="11"/>
  <c r="N39" i="11"/>
  <c r="M39" i="11"/>
  <c r="L39" i="11"/>
  <c r="K39" i="11"/>
  <c r="R38" i="11"/>
  <c r="Q38" i="11"/>
  <c r="P38" i="11"/>
  <c r="O38" i="11"/>
  <c r="N38" i="11"/>
  <c r="M38" i="11"/>
  <c r="L38" i="11"/>
  <c r="K38" i="11"/>
  <c r="R37" i="11"/>
  <c r="Q37" i="11"/>
  <c r="P37" i="11"/>
  <c r="O37" i="11"/>
  <c r="N37" i="11"/>
  <c r="M37" i="11"/>
  <c r="L37" i="11"/>
  <c r="K37" i="11"/>
  <c r="R36" i="11"/>
  <c r="Q36" i="11"/>
  <c r="P36" i="11"/>
  <c r="O36" i="11"/>
  <c r="N36" i="11"/>
  <c r="M36" i="11"/>
  <c r="L36" i="11"/>
  <c r="K36" i="11"/>
  <c r="T478" i="11" l="1"/>
  <c r="T480" i="11"/>
  <c r="V480" i="11" s="1"/>
  <c r="X480" i="11" s="1"/>
  <c r="T482" i="11"/>
  <c r="T484" i="11"/>
  <c r="T486" i="11"/>
  <c r="T488" i="11"/>
  <c r="V488" i="11" s="1"/>
  <c r="X488" i="11" s="1"/>
  <c r="T490" i="11"/>
  <c r="W490" i="11" s="1"/>
  <c r="Y490" i="11" s="1"/>
  <c r="T492" i="11"/>
  <c r="V492" i="11" s="1"/>
  <c r="X492" i="11" s="1"/>
  <c r="T479" i="11"/>
  <c r="T481" i="11"/>
  <c r="V481" i="11" s="1"/>
  <c r="X481" i="11" s="1"/>
  <c r="T483" i="11"/>
  <c r="T485" i="11"/>
  <c r="T487" i="11"/>
  <c r="V487" i="11" s="1"/>
  <c r="X487" i="11" s="1"/>
  <c r="T489" i="11"/>
  <c r="T493" i="11"/>
  <c r="W493" i="11" s="1"/>
  <c r="Y493" i="11" s="1"/>
  <c r="T491" i="11"/>
  <c r="W491" i="11" s="1"/>
  <c r="Y491" i="11" s="1"/>
  <c r="T444" i="11"/>
  <c r="W444" i="11" s="1"/>
  <c r="Y444" i="11" s="1"/>
  <c r="T445" i="11"/>
  <c r="V445" i="11" s="1"/>
  <c r="X445" i="11" s="1"/>
  <c r="T446" i="11"/>
  <c r="V446" i="11" s="1"/>
  <c r="X446" i="11" s="1"/>
  <c r="T447" i="11"/>
  <c r="T448" i="11"/>
  <c r="T449" i="11"/>
  <c r="T450" i="11"/>
  <c r="W450" i="11" s="1"/>
  <c r="Y450" i="11" s="1"/>
  <c r="T451" i="11"/>
  <c r="W451" i="11" s="1"/>
  <c r="Y451" i="11" s="1"/>
  <c r="T452" i="11"/>
  <c r="W452" i="11" s="1"/>
  <c r="Y452" i="11" s="1"/>
  <c r="T453" i="11"/>
  <c r="W453" i="11" s="1"/>
  <c r="Y453" i="11" s="1"/>
  <c r="T454" i="11"/>
  <c r="W454" i="11" s="1"/>
  <c r="Y454" i="11" s="1"/>
  <c r="T455" i="11"/>
  <c r="T456" i="11"/>
  <c r="V456" i="11" s="1"/>
  <c r="X456" i="11" s="1"/>
  <c r="T457" i="11"/>
  <c r="T458" i="11"/>
  <c r="V458" i="11" s="1"/>
  <c r="X458" i="11" s="1"/>
  <c r="T459" i="11"/>
  <c r="W459" i="11" s="1"/>
  <c r="Y459" i="11" s="1"/>
  <c r="W478" i="11"/>
  <c r="Y478" i="11" s="1"/>
  <c r="V478" i="11"/>
  <c r="X478" i="11" s="1"/>
  <c r="W480" i="11"/>
  <c r="Y480" i="11" s="1"/>
  <c r="W482" i="11"/>
  <c r="Y482" i="11" s="1"/>
  <c r="V482" i="11"/>
  <c r="X482" i="11" s="1"/>
  <c r="V484" i="11"/>
  <c r="X484" i="11" s="1"/>
  <c r="W484" i="11"/>
  <c r="Y484" i="11" s="1"/>
  <c r="W486" i="11"/>
  <c r="Y486" i="11" s="1"/>
  <c r="V486" i="11"/>
  <c r="X486" i="11" s="1"/>
  <c r="W487" i="11"/>
  <c r="Y487" i="11" s="1"/>
  <c r="V489" i="11"/>
  <c r="X489" i="11" s="1"/>
  <c r="W489" i="11"/>
  <c r="Y489" i="11" s="1"/>
  <c r="W479" i="11"/>
  <c r="Y479" i="11" s="1"/>
  <c r="V479" i="11"/>
  <c r="X479" i="11" s="1"/>
  <c r="W481" i="11"/>
  <c r="Y481" i="11" s="1"/>
  <c r="W483" i="11"/>
  <c r="Y483" i="11" s="1"/>
  <c r="V483" i="11"/>
  <c r="X483" i="11" s="1"/>
  <c r="W485" i="11"/>
  <c r="Y485" i="11" s="1"/>
  <c r="V485" i="11"/>
  <c r="X485" i="11" s="1"/>
  <c r="W488" i="11"/>
  <c r="Y488" i="11" s="1"/>
  <c r="W447" i="11"/>
  <c r="Y447" i="11" s="1"/>
  <c r="V447" i="11"/>
  <c r="X447" i="11" s="1"/>
  <c r="W446" i="11"/>
  <c r="Y446" i="11" s="1"/>
  <c r="W456" i="11"/>
  <c r="Y456" i="11" s="1"/>
  <c r="W448" i="11"/>
  <c r="Y448" i="11" s="1"/>
  <c r="V448" i="11"/>
  <c r="X448" i="11" s="1"/>
  <c r="V450" i="11"/>
  <c r="X450" i="11" s="1"/>
  <c r="V455" i="11"/>
  <c r="X455" i="11" s="1"/>
  <c r="W455" i="11"/>
  <c r="Y455" i="11" s="1"/>
  <c r="W445" i="11"/>
  <c r="Y445" i="11" s="1"/>
  <c r="W449" i="11"/>
  <c r="Y449" i="11" s="1"/>
  <c r="V449" i="11"/>
  <c r="X449" i="11" s="1"/>
  <c r="W457" i="11"/>
  <c r="Y457" i="11" s="1"/>
  <c r="V457" i="11"/>
  <c r="X457" i="11" s="1"/>
  <c r="T468" i="11"/>
  <c r="V468" i="11" s="1"/>
  <c r="X468" i="11" s="1"/>
  <c r="T476" i="11"/>
  <c r="V476" i="11" s="1"/>
  <c r="X476" i="11" s="1"/>
  <c r="T473" i="11"/>
  <c r="W473" i="11" s="1"/>
  <c r="Y473" i="11" s="1"/>
  <c r="T465" i="11"/>
  <c r="V465" i="11" s="1"/>
  <c r="X465" i="11" s="1"/>
  <c r="T464" i="11"/>
  <c r="V464" i="11" s="1"/>
  <c r="X464" i="11" s="1"/>
  <c r="T463" i="11"/>
  <c r="V463" i="11" s="1"/>
  <c r="X463" i="11" s="1"/>
  <c r="T462" i="11"/>
  <c r="V462" i="11" s="1"/>
  <c r="X462" i="11" s="1"/>
  <c r="T461" i="11"/>
  <c r="W461" i="11" s="1"/>
  <c r="Y461" i="11" s="1"/>
  <c r="T474" i="11"/>
  <c r="V474" i="11" s="1"/>
  <c r="X474" i="11" s="1"/>
  <c r="T472" i="11"/>
  <c r="V472" i="11" s="1"/>
  <c r="X472" i="11" s="1"/>
  <c r="T467" i="11"/>
  <c r="V467" i="11" s="1"/>
  <c r="X467" i="11" s="1"/>
  <c r="T475" i="11"/>
  <c r="W475" i="11" s="1"/>
  <c r="Y475" i="11" s="1"/>
  <c r="T471" i="11"/>
  <c r="W471" i="11" s="1"/>
  <c r="Y471" i="11" s="1"/>
  <c r="T470" i="11"/>
  <c r="W470" i="11" s="1"/>
  <c r="Y470" i="11" s="1"/>
  <c r="T469" i="11"/>
  <c r="V469" i="11" s="1"/>
  <c r="X469" i="11" s="1"/>
  <c r="T466" i="11"/>
  <c r="V466" i="11" s="1"/>
  <c r="X466" i="11" s="1"/>
  <c r="T427" i="11"/>
  <c r="W427" i="11" s="1"/>
  <c r="Y427" i="11" s="1"/>
  <c r="T428" i="11"/>
  <c r="V428" i="11" s="1"/>
  <c r="X428" i="11" s="1"/>
  <c r="T429" i="11"/>
  <c r="W429" i="11" s="1"/>
  <c r="Y429" i="11" s="1"/>
  <c r="T430" i="11"/>
  <c r="V430" i="11" s="1"/>
  <c r="X430" i="11" s="1"/>
  <c r="T431" i="11"/>
  <c r="V431" i="11" s="1"/>
  <c r="X431" i="11" s="1"/>
  <c r="T432" i="11"/>
  <c r="W432" i="11" s="1"/>
  <c r="Y432" i="11" s="1"/>
  <c r="T433" i="11"/>
  <c r="W433" i="11" s="1"/>
  <c r="Y433" i="11" s="1"/>
  <c r="T434" i="11"/>
  <c r="V434" i="11" s="1"/>
  <c r="X434" i="11" s="1"/>
  <c r="T435" i="11"/>
  <c r="W435" i="11" s="1"/>
  <c r="Y435" i="11" s="1"/>
  <c r="T436" i="11"/>
  <c r="W436" i="11" s="1"/>
  <c r="Y436" i="11" s="1"/>
  <c r="T437" i="11"/>
  <c r="W437" i="11" s="1"/>
  <c r="Y437" i="11" s="1"/>
  <c r="T438" i="11"/>
  <c r="W438" i="11" s="1"/>
  <c r="Y438" i="11" s="1"/>
  <c r="T439" i="11"/>
  <c r="W439" i="11" s="1"/>
  <c r="Y439" i="11" s="1"/>
  <c r="T440" i="11"/>
  <c r="V440" i="11" s="1"/>
  <c r="X440" i="11" s="1"/>
  <c r="T441" i="11"/>
  <c r="W441" i="11" s="1"/>
  <c r="Y441" i="11" s="1"/>
  <c r="T442" i="11"/>
  <c r="V442" i="11" s="1"/>
  <c r="X442" i="11" s="1"/>
  <c r="T410" i="11"/>
  <c r="V410" i="11" s="1"/>
  <c r="X410" i="11" s="1"/>
  <c r="T411" i="11"/>
  <c r="W411" i="11" s="1"/>
  <c r="Y411" i="11" s="1"/>
  <c r="T412" i="11"/>
  <c r="V412" i="11" s="1"/>
  <c r="X412" i="11" s="1"/>
  <c r="T413" i="11"/>
  <c r="V413" i="11" s="1"/>
  <c r="X413" i="11" s="1"/>
  <c r="T414" i="11"/>
  <c r="W414" i="11" s="1"/>
  <c r="Y414" i="11" s="1"/>
  <c r="T415" i="11"/>
  <c r="W415" i="11" s="1"/>
  <c r="Y415" i="11" s="1"/>
  <c r="T416" i="11"/>
  <c r="W416" i="11" s="1"/>
  <c r="Y416" i="11" s="1"/>
  <c r="T417" i="11"/>
  <c r="W417" i="11" s="1"/>
  <c r="Y417" i="11" s="1"/>
  <c r="T418" i="11"/>
  <c r="W418" i="11" s="1"/>
  <c r="Y418" i="11" s="1"/>
  <c r="T419" i="11"/>
  <c r="V419" i="11" s="1"/>
  <c r="X419" i="11" s="1"/>
  <c r="T420" i="11"/>
  <c r="W420" i="11" s="1"/>
  <c r="Y420" i="11" s="1"/>
  <c r="T421" i="11"/>
  <c r="W421" i="11" s="1"/>
  <c r="Y421" i="11" s="1"/>
  <c r="T422" i="11"/>
  <c r="W422" i="11" s="1"/>
  <c r="Y422" i="11" s="1"/>
  <c r="T423" i="11"/>
  <c r="V423" i="11" s="1"/>
  <c r="X423" i="11" s="1"/>
  <c r="T424" i="11"/>
  <c r="W424" i="11" s="1"/>
  <c r="Y424" i="11" s="1"/>
  <c r="T425" i="11"/>
  <c r="W425" i="11" s="1"/>
  <c r="Y425" i="11" s="1"/>
  <c r="T393" i="11"/>
  <c r="V393" i="11" s="1"/>
  <c r="X393" i="11" s="1"/>
  <c r="T394" i="11"/>
  <c r="V394" i="11" s="1"/>
  <c r="X394" i="11" s="1"/>
  <c r="T395" i="11"/>
  <c r="W395" i="11" s="1"/>
  <c r="Y395" i="11" s="1"/>
  <c r="T396" i="11"/>
  <c r="W396" i="11" s="1"/>
  <c r="Y396" i="11" s="1"/>
  <c r="T397" i="11"/>
  <c r="W397" i="11" s="1"/>
  <c r="Y397" i="11" s="1"/>
  <c r="T398" i="11"/>
  <c r="W398" i="11" s="1"/>
  <c r="Y398" i="11" s="1"/>
  <c r="T399" i="11"/>
  <c r="V399" i="11" s="1"/>
  <c r="X399" i="11" s="1"/>
  <c r="T400" i="11"/>
  <c r="V400" i="11" s="1"/>
  <c r="X400" i="11" s="1"/>
  <c r="T401" i="11"/>
  <c r="W401" i="11" s="1"/>
  <c r="Y401" i="11" s="1"/>
  <c r="T402" i="11"/>
  <c r="W402" i="11" s="1"/>
  <c r="Y402" i="11" s="1"/>
  <c r="T403" i="11"/>
  <c r="W403" i="11" s="1"/>
  <c r="Y403" i="11" s="1"/>
  <c r="T404" i="11"/>
  <c r="V404" i="11" s="1"/>
  <c r="X404" i="11" s="1"/>
  <c r="T405" i="11"/>
  <c r="W405" i="11" s="1"/>
  <c r="Y405" i="11" s="1"/>
  <c r="T406" i="11"/>
  <c r="W406" i="11" s="1"/>
  <c r="Y406" i="11" s="1"/>
  <c r="T407" i="11"/>
  <c r="V407" i="11" s="1"/>
  <c r="X407" i="11" s="1"/>
  <c r="T408" i="11"/>
  <c r="V408" i="11" s="1"/>
  <c r="X408" i="11" s="1"/>
  <c r="T376" i="11"/>
  <c r="V376" i="11" s="1"/>
  <c r="X376" i="11" s="1"/>
  <c r="T377" i="11"/>
  <c r="V377" i="11" s="1"/>
  <c r="X377" i="11" s="1"/>
  <c r="T378" i="11"/>
  <c r="W378" i="11" s="1"/>
  <c r="Y378" i="11" s="1"/>
  <c r="T379" i="11"/>
  <c r="W379" i="11" s="1"/>
  <c r="Y379" i="11" s="1"/>
  <c r="T380" i="11"/>
  <c r="W380" i="11" s="1"/>
  <c r="Y380" i="11" s="1"/>
  <c r="T381" i="11"/>
  <c r="W381" i="11" s="1"/>
  <c r="Y381" i="11" s="1"/>
  <c r="T382" i="11"/>
  <c r="W382" i="11" s="1"/>
  <c r="Y382" i="11" s="1"/>
  <c r="T383" i="11"/>
  <c r="W383" i="11" s="1"/>
  <c r="Y383" i="11" s="1"/>
  <c r="T384" i="11"/>
  <c r="V384" i="11" s="1"/>
  <c r="X384" i="11" s="1"/>
  <c r="T385" i="11"/>
  <c r="W385" i="11" s="1"/>
  <c r="Y385" i="11" s="1"/>
  <c r="T386" i="11"/>
  <c r="W386" i="11" s="1"/>
  <c r="Y386" i="11" s="1"/>
  <c r="T387" i="11"/>
  <c r="W387" i="11" s="1"/>
  <c r="Y387" i="11" s="1"/>
  <c r="T388" i="11"/>
  <c r="W388" i="11" s="1"/>
  <c r="Y388" i="11" s="1"/>
  <c r="T389" i="11"/>
  <c r="W389" i="11" s="1"/>
  <c r="Y389" i="11" s="1"/>
  <c r="T390" i="11"/>
  <c r="V390" i="11" s="1"/>
  <c r="X390" i="11" s="1"/>
  <c r="T391" i="11"/>
  <c r="W391" i="11" s="1"/>
  <c r="Y391" i="11" s="1"/>
  <c r="T325" i="11"/>
  <c r="W325" i="11" s="1"/>
  <c r="Y325" i="11" s="1"/>
  <c r="T326" i="11"/>
  <c r="W326" i="11" s="1"/>
  <c r="Y326" i="11" s="1"/>
  <c r="T327" i="11"/>
  <c r="W327" i="11" s="1"/>
  <c r="Y327" i="11" s="1"/>
  <c r="T328" i="11"/>
  <c r="W328" i="11" s="1"/>
  <c r="Y328" i="11" s="1"/>
  <c r="T329" i="11"/>
  <c r="W329" i="11" s="1"/>
  <c r="Y329" i="11" s="1"/>
  <c r="T330" i="11"/>
  <c r="W330" i="11" s="1"/>
  <c r="Y330" i="11" s="1"/>
  <c r="T331" i="11"/>
  <c r="V331" i="11" s="1"/>
  <c r="X331" i="11" s="1"/>
  <c r="T332" i="11"/>
  <c r="V332" i="11" s="1"/>
  <c r="X332" i="11" s="1"/>
  <c r="T333" i="11"/>
  <c r="W333" i="11" s="1"/>
  <c r="Y333" i="11" s="1"/>
  <c r="T334" i="11"/>
  <c r="V334" i="11" s="1"/>
  <c r="X334" i="11" s="1"/>
  <c r="T335" i="11"/>
  <c r="W335" i="11" s="1"/>
  <c r="Y335" i="11" s="1"/>
  <c r="T336" i="11"/>
  <c r="V336" i="11" s="1"/>
  <c r="X336" i="11" s="1"/>
  <c r="T337" i="11"/>
  <c r="W337" i="11" s="1"/>
  <c r="Y337" i="11" s="1"/>
  <c r="T338" i="11"/>
  <c r="W338" i="11" s="1"/>
  <c r="Y338" i="11" s="1"/>
  <c r="T339" i="11"/>
  <c r="W339" i="11" s="1"/>
  <c r="Y339" i="11" s="1"/>
  <c r="T340" i="11"/>
  <c r="W340" i="11" s="1"/>
  <c r="Y340" i="11" s="1"/>
  <c r="T342" i="11"/>
  <c r="W342" i="11" s="1"/>
  <c r="Y342" i="11" s="1"/>
  <c r="T343" i="11"/>
  <c r="V343" i="11" s="1"/>
  <c r="X343" i="11" s="1"/>
  <c r="T344" i="11"/>
  <c r="V344" i="11" s="1"/>
  <c r="X344" i="11" s="1"/>
  <c r="T345" i="11"/>
  <c r="W345" i="11" s="1"/>
  <c r="Y345" i="11" s="1"/>
  <c r="T346" i="11"/>
  <c r="W346" i="11" s="1"/>
  <c r="Y346" i="11" s="1"/>
  <c r="T347" i="11"/>
  <c r="W347" i="11" s="1"/>
  <c r="Y347" i="11" s="1"/>
  <c r="T348" i="11"/>
  <c r="V348" i="11" s="1"/>
  <c r="X348" i="11" s="1"/>
  <c r="T349" i="11"/>
  <c r="W349" i="11" s="1"/>
  <c r="Y349" i="11" s="1"/>
  <c r="T350" i="11"/>
  <c r="V350" i="11" s="1"/>
  <c r="X350" i="11" s="1"/>
  <c r="T351" i="11"/>
  <c r="W351" i="11" s="1"/>
  <c r="Y351" i="11" s="1"/>
  <c r="T352" i="11"/>
  <c r="W352" i="11" s="1"/>
  <c r="Y352" i="11" s="1"/>
  <c r="T353" i="11"/>
  <c r="W353" i="11" s="1"/>
  <c r="Y353" i="11" s="1"/>
  <c r="T354" i="11"/>
  <c r="V354" i="11" s="1"/>
  <c r="X354" i="11" s="1"/>
  <c r="T355" i="11"/>
  <c r="V355" i="11" s="1"/>
  <c r="X355" i="11" s="1"/>
  <c r="T356" i="11"/>
  <c r="V356" i="11" s="1"/>
  <c r="X356" i="11" s="1"/>
  <c r="T357" i="11"/>
  <c r="W357" i="11" s="1"/>
  <c r="Y357" i="11" s="1"/>
  <c r="T359" i="11"/>
  <c r="V359" i="11" s="1"/>
  <c r="X359" i="11" s="1"/>
  <c r="T360" i="11"/>
  <c r="W360" i="11" s="1"/>
  <c r="Y360" i="11" s="1"/>
  <c r="T361" i="11"/>
  <c r="V361" i="11" s="1"/>
  <c r="X361" i="11" s="1"/>
  <c r="T362" i="11"/>
  <c r="V362" i="11" s="1"/>
  <c r="X362" i="11" s="1"/>
  <c r="T363" i="11"/>
  <c r="W363" i="11" s="1"/>
  <c r="Y363" i="11" s="1"/>
  <c r="T364" i="11"/>
  <c r="W364" i="11" s="1"/>
  <c r="Y364" i="11" s="1"/>
  <c r="T365" i="11"/>
  <c r="W365" i="11" s="1"/>
  <c r="Y365" i="11" s="1"/>
  <c r="T366" i="11"/>
  <c r="W366" i="11" s="1"/>
  <c r="Y366" i="11" s="1"/>
  <c r="T367" i="11"/>
  <c r="W367" i="11" s="1"/>
  <c r="Y367" i="11" s="1"/>
  <c r="T368" i="11"/>
  <c r="W368" i="11" s="1"/>
  <c r="Y368" i="11" s="1"/>
  <c r="T369" i="11"/>
  <c r="W369" i="11" s="1"/>
  <c r="Y369" i="11" s="1"/>
  <c r="T370" i="11"/>
  <c r="W370" i="11" s="1"/>
  <c r="Y370" i="11" s="1"/>
  <c r="T371" i="11"/>
  <c r="V371" i="11" s="1"/>
  <c r="X371" i="11" s="1"/>
  <c r="T372" i="11"/>
  <c r="W372" i="11" s="1"/>
  <c r="Y372" i="11" s="1"/>
  <c r="T373" i="11"/>
  <c r="W373" i="11" s="1"/>
  <c r="Y373" i="11" s="1"/>
  <c r="T374" i="11"/>
  <c r="V374" i="11" s="1"/>
  <c r="X374" i="11" s="1"/>
  <c r="W376" i="11"/>
  <c r="Y376" i="11" s="1"/>
  <c r="T308" i="11"/>
  <c r="W308" i="11" s="1"/>
  <c r="Y308" i="11" s="1"/>
  <c r="T309" i="11"/>
  <c r="W309" i="11" s="1"/>
  <c r="Y309" i="11" s="1"/>
  <c r="T310" i="11"/>
  <c r="W310" i="11" s="1"/>
  <c r="Y310" i="11" s="1"/>
  <c r="T311" i="11"/>
  <c r="W311" i="11" s="1"/>
  <c r="Y311" i="11" s="1"/>
  <c r="T312" i="11"/>
  <c r="W312" i="11" s="1"/>
  <c r="Y312" i="11" s="1"/>
  <c r="T313" i="11"/>
  <c r="W313" i="11" s="1"/>
  <c r="Y313" i="11" s="1"/>
  <c r="T314" i="11"/>
  <c r="V314" i="11" s="1"/>
  <c r="X314" i="11" s="1"/>
  <c r="T315" i="11"/>
  <c r="W315" i="11" s="1"/>
  <c r="Y315" i="11" s="1"/>
  <c r="T316" i="11"/>
  <c r="W316" i="11" s="1"/>
  <c r="Y316" i="11" s="1"/>
  <c r="T317" i="11"/>
  <c r="W317" i="11" s="1"/>
  <c r="Y317" i="11" s="1"/>
  <c r="T318" i="11"/>
  <c r="W318" i="11" s="1"/>
  <c r="Y318" i="11" s="1"/>
  <c r="T319" i="11"/>
  <c r="V319" i="11" s="1"/>
  <c r="X319" i="11" s="1"/>
  <c r="T320" i="11"/>
  <c r="V320" i="11" s="1"/>
  <c r="X320" i="11" s="1"/>
  <c r="T321" i="11"/>
  <c r="W321" i="11" s="1"/>
  <c r="Y321" i="11" s="1"/>
  <c r="T322" i="11"/>
  <c r="V322" i="11" s="1"/>
  <c r="X322" i="11" s="1"/>
  <c r="T323" i="11"/>
  <c r="W323" i="11" s="1"/>
  <c r="Y323" i="11" s="1"/>
  <c r="T274" i="11"/>
  <c r="W274" i="11" s="1"/>
  <c r="Y274" i="11" s="1"/>
  <c r="T275" i="11"/>
  <c r="W275" i="11" s="1"/>
  <c r="Y275" i="11" s="1"/>
  <c r="T276" i="11"/>
  <c r="V276" i="11" s="1"/>
  <c r="X276" i="11" s="1"/>
  <c r="T277" i="11"/>
  <c r="W277" i="11" s="1"/>
  <c r="Y277" i="11" s="1"/>
  <c r="T278" i="11"/>
  <c r="W278" i="11" s="1"/>
  <c r="Y278" i="11" s="1"/>
  <c r="T279" i="11"/>
  <c r="V279" i="11" s="1"/>
  <c r="X279" i="11" s="1"/>
  <c r="T280" i="11"/>
  <c r="W280" i="11" s="1"/>
  <c r="Y280" i="11" s="1"/>
  <c r="T281" i="11"/>
  <c r="W281" i="11" s="1"/>
  <c r="Y281" i="11" s="1"/>
  <c r="T282" i="11"/>
  <c r="W282" i="11" s="1"/>
  <c r="Y282" i="11" s="1"/>
  <c r="T283" i="11"/>
  <c r="V283" i="11" s="1"/>
  <c r="X283" i="11" s="1"/>
  <c r="T284" i="11"/>
  <c r="W284" i="11" s="1"/>
  <c r="Y284" i="11" s="1"/>
  <c r="T285" i="11"/>
  <c r="W285" i="11" s="1"/>
  <c r="Y285" i="11" s="1"/>
  <c r="T286" i="11"/>
  <c r="W286" i="11" s="1"/>
  <c r="Y286" i="11" s="1"/>
  <c r="T287" i="11"/>
  <c r="V287" i="11" s="1"/>
  <c r="X287" i="11" s="1"/>
  <c r="T288" i="11"/>
  <c r="W288" i="11" s="1"/>
  <c r="Y288" i="11" s="1"/>
  <c r="T289" i="11"/>
  <c r="W289" i="11" s="1"/>
  <c r="Y289" i="11" s="1"/>
  <c r="T291" i="11"/>
  <c r="V291" i="11" s="1"/>
  <c r="X291" i="11" s="1"/>
  <c r="T292" i="11"/>
  <c r="V292" i="11" s="1"/>
  <c r="X292" i="11" s="1"/>
  <c r="T293" i="11"/>
  <c r="W293" i="11" s="1"/>
  <c r="Y293" i="11" s="1"/>
  <c r="T294" i="11"/>
  <c r="V294" i="11" s="1"/>
  <c r="X294" i="11" s="1"/>
  <c r="T295" i="11"/>
  <c r="V295" i="11" s="1"/>
  <c r="X295" i="11" s="1"/>
  <c r="T296" i="11"/>
  <c r="W296" i="11" s="1"/>
  <c r="Y296" i="11" s="1"/>
  <c r="T297" i="11"/>
  <c r="V297" i="11" s="1"/>
  <c r="X297" i="11" s="1"/>
  <c r="T298" i="11"/>
  <c r="V298" i="11" s="1"/>
  <c r="X298" i="11" s="1"/>
  <c r="T299" i="11"/>
  <c r="V299" i="11" s="1"/>
  <c r="X299" i="11" s="1"/>
  <c r="T300" i="11"/>
  <c r="V300" i="11" s="1"/>
  <c r="X300" i="11" s="1"/>
  <c r="T301" i="11"/>
  <c r="V301" i="11" s="1"/>
  <c r="X301" i="11" s="1"/>
  <c r="T302" i="11"/>
  <c r="V302" i="11" s="1"/>
  <c r="X302" i="11" s="1"/>
  <c r="T303" i="11"/>
  <c r="W303" i="11" s="1"/>
  <c r="Y303" i="11" s="1"/>
  <c r="T304" i="11"/>
  <c r="W304" i="11" s="1"/>
  <c r="Y304" i="11" s="1"/>
  <c r="T305" i="11"/>
  <c r="W305" i="11" s="1"/>
  <c r="Y305" i="11" s="1"/>
  <c r="T306" i="11"/>
  <c r="V306" i="11" s="1"/>
  <c r="X306" i="11" s="1"/>
  <c r="T495" i="11"/>
  <c r="V495" i="11" s="1"/>
  <c r="X495" i="11" s="1"/>
  <c r="T189" i="11"/>
  <c r="W189" i="11" s="1"/>
  <c r="Y189" i="11" s="1"/>
  <c r="T190" i="11"/>
  <c r="W190" i="11" s="1"/>
  <c r="Y190" i="11" s="1"/>
  <c r="T191" i="11"/>
  <c r="W191" i="11" s="1"/>
  <c r="Y191" i="11" s="1"/>
  <c r="T192" i="11"/>
  <c r="V192" i="11" s="1"/>
  <c r="X192" i="11" s="1"/>
  <c r="T193" i="11"/>
  <c r="V193" i="11" s="1"/>
  <c r="X193" i="11" s="1"/>
  <c r="T194" i="11"/>
  <c r="W194" i="11" s="1"/>
  <c r="Y194" i="11" s="1"/>
  <c r="T195" i="11"/>
  <c r="V195" i="11" s="1"/>
  <c r="X195" i="11" s="1"/>
  <c r="T196" i="11"/>
  <c r="W196" i="11" s="1"/>
  <c r="Y196" i="11" s="1"/>
  <c r="T197" i="11"/>
  <c r="V197" i="11" s="1"/>
  <c r="X197" i="11" s="1"/>
  <c r="T198" i="11"/>
  <c r="W198" i="11" s="1"/>
  <c r="Y198" i="11" s="1"/>
  <c r="T199" i="11"/>
  <c r="W199" i="11" s="1"/>
  <c r="Y199" i="11" s="1"/>
  <c r="T200" i="11"/>
  <c r="W200" i="11" s="1"/>
  <c r="Y200" i="11" s="1"/>
  <c r="T201" i="11"/>
  <c r="W201" i="11" s="1"/>
  <c r="Y201" i="11" s="1"/>
  <c r="T203" i="11"/>
  <c r="V203" i="11" s="1"/>
  <c r="X203" i="11" s="1"/>
  <c r="T204" i="11"/>
  <c r="W204" i="11" s="1"/>
  <c r="Y204" i="11" s="1"/>
  <c r="T202" i="11"/>
  <c r="W202" i="11" s="1"/>
  <c r="Y202" i="11" s="1"/>
  <c r="T172" i="11"/>
  <c r="V172" i="11" s="1"/>
  <c r="X172" i="11" s="1"/>
  <c r="T173" i="11"/>
  <c r="V173" i="11" s="1"/>
  <c r="X173" i="11" s="1"/>
  <c r="T174" i="11"/>
  <c r="W174" i="11" s="1"/>
  <c r="Y174" i="11" s="1"/>
  <c r="T175" i="11"/>
  <c r="V175" i="11" s="1"/>
  <c r="X175" i="11" s="1"/>
  <c r="T176" i="11"/>
  <c r="V176" i="11" s="1"/>
  <c r="X176" i="11" s="1"/>
  <c r="T177" i="11"/>
  <c r="V177" i="11" s="1"/>
  <c r="X177" i="11" s="1"/>
  <c r="T178" i="11"/>
  <c r="V178" i="11" s="1"/>
  <c r="X178" i="11" s="1"/>
  <c r="T179" i="11"/>
  <c r="W179" i="11" s="1"/>
  <c r="Y179" i="11" s="1"/>
  <c r="T180" i="11"/>
  <c r="V180" i="11" s="1"/>
  <c r="X180" i="11" s="1"/>
  <c r="T181" i="11"/>
  <c r="V181" i="11" s="1"/>
  <c r="X181" i="11" s="1"/>
  <c r="T182" i="11"/>
  <c r="W182" i="11" s="1"/>
  <c r="Y182" i="11" s="1"/>
  <c r="T183" i="11"/>
  <c r="V183" i="11" s="1"/>
  <c r="X183" i="11" s="1"/>
  <c r="T184" i="11"/>
  <c r="V184" i="11" s="1"/>
  <c r="X184" i="11" s="1"/>
  <c r="T185" i="11"/>
  <c r="W185" i="11" s="1"/>
  <c r="Y185" i="11" s="1"/>
  <c r="T186" i="11"/>
  <c r="V186" i="11" s="1"/>
  <c r="X186" i="11" s="1"/>
  <c r="T187" i="11"/>
  <c r="W187" i="11" s="1"/>
  <c r="Y187" i="11" s="1"/>
  <c r="T121" i="11"/>
  <c r="V121" i="11" s="1"/>
  <c r="X121" i="11" s="1"/>
  <c r="T122" i="11"/>
  <c r="W122" i="11" s="1"/>
  <c r="Y122" i="11" s="1"/>
  <c r="T123" i="11"/>
  <c r="V123" i="11" s="1"/>
  <c r="X123" i="11" s="1"/>
  <c r="T124" i="11"/>
  <c r="V124" i="11" s="1"/>
  <c r="X124" i="11" s="1"/>
  <c r="T125" i="11"/>
  <c r="V125" i="11" s="1"/>
  <c r="X125" i="11" s="1"/>
  <c r="T126" i="11"/>
  <c r="W126" i="11" s="1"/>
  <c r="Y126" i="11" s="1"/>
  <c r="T127" i="11"/>
  <c r="W127" i="11" s="1"/>
  <c r="Y127" i="11" s="1"/>
  <c r="T128" i="11"/>
  <c r="W128" i="11" s="1"/>
  <c r="Y128" i="11" s="1"/>
  <c r="T129" i="11"/>
  <c r="W129" i="11" s="1"/>
  <c r="Y129" i="11" s="1"/>
  <c r="T130" i="11"/>
  <c r="V130" i="11" s="1"/>
  <c r="X130" i="11" s="1"/>
  <c r="T131" i="11"/>
  <c r="V131" i="11" s="1"/>
  <c r="X131" i="11" s="1"/>
  <c r="T132" i="11"/>
  <c r="V132" i="11" s="1"/>
  <c r="X132" i="11" s="1"/>
  <c r="T133" i="11"/>
  <c r="W133" i="11" s="1"/>
  <c r="Y133" i="11" s="1"/>
  <c r="T134" i="11"/>
  <c r="W134" i="11" s="1"/>
  <c r="Y134" i="11" s="1"/>
  <c r="T135" i="11"/>
  <c r="W135" i="11" s="1"/>
  <c r="Y135" i="11" s="1"/>
  <c r="T136" i="11"/>
  <c r="W136" i="11" s="1"/>
  <c r="Y136" i="11" s="1"/>
  <c r="T138" i="11"/>
  <c r="W138" i="11" s="1"/>
  <c r="Y138" i="11" s="1"/>
  <c r="T139" i="11"/>
  <c r="W139" i="11" s="1"/>
  <c r="Y139" i="11" s="1"/>
  <c r="T140" i="11"/>
  <c r="W140" i="11" s="1"/>
  <c r="Y140" i="11" s="1"/>
  <c r="T141" i="11"/>
  <c r="W141" i="11" s="1"/>
  <c r="Y141" i="11" s="1"/>
  <c r="T142" i="11"/>
  <c r="W142" i="11" s="1"/>
  <c r="Y142" i="11" s="1"/>
  <c r="T143" i="11"/>
  <c r="W143" i="11" s="1"/>
  <c r="Y143" i="11" s="1"/>
  <c r="T144" i="11"/>
  <c r="W144" i="11" s="1"/>
  <c r="Y144" i="11" s="1"/>
  <c r="T145" i="11"/>
  <c r="V145" i="11" s="1"/>
  <c r="X145" i="11" s="1"/>
  <c r="T146" i="11"/>
  <c r="V146" i="11" s="1"/>
  <c r="X146" i="11" s="1"/>
  <c r="T147" i="11"/>
  <c r="W147" i="11" s="1"/>
  <c r="Y147" i="11" s="1"/>
  <c r="T148" i="11"/>
  <c r="V148" i="11" s="1"/>
  <c r="X148" i="11" s="1"/>
  <c r="T149" i="11"/>
  <c r="W149" i="11" s="1"/>
  <c r="Y149" i="11" s="1"/>
  <c r="T150" i="11"/>
  <c r="V150" i="11" s="1"/>
  <c r="X150" i="11" s="1"/>
  <c r="T151" i="11"/>
  <c r="W151" i="11" s="1"/>
  <c r="Y151" i="11" s="1"/>
  <c r="T152" i="11"/>
  <c r="W152" i="11" s="1"/>
  <c r="Y152" i="11" s="1"/>
  <c r="T153" i="11"/>
  <c r="W153" i="11" s="1"/>
  <c r="Y153" i="11" s="1"/>
  <c r="T155" i="11"/>
  <c r="W155" i="11" s="1"/>
  <c r="Y155" i="11" s="1"/>
  <c r="T156" i="11"/>
  <c r="W156" i="11" s="1"/>
  <c r="Y156" i="11" s="1"/>
  <c r="T157" i="11"/>
  <c r="V157" i="11" s="1"/>
  <c r="X157" i="11" s="1"/>
  <c r="T158" i="11"/>
  <c r="W158" i="11" s="1"/>
  <c r="Y158" i="11" s="1"/>
  <c r="T159" i="11"/>
  <c r="W159" i="11" s="1"/>
  <c r="Y159" i="11" s="1"/>
  <c r="T160" i="11"/>
  <c r="W160" i="11" s="1"/>
  <c r="Y160" i="11" s="1"/>
  <c r="T161" i="11"/>
  <c r="V161" i="11" s="1"/>
  <c r="X161" i="11" s="1"/>
  <c r="T162" i="11"/>
  <c r="V162" i="11" s="1"/>
  <c r="X162" i="11" s="1"/>
  <c r="T163" i="11"/>
  <c r="W163" i="11" s="1"/>
  <c r="Y163" i="11" s="1"/>
  <c r="T164" i="11"/>
  <c r="V164" i="11" s="1"/>
  <c r="X164" i="11" s="1"/>
  <c r="T165" i="11"/>
  <c r="V165" i="11" s="1"/>
  <c r="X165" i="11" s="1"/>
  <c r="T166" i="11"/>
  <c r="W166" i="11" s="1"/>
  <c r="Y166" i="11" s="1"/>
  <c r="T167" i="11"/>
  <c r="W167" i="11" s="1"/>
  <c r="Y167" i="11" s="1"/>
  <c r="T168" i="11"/>
  <c r="W168" i="11" s="1"/>
  <c r="Y168" i="11" s="1"/>
  <c r="T169" i="11"/>
  <c r="W169" i="11" s="1"/>
  <c r="Y169" i="11" s="1"/>
  <c r="T170" i="11"/>
  <c r="V170" i="11" s="1"/>
  <c r="X170" i="11" s="1"/>
  <c r="W172" i="11"/>
  <c r="Y172" i="11" s="1"/>
  <c r="T211" i="11"/>
  <c r="V211" i="11" s="1"/>
  <c r="X211" i="11" s="1"/>
  <c r="T212" i="11"/>
  <c r="V212" i="11" s="1"/>
  <c r="X212" i="11" s="1"/>
  <c r="T209" i="11"/>
  <c r="V209" i="11" s="1"/>
  <c r="X209" i="11" s="1"/>
  <c r="T208" i="11"/>
  <c r="V208" i="11" s="1"/>
  <c r="X208" i="11" s="1"/>
  <c r="T207" i="11"/>
  <c r="V207" i="11" s="1"/>
  <c r="X207" i="11" s="1"/>
  <c r="T206" i="11"/>
  <c r="W206" i="11" s="1"/>
  <c r="Y206" i="11" s="1"/>
  <c r="T210" i="11"/>
  <c r="V210" i="11" s="1"/>
  <c r="X210" i="11" s="1"/>
  <c r="T104" i="11"/>
  <c r="V104" i="11" s="1"/>
  <c r="X104" i="11" s="1"/>
  <c r="T105" i="11"/>
  <c r="W105" i="11" s="1"/>
  <c r="Y105" i="11" s="1"/>
  <c r="T106" i="11"/>
  <c r="W106" i="11" s="1"/>
  <c r="Y106" i="11" s="1"/>
  <c r="T107" i="11"/>
  <c r="W107" i="11" s="1"/>
  <c r="Y107" i="11" s="1"/>
  <c r="T108" i="11"/>
  <c r="W108" i="11" s="1"/>
  <c r="Y108" i="11" s="1"/>
  <c r="T109" i="11"/>
  <c r="V109" i="11" s="1"/>
  <c r="X109" i="11" s="1"/>
  <c r="T110" i="11"/>
  <c r="V110" i="11" s="1"/>
  <c r="X110" i="11" s="1"/>
  <c r="T111" i="11"/>
  <c r="W111" i="11" s="1"/>
  <c r="Y111" i="11" s="1"/>
  <c r="T112" i="11"/>
  <c r="W112" i="11" s="1"/>
  <c r="Y112" i="11" s="1"/>
  <c r="T113" i="11"/>
  <c r="W113" i="11" s="1"/>
  <c r="Y113" i="11" s="1"/>
  <c r="T114" i="11"/>
  <c r="W114" i="11" s="1"/>
  <c r="Y114" i="11" s="1"/>
  <c r="T115" i="11"/>
  <c r="V115" i="11" s="1"/>
  <c r="X115" i="11" s="1"/>
  <c r="T116" i="11"/>
  <c r="W116" i="11" s="1"/>
  <c r="Y116" i="11" s="1"/>
  <c r="T117" i="11"/>
  <c r="W117" i="11" s="1"/>
  <c r="Y117" i="11" s="1"/>
  <c r="T118" i="11"/>
  <c r="V118" i="11" s="1"/>
  <c r="X118" i="11" s="1"/>
  <c r="T119" i="11"/>
  <c r="W119" i="11" s="1"/>
  <c r="Y119" i="11" s="1"/>
  <c r="T87" i="11"/>
  <c r="W87" i="11" s="1"/>
  <c r="Y87" i="11" s="1"/>
  <c r="T88" i="11"/>
  <c r="V88" i="11" s="1"/>
  <c r="X88" i="11" s="1"/>
  <c r="T89" i="11"/>
  <c r="W89" i="11" s="1"/>
  <c r="Y89" i="11" s="1"/>
  <c r="T90" i="11"/>
  <c r="V90" i="11" s="1"/>
  <c r="X90" i="11" s="1"/>
  <c r="T91" i="11"/>
  <c r="W91" i="11" s="1"/>
  <c r="Y91" i="11" s="1"/>
  <c r="T92" i="11"/>
  <c r="W92" i="11" s="1"/>
  <c r="Y92" i="11" s="1"/>
  <c r="T93" i="11"/>
  <c r="W93" i="11" s="1"/>
  <c r="Y93" i="11" s="1"/>
  <c r="T94" i="11"/>
  <c r="W94" i="11" s="1"/>
  <c r="Y94" i="11" s="1"/>
  <c r="T95" i="11"/>
  <c r="W95" i="11" s="1"/>
  <c r="Y95" i="11" s="1"/>
  <c r="T96" i="11"/>
  <c r="W96" i="11" s="1"/>
  <c r="Y96" i="11" s="1"/>
  <c r="T97" i="11"/>
  <c r="W97" i="11" s="1"/>
  <c r="Y97" i="11" s="1"/>
  <c r="T98" i="11"/>
  <c r="V98" i="11" s="1"/>
  <c r="X98" i="11" s="1"/>
  <c r="T99" i="11"/>
  <c r="W99" i="11" s="1"/>
  <c r="Y99" i="11" s="1"/>
  <c r="T100" i="11"/>
  <c r="W100" i="11" s="1"/>
  <c r="Y100" i="11" s="1"/>
  <c r="T101" i="11"/>
  <c r="V101" i="11" s="1"/>
  <c r="X101" i="11" s="1"/>
  <c r="T102" i="11"/>
  <c r="W102" i="11" s="1"/>
  <c r="Y102" i="11" s="1"/>
  <c r="T53" i="11"/>
  <c r="V53" i="11" s="1"/>
  <c r="X53" i="11" s="1"/>
  <c r="T54" i="11"/>
  <c r="W54" i="11" s="1"/>
  <c r="Y54" i="11" s="1"/>
  <c r="T55" i="11"/>
  <c r="W55" i="11" s="1"/>
  <c r="Y55" i="11" s="1"/>
  <c r="T56" i="11"/>
  <c r="W56" i="11" s="1"/>
  <c r="Y56" i="11" s="1"/>
  <c r="T57" i="11"/>
  <c r="V57" i="11" s="1"/>
  <c r="X57" i="11" s="1"/>
  <c r="T58" i="11"/>
  <c r="W58" i="11" s="1"/>
  <c r="Y58" i="11" s="1"/>
  <c r="T59" i="11"/>
  <c r="V59" i="11" s="1"/>
  <c r="X59" i="11" s="1"/>
  <c r="T60" i="11"/>
  <c r="W60" i="11" s="1"/>
  <c r="Y60" i="11" s="1"/>
  <c r="T61" i="11"/>
  <c r="V61" i="11" s="1"/>
  <c r="X61" i="11" s="1"/>
  <c r="T62" i="11"/>
  <c r="W62" i="11" s="1"/>
  <c r="Y62" i="11" s="1"/>
  <c r="T63" i="11"/>
  <c r="W63" i="11" s="1"/>
  <c r="Y63" i="11" s="1"/>
  <c r="T64" i="11"/>
  <c r="V64" i="11" s="1"/>
  <c r="X64" i="11" s="1"/>
  <c r="T65" i="11"/>
  <c r="W65" i="11" s="1"/>
  <c r="Y65" i="11" s="1"/>
  <c r="T66" i="11"/>
  <c r="W66" i="11" s="1"/>
  <c r="Y66" i="11" s="1"/>
  <c r="T67" i="11"/>
  <c r="V67" i="11" s="1"/>
  <c r="X67" i="11" s="1"/>
  <c r="T68" i="11"/>
  <c r="W68" i="11" s="1"/>
  <c r="Y68" i="11" s="1"/>
  <c r="T19" i="11"/>
  <c r="V19" i="11" s="1"/>
  <c r="X19" i="11" s="1"/>
  <c r="T20" i="11"/>
  <c r="V20" i="11" s="1"/>
  <c r="X20" i="11" s="1"/>
  <c r="T21" i="11"/>
  <c r="W21" i="11" s="1"/>
  <c r="Y21" i="11" s="1"/>
  <c r="T22" i="11"/>
  <c r="W22" i="11" s="1"/>
  <c r="Y22" i="11" s="1"/>
  <c r="T23" i="11"/>
  <c r="W23" i="11" s="1"/>
  <c r="Y23" i="11" s="1"/>
  <c r="T24" i="11"/>
  <c r="V24" i="11" s="1"/>
  <c r="X24" i="11" s="1"/>
  <c r="T25" i="11"/>
  <c r="V25" i="11" s="1"/>
  <c r="X25" i="11" s="1"/>
  <c r="T26" i="11"/>
  <c r="W26" i="11" s="1"/>
  <c r="Y26" i="11" s="1"/>
  <c r="T27" i="11"/>
  <c r="W27" i="11" s="1"/>
  <c r="Y27" i="11" s="1"/>
  <c r="T28" i="11"/>
  <c r="W28" i="11" s="1"/>
  <c r="Y28" i="11" s="1"/>
  <c r="T29" i="11"/>
  <c r="W29" i="11" s="1"/>
  <c r="Y29" i="11" s="1"/>
  <c r="T30" i="11"/>
  <c r="W30" i="11" s="1"/>
  <c r="Y30" i="11" s="1"/>
  <c r="T31" i="11"/>
  <c r="W31" i="11" s="1"/>
  <c r="Y31" i="11" s="1"/>
  <c r="T32" i="11"/>
  <c r="V32" i="11" s="1"/>
  <c r="X32" i="11" s="1"/>
  <c r="T33" i="11"/>
  <c r="V33" i="11" s="1"/>
  <c r="X33" i="11" s="1"/>
  <c r="T34" i="11"/>
  <c r="W34" i="11" s="1"/>
  <c r="Y34" i="11" s="1"/>
  <c r="T2" i="11"/>
  <c r="V2" i="11" s="1"/>
  <c r="X2" i="11" s="1"/>
  <c r="T3" i="11"/>
  <c r="W3" i="11" s="1"/>
  <c r="Y3" i="11" s="1"/>
  <c r="T4" i="11"/>
  <c r="W4" i="11" s="1"/>
  <c r="Y4" i="11" s="1"/>
  <c r="T5" i="11"/>
  <c r="W5" i="11" s="1"/>
  <c r="Y5" i="11" s="1"/>
  <c r="T6" i="11"/>
  <c r="W6" i="11" s="1"/>
  <c r="Y6" i="11" s="1"/>
  <c r="T7" i="11"/>
  <c r="W7" i="11" s="1"/>
  <c r="Y7" i="11" s="1"/>
  <c r="T8" i="11"/>
  <c r="V8" i="11" s="1"/>
  <c r="X8" i="11" s="1"/>
  <c r="T9" i="11"/>
  <c r="W9" i="11" s="1"/>
  <c r="Y9" i="11" s="1"/>
  <c r="T10" i="11"/>
  <c r="W10" i="11" s="1"/>
  <c r="Y10" i="11" s="1"/>
  <c r="T11" i="11"/>
  <c r="W11" i="11" s="1"/>
  <c r="Y11" i="11" s="1"/>
  <c r="T12" i="11"/>
  <c r="W12" i="11" s="1"/>
  <c r="Y12" i="11" s="1"/>
  <c r="T13" i="11"/>
  <c r="V13" i="11" s="1"/>
  <c r="X13" i="11" s="1"/>
  <c r="T14" i="11"/>
  <c r="W14" i="11" s="1"/>
  <c r="Y14" i="11" s="1"/>
  <c r="T15" i="11"/>
  <c r="W15" i="11" s="1"/>
  <c r="Y15" i="11" s="1"/>
  <c r="T16" i="11"/>
  <c r="V16" i="11" s="1"/>
  <c r="X16" i="11" s="1"/>
  <c r="T17" i="11"/>
  <c r="W17" i="11" s="1"/>
  <c r="Y17" i="11" s="1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E2" i="18"/>
  <c r="B2" i="18"/>
  <c r="D29" i="15"/>
  <c r="E29" i="15"/>
  <c r="F29" i="15"/>
  <c r="D30" i="15"/>
  <c r="E30" i="15"/>
  <c r="F30" i="15"/>
  <c r="D31" i="15"/>
  <c r="E31" i="15"/>
  <c r="F31" i="15"/>
  <c r="D32" i="15"/>
  <c r="E32" i="15"/>
  <c r="F32" i="15"/>
  <c r="D33" i="15"/>
  <c r="E33" i="15"/>
  <c r="F33" i="15"/>
  <c r="D34" i="15"/>
  <c r="E34" i="15"/>
  <c r="F34" i="15"/>
  <c r="D35" i="15"/>
  <c r="E35" i="15"/>
  <c r="F35" i="15"/>
  <c r="D36" i="15"/>
  <c r="E36" i="15"/>
  <c r="F36" i="15"/>
  <c r="D37" i="15"/>
  <c r="E37" i="15"/>
  <c r="F37" i="15"/>
  <c r="D38" i="15"/>
  <c r="E38" i="15"/>
  <c r="F38" i="15"/>
  <c r="D39" i="15"/>
  <c r="E39" i="15"/>
  <c r="F39" i="15"/>
  <c r="D40" i="15"/>
  <c r="E40" i="15"/>
  <c r="F40" i="15"/>
  <c r="D41" i="15"/>
  <c r="E41" i="15"/>
  <c r="F41" i="15"/>
  <c r="D42" i="15"/>
  <c r="E42" i="15"/>
  <c r="F42" i="15"/>
  <c r="D43" i="15"/>
  <c r="E43" i="15"/>
  <c r="F43" i="15"/>
  <c r="D44" i="15"/>
  <c r="E44" i="15"/>
  <c r="F44" i="15"/>
  <c r="D45" i="15"/>
  <c r="E45" i="15"/>
  <c r="F45" i="15"/>
  <c r="D46" i="15"/>
  <c r="E46" i="15"/>
  <c r="F46" i="15"/>
  <c r="D47" i="15"/>
  <c r="E47" i="15"/>
  <c r="F47" i="15"/>
  <c r="D48" i="15"/>
  <c r="E48" i="15"/>
  <c r="F48" i="15"/>
  <c r="D49" i="15"/>
  <c r="E49" i="15"/>
  <c r="F49" i="15"/>
  <c r="D50" i="15"/>
  <c r="E50" i="15"/>
  <c r="F50" i="15"/>
  <c r="D51" i="15"/>
  <c r="E51" i="15"/>
  <c r="F51" i="15"/>
  <c r="D52" i="15"/>
  <c r="E52" i="15"/>
  <c r="F52" i="15"/>
  <c r="D53" i="15"/>
  <c r="E53" i="15"/>
  <c r="F53" i="15"/>
  <c r="D54" i="15"/>
  <c r="E54" i="15"/>
  <c r="F54" i="15"/>
  <c r="D55" i="15"/>
  <c r="E55" i="15"/>
  <c r="F55" i="15"/>
  <c r="D56" i="15"/>
  <c r="E56" i="15"/>
  <c r="F56" i="15"/>
  <c r="D57" i="15"/>
  <c r="E57" i="15"/>
  <c r="F57" i="15"/>
  <c r="D58" i="15"/>
  <c r="E58" i="15"/>
  <c r="F58" i="15"/>
  <c r="D59" i="15"/>
  <c r="E59" i="15"/>
  <c r="F59" i="15"/>
  <c r="D60" i="15"/>
  <c r="E60" i="15"/>
  <c r="F60" i="15"/>
  <c r="D61" i="15"/>
  <c r="E61" i="15"/>
  <c r="F61" i="15"/>
  <c r="D62" i="15"/>
  <c r="E62" i="15"/>
  <c r="F62" i="15"/>
  <c r="D63" i="15"/>
  <c r="E63" i="15"/>
  <c r="F63" i="15"/>
  <c r="D64" i="15"/>
  <c r="E64" i="15"/>
  <c r="F64" i="15"/>
  <c r="D65" i="15"/>
  <c r="E65" i="15"/>
  <c r="F65" i="15"/>
  <c r="D66" i="15"/>
  <c r="E66" i="15"/>
  <c r="F66" i="15"/>
  <c r="D67" i="15"/>
  <c r="E67" i="15"/>
  <c r="F67" i="15"/>
  <c r="D68" i="15"/>
  <c r="E68" i="15"/>
  <c r="F68" i="15"/>
  <c r="D69" i="15"/>
  <c r="E69" i="15"/>
  <c r="F69" i="15"/>
  <c r="D70" i="15"/>
  <c r="E70" i="15"/>
  <c r="F70" i="15"/>
  <c r="D71" i="15"/>
  <c r="E71" i="15"/>
  <c r="F71" i="15"/>
  <c r="D72" i="15"/>
  <c r="E72" i="15"/>
  <c r="F72" i="15"/>
  <c r="D73" i="15"/>
  <c r="E73" i="15"/>
  <c r="F73" i="15"/>
  <c r="D74" i="15"/>
  <c r="E74" i="15"/>
  <c r="F74" i="15"/>
  <c r="D75" i="15"/>
  <c r="E75" i="15"/>
  <c r="F75" i="15"/>
  <c r="D76" i="15"/>
  <c r="E76" i="15"/>
  <c r="F76" i="15"/>
  <c r="D77" i="15"/>
  <c r="E77" i="15"/>
  <c r="F77" i="15"/>
  <c r="D78" i="15"/>
  <c r="E78" i="15"/>
  <c r="F78" i="15"/>
  <c r="D79" i="15"/>
  <c r="E79" i="15"/>
  <c r="F79" i="15"/>
  <c r="D80" i="15"/>
  <c r="E80" i="15"/>
  <c r="F80" i="15"/>
  <c r="D81" i="15"/>
  <c r="E81" i="15"/>
  <c r="F81" i="15"/>
  <c r="D82" i="15"/>
  <c r="E82" i="15"/>
  <c r="F82" i="15"/>
  <c r="D83" i="15"/>
  <c r="E83" i="15"/>
  <c r="F83" i="15"/>
  <c r="D27" i="15"/>
  <c r="E27" i="15"/>
  <c r="F27" i="15"/>
  <c r="D28" i="15"/>
  <c r="E28" i="15"/>
  <c r="F28" i="15"/>
  <c r="F26" i="15"/>
  <c r="E26" i="15"/>
  <c r="D26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3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" i="15"/>
  <c r="H43" i="15"/>
  <c r="H44" i="15"/>
  <c r="H45" i="15"/>
  <c r="H46" i="15"/>
  <c r="H47" i="15"/>
  <c r="H48" i="15"/>
  <c r="H9" i="15"/>
  <c r="H49" i="15"/>
  <c r="H15" i="15"/>
  <c r="H50" i="15"/>
  <c r="H51" i="15"/>
  <c r="H52" i="15"/>
  <c r="H53" i="15"/>
  <c r="H54" i="15"/>
  <c r="H55" i="15"/>
  <c r="H56" i="15"/>
  <c r="H12" i="15"/>
  <c r="H57" i="15"/>
  <c r="H17" i="15"/>
  <c r="H58" i="15"/>
  <c r="H59" i="15"/>
  <c r="H14" i="15"/>
  <c r="H20" i="15"/>
  <c r="H8" i="15"/>
  <c r="H60" i="15"/>
  <c r="H3" i="15"/>
  <c r="H61" i="15"/>
  <c r="H6" i="15"/>
  <c r="H62" i="15"/>
  <c r="H63" i="15"/>
  <c r="H64" i="15"/>
  <c r="H22" i="15"/>
  <c r="H10" i="15"/>
  <c r="H65" i="15"/>
  <c r="H23" i="15"/>
  <c r="H66" i="15"/>
  <c r="H67" i="15"/>
  <c r="H68" i="15"/>
  <c r="H69" i="15"/>
  <c r="H5" i="15"/>
  <c r="H21" i="15"/>
  <c r="H11" i="15"/>
  <c r="H13" i="15"/>
  <c r="H70" i="15"/>
  <c r="H71" i="15"/>
  <c r="H7" i="15"/>
  <c r="H72" i="15"/>
  <c r="H19" i="15"/>
  <c r="H73" i="15"/>
  <c r="H74" i="15"/>
  <c r="H75" i="15"/>
  <c r="H76" i="15"/>
  <c r="H77" i="15"/>
  <c r="H78" i="15"/>
  <c r="H79" i="15"/>
  <c r="H16" i="15"/>
  <c r="H18" i="15"/>
  <c r="H80" i="15"/>
  <c r="H81" i="15"/>
  <c r="H82" i="15"/>
  <c r="H83" i="15"/>
  <c r="H26" i="15"/>
  <c r="V452" i="11" l="1"/>
  <c r="X452" i="11" s="1"/>
  <c r="V454" i="11"/>
  <c r="X454" i="11" s="1"/>
  <c r="V444" i="11"/>
  <c r="X444" i="11" s="1"/>
  <c r="V490" i="11"/>
  <c r="X490" i="11" s="1"/>
  <c r="AA479" i="11" s="1" a="1"/>
  <c r="AA479" i="11" s="1"/>
  <c r="AJ479" i="11" s="1"/>
  <c r="V491" i="11"/>
  <c r="X491" i="11" s="1"/>
  <c r="V453" i="11"/>
  <c r="X453" i="11" s="1"/>
  <c r="W492" i="11"/>
  <c r="Y492" i="11" s="1"/>
  <c r="AA481" i="11" s="1" a="1"/>
  <c r="AA481" i="11" s="1"/>
  <c r="AJ481" i="11" s="1"/>
  <c r="V493" i="11"/>
  <c r="X493" i="11" s="1"/>
  <c r="V459" i="11"/>
  <c r="X459" i="11" s="1"/>
  <c r="AA445" i="11" s="1" a="1"/>
  <c r="AA445" i="11" s="1"/>
  <c r="AJ445" i="11" s="1"/>
  <c r="V451" i="11"/>
  <c r="X451" i="11" s="1"/>
  <c r="AA444" i="11" s="1" a="1"/>
  <c r="AA444" i="11" s="1"/>
  <c r="AJ444" i="11" s="1"/>
  <c r="W458" i="11"/>
  <c r="Y458" i="11" s="1"/>
  <c r="AA447" i="11" s="1" a="1"/>
  <c r="AA447" i="11" s="1"/>
  <c r="AJ447" i="11" s="1"/>
  <c r="AA478" i="11" a="1"/>
  <c r="AA478" i="11" s="1"/>
  <c r="AJ478" i="11" s="1"/>
  <c r="AA480" i="11" a="1"/>
  <c r="AA480" i="11" s="1"/>
  <c r="AJ480" i="11" s="1"/>
  <c r="AA446" i="11" a="1"/>
  <c r="AA446" i="11" s="1"/>
  <c r="AJ446" i="11" s="1"/>
  <c r="W466" i="11"/>
  <c r="Y466" i="11" s="1"/>
  <c r="W462" i="11"/>
  <c r="Y462" i="11" s="1"/>
  <c r="W469" i="11"/>
  <c r="Y469" i="11" s="1"/>
  <c r="V475" i="11"/>
  <c r="X475" i="11" s="1"/>
  <c r="W468" i="11"/>
  <c r="Y468" i="11" s="1"/>
  <c r="W476" i="11"/>
  <c r="Y476" i="11" s="1"/>
  <c r="W465" i="11"/>
  <c r="Y465" i="11" s="1"/>
  <c r="V461" i="11"/>
  <c r="X461" i="11" s="1"/>
  <c r="AA461" i="11" s="1" a="1"/>
  <c r="AA461" i="11" s="1"/>
  <c r="AJ461" i="11" s="1"/>
  <c r="V470" i="11"/>
  <c r="X470" i="11" s="1"/>
  <c r="W464" i="11"/>
  <c r="Y464" i="11" s="1"/>
  <c r="V471" i="11"/>
  <c r="X471" i="11" s="1"/>
  <c r="W467" i="11"/>
  <c r="Y467" i="11" s="1"/>
  <c r="V473" i="11"/>
  <c r="X473" i="11" s="1"/>
  <c r="W463" i="11"/>
  <c r="Y463" i="11" s="1"/>
  <c r="W474" i="11"/>
  <c r="Y474" i="11" s="1"/>
  <c r="W472" i="11"/>
  <c r="Y472" i="11" s="1"/>
  <c r="V439" i="11"/>
  <c r="X439" i="11" s="1"/>
  <c r="V435" i="11"/>
  <c r="X435" i="11" s="1"/>
  <c r="V427" i="11"/>
  <c r="X427" i="11" s="1"/>
  <c r="V438" i="11"/>
  <c r="X438" i="11" s="1"/>
  <c r="V437" i="11"/>
  <c r="X437" i="11" s="1"/>
  <c r="W430" i="11"/>
  <c r="Y430" i="11" s="1"/>
  <c r="V429" i="11"/>
  <c r="X429" i="11" s="1"/>
  <c r="W428" i="11"/>
  <c r="Y428" i="11" s="1"/>
  <c r="V436" i="11"/>
  <c r="X436" i="11" s="1"/>
  <c r="W440" i="11"/>
  <c r="Y440" i="11" s="1"/>
  <c r="V432" i="11"/>
  <c r="X432" i="11" s="1"/>
  <c r="V433" i="11"/>
  <c r="X433" i="11" s="1"/>
  <c r="V441" i="11"/>
  <c r="X441" i="11" s="1"/>
  <c r="W431" i="11"/>
  <c r="Y431" i="11" s="1"/>
  <c r="W434" i="11"/>
  <c r="Y434" i="11" s="1"/>
  <c r="W442" i="11"/>
  <c r="Y442" i="11" s="1"/>
  <c r="V416" i="11"/>
  <c r="X416" i="11" s="1"/>
  <c r="V424" i="11"/>
  <c r="X424" i="11" s="1"/>
  <c r="W412" i="11"/>
  <c r="Y412" i="11" s="1"/>
  <c r="V395" i="11"/>
  <c r="X395" i="11" s="1"/>
  <c r="V421" i="11"/>
  <c r="X421" i="11" s="1"/>
  <c r="V411" i="11"/>
  <c r="X411" i="11" s="1"/>
  <c r="V420" i="11"/>
  <c r="X420" i="11" s="1"/>
  <c r="V378" i="11"/>
  <c r="X378" i="11" s="1"/>
  <c r="V403" i="11"/>
  <c r="X403" i="11" s="1"/>
  <c r="W413" i="11"/>
  <c r="Y413" i="11" s="1"/>
  <c r="W394" i="11"/>
  <c r="Y394" i="11" s="1"/>
  <c r="W423" i="11"/>
  <c r="Y423" i="11" s="1"/>
  <c r="W393" i="11"/>
  <c r="Y393" i="11" s="1"/>
  <c r="V414" i="11"/>
  <c r="X414" i="11" s="1"/>
  <c r="V402" i="11"/>
  <c r="X402" i="11" s="1"/>
  <c r="V422" i="11"/>
  <c r="X422" i="11" s="1"/>
  <c r="W419" i="11"/>
  <c r="Y419" i="11" s="1"/>
  <c r="W348" i="11"/>
  <c r="Y348" i="11" s="1"/>
  <c r="W390" i="11"/>
  <c r="Y390" i="11" s="1"/>
  <c r="V382" i="11"/>
  <c r="X382" i="11" s="1"/>
  <c r="V415" i="11"/>
  <c r="X415" i="11" s="1"/>
  <c r="V418" i="11"/>
  <c r="X418" i="11" s="1"/>
  <c r="V325" i="11"/>
  <c r="X325" i="11" s="1"/>
  <c r="V396" i="11"/>
  <c r="X396" i="11" s="1"/>
  <c r="V417" i="11"/>
  <c r="X417" i="11" s="1"/>
  <c r="W410" i="11"/>
  <c r="Y410" i="11" s="1"/>
  <c r="V397" i="11"/>
  <c r="X397" i="11" s="1"/>
  <c r="V425" i="11"/>
  <c r="X425" i="11" s="1"/>
  <c r="V379" i="11"/>
  <c r="X379" i="11" s="1"/>
  <c r="V401" i="11"/>
  <c r="X401" i="11" s="1"/>
  <c r="V405" i="11"/>
  <c r="X405" i="11" s="1"/>
  <c r="W404" i="11"/>
  <c r="Y404" i="11" s="1"/>
  <c r="V367" i="11"/>
  <c r="X367" i="11" s="1"/>
  <c r="W350" i="11"/>
  <c r="Y350" i="11" s="1"/>
  <c r="V342" i="11"/>
  <c r="X342" i="11" s="1"/>
  <c r="V333" i="11"/>
  <c r="X333" i="11" s="1"/>
  <c r="W361" i="11"/>
  <c r="Y361" i="11" s="1"/>
  <c r="W344" i="11"/>
  <c r="Y344" i="11" s="1"/>
  <c r="W399" i="11"/>
  <c r="Y399" i="11" s="1"/>
  <c r="W362" i="11"/>
  <c r="Y362" i="11" s="1"/>
  <c r="V386" i="11"/>
  <c r="X386" i="11" s="1"/>
  <c r="W407" i="11"/>
  <c r="Y407" i="11" s="1"/>
  <c r="V398" i="11"/>
  <c r="X398" i="11" s="1"/>
  <c r="V370" i="11"/>
  <c r="X370" i="11" s="1"/>
  <c r="V353" i="11"/>
  <c r="X353" i="11" s="1"/>
  <c r="W336" i="11"/>
  <c r="Y336" i="11" s="1"/>
  <c r="V369" i="11"/>
  <c r="X369" i="11" s="1"/>
  <c r="V352" i="11"/>
  <c r="X352" i="11" s="1"/>
  <c r="V335" i="11"/>
  <c r="X335" i="11" s="1"/>
  <c r="V406" i="11"/>
  <c r="X406" i="11" s="1"/>
  <c r="W408" i="11"/>
  <c r="Y408" i="11" s="1"/>
  <c r="W400" i="11"/>
  <c r="Y400" i="11" s="1"/>
  <c r="V363" i="11"/>
  <c r="X363" i="11" s="1"/>
  <c r="V346" i="11"/>
  <c r="X346" i="11" s="1"/>
  <c r="W354" i="11"/>
  <c r="Y354" i="11" s="1"/>
  <c r="V337" i="11"/>
  <c r="X337" i="11" s="1"/>
  <c r="V388" i="11"/>
  <c r="X388" i="11" s="1"/>
  <c r="V329" i="11"/>
  <c r="X329" i="11" s="1"/>
  <c r="W371" i="11"/>
  <c r="Y371" i="11" s="1"/>
  <c r="W343" i="11"/>
  <c r="Y343" i="11" s="1"/>
  <c r="W384" i="11"/>
  <c r="Y384" i="11" s="1"/>
  <c r="V351" i="11"/>
  <c r="X351" i="11" s="1"/>
  <c r="V326" i="11"/>
  <c r="X326" i="11" s="1"/>
  <c r="V360" i="11"/>
  <c r="X360" i="11" s="1"/>
  <c r="V368" i="11"/>
  <c r="X368" i="11" s="1"/>
  <c r="V328" i="11"/>
  <c r="X328" i="11" s="1"/>
  <c r="V380" i="11"/>
  <c r="X380" i="11" s="1"/>
  <c r="V345" i="11"/>
  <c r="X345" i="11" s="1"/>
  <c r="V387" i="11"/>
  <c r="X387" i="11" s="1"/>
  <c r="W359" i="11"/>
  <c r="Y359" i="11" s="1"/>
  <c r="V385" i="11"/>
  <c r="X385" i="11" s="1"/>
  <c r="W377" i="11"/>
  <c r="Y377" i="11" s="1"/>
  <c r="AA378" i="11" s="1" a="1"/>
  <c r="AA378" i="11" s="1"/>
  <c r="AJ378" i="11" s="1"/>
  <c r="V391" i="11"/>
  <c r="X391" i="11" s="1"/>
  <c r="V383" i="11"/>
  <c r="X383" i="11" s="1"/>
  <c r="W334" i="11"/>
  <c r="Y334" i="11" s="1"/>
  <c r="V327" i="11"/>
  <c r="X327" i="11" s="1"/>
  <c r="V389" i="11"/>
  <c r="X389" i="11" s="1"/>
  <c r="V381" i="11"/>
  <c r="X381" i="11" s="1"/>
  <c r="V357" i="11"/>
  <c r="X357" i="11" s="1"/>
  <c r="V366" i="11"/>
  <c r="X366" i="11" s="1"/>
  <c r="W356" i="11"/>
  <c r="Y356" i="11" s="1"/>
  <c r="W332" i="11"/>
  <c r="Y332" i="11" s="1"/>
  <c r="W374" i="11"/>
  <c r="Y374" i="11" s="1"/>
  <c r="V365" i="11"/>
  <c r="X365" i="11" s="1"/>
  <c r="V340" i="11"/>
  <c r="X340" i="11" s="1"/>
  <c r="W331" i="11"/>
  <c r="Y331" i="11" s="1"/>
  <c r="V373" i="11"/>
  <c r="X373" i="11" s="1"/>
  <c r="V349" i="11"/>
  <c r="X349" i="11" s="1"/>
  <c r="V339" i="11"/>
  <c r="X339" i="11" s="1"/>
  <c r="V372" i="11"/>
  <c r="X372" i="11" s="1"/>
  <c r="V364" i="11"/>
  <c r="X364" i="11" s="1"/>
  <c r="W355" i="11"/>
  <c r="Y355" i="11" s="1"/>
  <c r="V347" i="11"/>
  <c r="X347" i="11" s="1"/>
  <c r="V338" i="11"/>
  <c r="X338" i="11" s="1"/>
  <c r="V330" i="11"/>
  <c r="X330" i="11" s="1"/>
  <c r="W320" i="11"/>
  <c r="Y320" i="11" s="1"/>
  <c r="V309" i="11"/>
  <c r="X309" i="11" s="1"/>
  <c r="V303" i="11"/>
  <c r="X303" i="11" s="1"/>
  <c r="V311" i="11"/>
  <c r="X311" i="11" s="1"/>
  <c r="V312" i="11"/>
  <c r="X312" i="11" s="1"/>
  <c r="V286" i="11"/>
  <c r="X286" i="11" s="1"/>
  <c r="W319" i="11"/>
  <c r="Y319" i="11" s="1"/>
  <c r="V313" i="11"/>
  <c r="X313" i="11" s="1"/>
  <c r="V321" i="11"/>
  <c r="X321" i="11" s="1"/>
  <c r="W294" i="11"/>
  <c r="Y294" i="11" s="1"/>
  <c r="V285" i="11"/>
  <c r="X285" i="11" s="1"/>
  <c r="V277" i="11"/>
  <c r="X277" i="11" s="1"/>
  <c r="W302" i="11"/>
  <c r="Y302" i="11" s="1"/>
  <c r="W297" i="11"/>
  <c r="Y297" i="11" s="1"/>
  <c r="V288" i="11"/>
  <c r="X288" i="11" s="1"/>
  <c r="W314" i="11"/>
  <c r="Y314" i="11" s="1"/>
  <c r="AA310" i="11" s="1" a="1"/>
  <c r="AA310" i="11" s="1"/>
  <c r="AJ310" i="11" s="1"/>
  <c r="W322" i="11"/>
  <c r="Y322" i="11" s="1"/>
  <c r="V308" i="11"/>
  <c r="X308" i="11" s="1"/>
  <c r="V310" i="11"/>
  <c r="X310" i="11" s="1"/>
  <c r="V317" i="11"/>
  <c r="X317" i="11" s="1"/>
  <c r="V318" i="11"/>
  <c r="X318" i="11" s="1"/>
  <c r="V315" i="11"/>
  <c r="X315" i="11" s="1"/>
  <c r="V316" i="11"/>
  <c r="X316" i="11" s="1"/>
  <c r="V323" i="11"/>
  <c r="X323" i="11" s="1"/>
  <c r="W276" i="11"/>
  <c r="Y276" i="11" s="1"/>
  <c r="W301" i="11"/>
  <c r="Y301" i="11" s="1"/>
  <c r="V293" i="11"/>
  <c r="X293" i="11" s="1"/>
  <c r="W291" i="11"/>
  <c r="Y291" i="11" s="1"/>
  <c r="V282" i="11"/>
  <c r="X282" i="11" s="1"/>
  <c r="W292" i="11"/>
  <c r="Y292" i="11" s="1"/>
  <c r="V275" i="11"/>
  <c r="X275" i="11" s="1"/>
  <c r="W299" i="11"/>
  <c r="Y299" i="11" s="1"/>
  <c r="V284" i="11"/>
  <c r="X284" i="11" s="1"/>
  <c r="W306" i="11"/>
  <c r="Y306" i="11" s="1"/>
  <c r="W283" i="11"/>
  <c r="Y283" i="11" s="1"/>
  <c r="V274" i="11"/>
  <c r="X274" i="11" s="1"/>
  <c r="W300" i="11"/>
  <c r="Y300" i="11" s="1"/>
  <c r="W295" i="11"/>
  <c r="Y295" i="11" s="1"/>
  <c r="V278" i="11"/>
  <c r="X278" i="11" s="1"/>
  <c r="V305" i="11"/>
  <c r="X305" i="11" s="1"/>
  <c r="V281" i="11"/>
  <c r="X281" i="11" s="1"/>
  <c r="W192" i="11"/>
  <c r="Y192" i="11" s="1"/>
  <c r="W298" i="11"/>
  <c r="Y298" i="11" s="1"/>
  <c r="V289" i="11"/>
  <c r="X289" i="11" s="1"/>
  <c r="V280" i="11"/>
  <c r="X280" i="11" s="1"/>
  <c r="V304" i="11"/>
  <c r="X304" i="11" s="1"/>
  <c r="V296" i="11"/>
  <c r="X296" i="11" s="1"/>
  <c r="W287" i="11"/>
  <c r="Y287" i="11" s="1"/>
  <c r="W279" i="11"/>
  <c r="Y279" i="11" s="1"/>
  <c r="W495" i="11"/>
  <c r="Y495" i="11" s="1"/>
  <c r="W193" i="11"/>
  <c r="Y193" i="11" s="1"/>
  <c r="V204" i="11"/>
  <c r="X204" i="11" s="1"/>
  <c r="W195" i="11"/>
  <c r="Y195" i="11" s="1"/>
  <c r="V200" i="11"/>
  <c r="X200" i="11" s="1"/>
  <c r="V199" i="11"/>
  <c r="X199" i="11" s="1"/>
  <c r="W203" i="11"/>
  <c r="Y203" i="11" s="1"/>
  <c r="V201" i="11"/>
  <c r="X201" i="11" s="1"/>
  <c r="V189" i="11"/>
  <c r="X189" i="11" s="1"/>
  <c r="V190" i="11"/>
  <c r="X190" i="11" s="1"/>
  <c r="V198" i="11"/>
  <c r="X198" i="11" s="1"/>
  <c r="V191" i="11"/>
  <c r="X191" i="11" s="1"/>
  <c r="W197" i="11"/>
  <c r="Y197" i="11" s="1"/>
  <c r="V202" i="11"/>
  <c r="X202" i="11" s="1"/>
  <c r="V196" i="11"/>
  <c r="X196" i="11" s="1"/>
  <c r="V194" i="11"/>
  <c r="X194" i="11" s="1"/>
  <c r="W123" i="11"/>
  <c r="Y123" i="11" s="1"/>
  <c r="W186" i="11"/>
  <c r="Y186" i="11" s="1"/>
  <c r="W178" i="11"/>
  <c r="Y178" i="11" s="1"/>
  <c r="W175" i="11"/>
  <c r="Y175" i="11" s="1"/>
  <c r="W183" i="11"/>
  <c r="Y183" i="11" s="1"/>
  <c r="W53" i="11"/>
  <c r="Y53" i="11" s="1"/>
  <c r="V182" i="11"/>
  <c r="X182" i="11" s="1"/>
  <c r="W180" i="11"/>
  <c r="Y180" i="11" s="1"/>
  <c r="V174" i="11"/>
  <c r="X174" i="11" s="1"/>
  <c r="W181" i="11"/>
  <c r="Y181" i="11" s="1"/>
  <c r="W124" i="11"/>
  <c r="Y124" i="11" s="1"/>
  <c r="W125" i="11"/>
  <c r="Y125" i="11" s="1"/>
  <c r="W176" i="11"/>
  <c r="Y176" i="11" s="1"/>
  <c r="W184" i="11"/>
  <c r="Y184" i="11" s="1"/>
  <c r="V133" i="11"/>
  <c r="X133" i="11" s="1"/>
  <c r="W148" i="11"/>
  <c r="Y148" i="11" s="1"/>
  <c r="V142" i="11"/>
  <c r="X142" i="11" s="1"/>
  <c r="W131" i="11"/>
  <c r="Y131" i="11" s="1"/>
  <c r="W150" i="11"/>
  <c r="Y150" i="11" s="1"/>
  <c r="V166" i="11"/>
  <c r="X166" i="11" s="1"/>
  <c r="V140" i="11"/>
  <c r="X140" i="11" s="1"/>
  <c r="V158" i="11"/>
  <c r="X158" i="11" s="1"/>
  <c r="W157" i="11"/>
  <c r="Y157" i="11" s="1"/>
  <c r="W132" i="11"/>
  <c r="Y132" i="11" s="1"/>
  <c r="V149" i="11"/>
  <c r="X149" i="11" s="1"/>
  <c r="W130" i="11"/>
  <c r="Y130" i="11" s="1"/>
  <c r="W165" i="11"/>
  <c r="Y165" i="11" s="1"/>
  <c r="V185" i="11"/>
  <c r="X185" i="11" s="1"/>
  <c r="W121" i="11"/>
  <c r="Y121" i="11" s="1"/>
  <c r="V141" i="11"/>
  <c r="X141" i="11" s="1"/>
  <c r="V187" i="11"/>
  <c r="X187" i="11" s="1"/>
  <c r="W164" i="11"/>
  <c r="Y164" i="11" s="1"/>
  <c r="V179" i="11"/>
  <c r="X179" i="11" s="1"/>
  <c r="V122" i="11"/>
  <c r="X122" i="11" s="1"/>
  <c r="W173" i="11"/>
  <c r="Y173" i="11" s="1"/>
  <c r="V139" i="11"/>
  <c r="X139" i="11" s="1"/>
  <c r="W177" i="11"/>
  <c r="Y177" i="11" s="1"/>
  <c r="V147" i="11"/>
  <c r="X147" i="11" s="1"/>
  <c r="V156" i="11"/>
  <c r="X156" i="11" s="1"/>
  <c r="V163" i="11"/>
  <c r="X163" i="11" s="1"/>
  <c r="V155" i="11"/>
  <c r="X155" i="11" s="1"/>
  <c r="V167" i="11"/>
  <c r="X167" i="11" s="1"/>
  <c r="V159" i="11"/>
  <c r="X159" i="11" s="1"/>
  <c r="W146" i="11"/>
  <c r="Y146" i="11" s="1"/>
  <c r="V138" i="11"/>
  <c r="X138" i="11" s="1"/>
  <c r="V129" i="11"/>
  <c r="X129" i="11" s="1"/>
  <c r="W161" i="11"/>
  <c r="Y161" i="11" s="1"/>
  <c r="V135" i="11"/>
  <c r="X135" i="11" s="1"/>
  <c r="V152" i="11"/>
  <c r="X152" i="11" s="1"/>
  <c r="V127" i="11"/>
  <c r="X127" i="11" s="1"/>
  <c r="V169" i="11"/>
  <c r="X169" i="11" s="1"/>
  <c r="V144" i="11"/>
  <c r="X144" i="11" s="1"/>
  <c r="V136" i="11"/>
  <c r="X136" i="11" s="1"/>
  <c r="W170" i="11"/>
  <c r="Y170" i="11" s="1"/>
  <c r="V153" i="11"/>
  <c r="X153" i="11" s="1"/>
  <c r="W162" i="11"/>
  <c r="Y162" i="11" s="1"/>
  <c r="W145" i="11"/>
  <c r="Y145" i="11" s="1"/>
  <c r="AA140" i="11" s="1" a="1"/>
  <c r="AA140" i="11" s="1"/>
  <c r="AJ140" i="11" s="1"/>
  <c r="V128" i="11"/>
  <c r="X128" i="11" s="1"/>
  <c r="V168" i="11"/>
  <c r="X168" i="11" s="1"/>
  <c r="V160" i="11"/>
  <c r="X160" i="11" s="1"/>
  <c r="V151" i="11"/>
  <c r="X151" i="11" s="1"/>
  <c r="V143" i="11"/>
  <c r="X143" i="11" s="1"/>
  <c r="V134" i="11"/>
  <c r="X134" i="11" s="1"/>
  <c r="V126" i="11"/>
  <c r="X126" i="11" s="1"/>
  <c r="W209" i="11"/>
  <c r="Y209" i="11" s="1"/>
  <c r="W212" i="11"/>
  <c r="Y212" i="11" s="1"/>
  <c r="W211" i="11"/>
  <c r="Y211" i="11" s="1"/>
  <c r="W208" i="11"/>
  <c r="Y208" i="11" s="1"/>
  <c r="W207" i="11"/>
  <c r="Y207" i="11" s="1"/>
  <c r="V206" i="11"/>
  <c r="X206" i="11" s="1"/>
  <c r="W210" i="11"/>
  <c r="Y210" i="11" s="1"/>
  <c r="V87" i="11"/>
  <c r="X87" i="11" s="1"/>
  <c r="V106" i="11"/>
  <c r="X106" i="11" s="1"/>
  <c r="W109" i="11"/>
  <c r="Y109" i="11" s="1"/>
  <c r="V113" i="11"/>
  <c r="X113" i="11" s="1"/>
  <c r="V108" i="11"/>
  <c r="X108" i="11" s="1"/>
  <c r="W104" i="11"/>
  <c r="Y104" i="11" s="1"/>
  <c r="V105" i="11"/>
  <c r="X105" i="11" s="1"/>
  <c r="V117" i="11"/>
  <c r="X117" i="11" s="1"/>
  <c r="V114" i="11"/>
  <c r="X114" i="11" s="1"/>
  <c r="V112" i="11"/>
  <c r="X112" i="11" s="1"/>
  <c r="V93" i="11"/>
  <c r="X93" i="11" s="1"/>
  <c r="W90" i="11"/>
  <c r="Y90" i="11" s="1"/>
  <c r="W118" i="11"/>
  <c r="Y118" i="11" s="1"/>
  <c r="W115" i="11"/>
  <c r="Y115" i="11" s="1"/>
  <c r="V119" i="11"/>
  <c r="X119" i="11" s="1"/>
  <c r="V111" i="11"/>
  <c r="X111" i="11" s="1"/>
  <c r="V94" i="11"/>
  <c r="X94" i="11" s="1"/>
  <c r="W101" i="11"/>
  <c r="Y101" i="11" s="1"/>
  <c r="W98" i="11"/>
  <c r="Y98" i="11" s="1"/>
  <c r="V102" i="11"/>
  <c r="X102" i="11" s="1"/>
  <c r="W110" i="11"/>
  <c r="Y110" i="11" s="1"/>
  <c r="V107" i="11"/>
  <c r="X107" i="11" s="1"/>
  <c r="V116" i="11"/>
  <c r="X116" i="11" s="1"/>
  <c r="V97" i="11"/>
  <c r="X97" i="11" s="1"/>
  <c r="V96" i="11"/>
  <c r="X96" i="11" s="1"/>
  <c r="W88" i="11"/>
  <c r="Y88" i="11" s="1"/>
  <c r="V89" i="11"/>
  <c r="X89" i="11" s="1"/>
  <c r="V95" i="11"/>
  <c r="X95" i="11" s="1"/>
  <c r="V99" i="11"/>
  <c r="X99" i="11" s="1"/>
  <c r="V91" i="11"/>
  <c r="X91" i="11" s="1"/>
  <c r="V100" i="11"/>
  <c r="X100" i="11" s="1"/>
  <c r="V92" i="11"/>
  <c r="X92" i="11" s="1"/>
  <c r="W64" i="11"/>
  <c r="Y64" i="11" s="1"/>
  <c r="W57" i="11"/>
  <c r="Y57" i="11" s="1"/>
  <c r="V65" i="11"/>
  <c r="X65" i="11" s="1"/>
  <c r="V56" i="11"/>
  <c r="X56" i="11" s="1"/>
  <c r="W61" i="11"/>
  <c r="Y61" i="11" s="1"/>
  <c r="V23" i="11"/>
  <c r="X23" i="11" s="1"/>
  <c r="V58" i="11"/>
  <c r="X58" i="11" s="1"/>
  <c r="V66" i="11"/>
  <c r="X66" i="11" s="1"/>
  <c r="V54" i="11"/>
  <c r="X54" i="11" s="1"/>
  <c r="V62" i="11"/>
  <c r="X62" i="11" s="1"/>
  <c r="V63" i="11"/>
  <c r="X63" i="11" s="1"/>
  <c r="V55" i="11"/>
  <c r="X55" i="11" s="1"/>
  <c r="W67" i="11"/>
  <c r="Y67" i="11" s="1"/>
  <c r="W59" i="11"/>
  <c r="Y59" i="11" s="1"/>
  <c r="V68" i="11"/>
  <c r="X68" i="11" s="1"/>
  <c r="V60" i="11"/>
  <c r="X60" i="11" s="1"/>
  <c r="V6" i="11"/>
  <c r="X6" i="11" s="1"/>
  <c r="W20" i="11"/>
  <c r="Y20" i="11" s="1"/>
  <c r="V31" i="11"/>
  <c r="X31" i="11" s="1"/>
  <c r="V14" i="11"/>
  <c r="X14" i="11" s="1"/>
  <c r="W19" i="11"/>
  <c r="Y19" i="11" s="1"/>
  <c r="V11" i="11"/>
  <c r="X11" i="11" s="1"/>
  <c r="W13" i="11"/>
  <c r="Y13" i="11" s="1"/>
  <c r="V30" i="11"/>
  <c r="X30" i="11" s="1"/>
  <c r="V27" i="11"/>
  <c r="X27" i="11" s="1"/>
  <c r="W2" i="11"/>
  <c r="Y2" i="11" s="1"/>
  <c r="V10" i="11"/>
  <c r="X10" i="11" s="1"/>
  <c r="V3" i="11"/>
  <c r="X3" i="11" s="1"/>
  <c r="V5" i="11"/>
  <c r="X5" i="11" s="1"/>
  <c r="V29" i="11"/>
  <c r="X29" i="11" s="1"/>
  <c r="V22" i="11"/>
  <c r="X22" i="11" s="1"/>
  <c r="V4" i="11"/>
  <c r="X4" i="11" s="1"/>
  <c r="V12" i="11"/>
  <c r="X12" i="11" s="1"/>
  <c r="V28" i="11"/>
  <c r="X28" i="11" s="1"/>
  <c r="V21" i="11"/>
  <c r="X21" i="11" s="1"/>
  <c r="V26" i="11"/>
  <c r="X26" i="11" s="1"/>
  <c r="V34" i="11"/>
  <c r="X34" i="11" s="1"/>
  <c r="W25" i="11"/>
  <c r="Y25" i="11" s="1"/>
  <c r="W33" i="11"/>
  <c r="Y33" i="11" s="1"/>
  <c r="W32" i="11"/>
  <c r="Y32" i="11" s="1"/>
  <c r="W24" i="11"/>
  <c r="Y24" i="11" s="1"/>
  <c r="V17" i="11"/>
  <c r="X17" i="11" s="1"/>
  <c r="V9" i="11"/>
  <c r="X9" i="11" s="1"/>
  <c r="V15" i="11"/>
  <c r="X15" i="11" s="1"/>
  <c r="W16" i="11"/>
  <c r="Y16" i="11" s="1"/>
  <c r="V7" i="11"/>
  <c r="X7" i="11" s="1"/>
  <c r="W8" i="11"/>
  <c r="Y8" i="11" s="1"/>
  <c r="BM64" i="14"/>
  <c r="BL64" i="14"/>
  <c r="BK64" i="14"/>
  <c r="BJ64" i="14"/>
  <c r="BI64" i="14"/>
  <c r="BH64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H64" i="14"/>
  <c r="BM63" i="14"/>
  <c r="BL63" i="14"/>
  <c r="BK63" i="14"/>
  <c r="BJ63" i="14"/>
  <c r="BI63" i="14"/>
  <c r="BH63" i="14"/>
  <c r="BG63" i="14"/>
  <c r="BF63" i="14"/>
  <c r="BE63" i="14"/>
  <c r="BD63" i="14"/>
  <c r="BC63" i="14"/>
  <c r="BB63" i="14"/>
  <c r="BA63" i="14"/>
  <c r="AZ63" i="14"/>
  <c r="AY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H63" i="14"/>
  <c r="BM62" i="14"/>
  <c r="BL62" i="14"/>
  <c r="BK62" i="14"/>
  <c r="BJ62" i="14"/>
  <c r="BI62" i="14"/>
  <c r="BH62" i="14"/>
  <c r="BG62" i="14"/>
  <c r="BF62" i="14"/>
  <c r="BE62" i="14"/>
  <c r="BD62" i="14"/>
  <c r="BC62" i="14"/>
  <c r="BB62" i="14"/>
  <c r="BA62" i="14"/>
  <c r="AZ62" i="14"/>
  <c r="AY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H62" i="14"/>
  <c r="BM61" i="14"/>
  <c r="BL61" i="14"/>
  <c r="BK61" i="14"/>
  <c r="BJ61" i="14"/>
  <c r="BI61" i="14"/>
  <c r="BH61" i="14"/>
  <c r="BG61" i="14"/>
  <c r="BF61" i="14"/>
  <c r="BE61" i="14"/>
  <c r="BD61" i="14"/>
  <c r="BC61" i="14"/>
  <c r="BB61" i="14"/>
  <c r="BA61" i="14"/>
  <c r="AZ61" i="14"/>
  <c r="AY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H61" i="14"/>
  <c r="BM60" i="14"/>
  <c r="BL60" i="14"/>
  <c r="BK60" i="14"/>
  <c r="BJ60" i="14"/>
  <c r="BI60" i="14"/>
  <c r="BH60" i="14"/>
  <c r="BG60" i="14"/>
  <c r="BF60" i="14"/>
  <c r="BE60" i="14"/>
  <c r="BD60" i="14"/>
  <c r="BC60" i="14"/>
  <c r="BB60" i="14"/>
  <c r="BA60" i="14"/>
  <c r="AZ60" i="14"/>
  <c r="AY60" i="14"/>
  <c r="AX60" i="14"/>
  <c r="AW60" i="14"/>
  <c r="AV60" i="14"/>
  <c r="AU60" i="14"/>
  <c r="AT60" i="14"/>
  <c r="AS60" i="14"/>
  <c r="AR60" i="14"/>
  <c r="AQ60" i="14"/>
  <c r="AP60" i="14"/>
  <c r="AO60" i="14"/>
  <c r="AN60" i="14"/>
  <c r="AM60" i="14"/>
  <c r="AL60" i="14"/>
  <c r="AK60" i="14"/>
  <c r="AJ60" i="14"/>
  <c r="AI60" i="14"/>
  <c r="AH60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BM57" i="14"/>
  <c r="BL57" i="14"/>
  <c r="BK57" i="14"/>
  <c r="BJ57" i="14"/>
  <c r="BI57" i="14"/>
  <c r="BH57" i="14"/>
  <c r="BG57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BM56" i="14"/>
  <c r="BL56" i="14"/>
  <c r="BK56" i="14"/>
  <c r="BJ56" i="14"/>
  <c r="BI56" i="14"/>
  <c r="BH56" i="14"/>
  <c r="BG56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BM55" i="14"/>
  <c r="BL55" i="14"/>
  <c r="BK55" i="14"/>
  <c r="BJ55" i="14"/>
  <c r="BI55" i="14"/>
  <c r="BH55" i="14"/>
  <c r="BG55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BM53" i="14"/>
  <c r="BL53" i="14"/>
  <c r="BK53" i="14"/>
  <c r="BJ53" i="14"/>
  <c r="BI53" i="14"/>
  <c r="BH53" i="14"/>
  <c r="BG53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BM52" i="14"/>
  <c r="BL52" i="14"/>
  <c r="BK52" i="14"/>
  <c r="BJ52" i="14"/>
  <c r="BI52" i="14"/>
  <c r="BH52" i="14"/>
  <c r="BG52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BM51" i="14"/>
  <c r="BL51" i="14"/>
  <c r="BK51" i="14"/>
  <c r="BJ51" i="14"/>
  <c r="BI51" i="14"/>
  <c r="BH51" i="14"/>
  <c r="BG51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BM50" i="14"/>
  <c r="BL50" i="14"/>
  <c r="BK50" i="14"/>
  <c r="BJ50" i="14"/>
  <c r="BI50" i="14"/>
  <c r="BH50" i="14"/>
  <c r="BG50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BM48" i="14"/>
  <c r="BL48" i="14"/>
  <c r="BK48" i="14"/>
  <c r="BJ48" i="14"/>
  <c r="BI48" i="14"/>
  <c r="BH48" i="14"/>
  <c r="BG48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BM47" i="14"/>
  <c r="BL47" i="14"/>
  <c r="BK47" i="14"/>
  <c r="BJ47" i="14"/>
  <c r="BI47" i="14"/>
  <c r="BH47" i="14"/>
  <c r="BG47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BM46" i="14"/>
  <c r="BL46" i="14"/>
  <c r="BK46" i="14"/>
  <c r="BJ46" i="14"/>
  <c r="BI46" i="14"/>
  <c r="BH46" i="14"/>
  <c r="BG46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AI1" i="14"/>
  <c r="AJ1" i="14"/>
  <c r="AK1" i="14"/>
  <c r="AL1" i="14"/>
  <c r="AM1" i="14"/>
  <c r="AN1" i="14"/>
  <c r="AO1" i="14"/>
  <c r="AP1" i="14"/>
  <c r="AQ1" i="14"/>
  <c r="AR1" i="14"/>
  <c r="AS1" i="14"/>
  <c r="AT1" i="14"/>
  <c r="AU1" i="14"/>
  <c r="AV1" i="14"/>
  <c r="AW1" i="14"/>
  <c r="AX1" i="14"/>
  <c r="AY1" i="14"/>
  <c r="AZ1" i="14"/>
  <c r="BA1" i="14"/>
  <c r="BB1" i="14"/>
  <c r="BC1" i="14"/>
  <c r="BD1" i="14"/>
  <c r="BE1" i="14"/>
  <c r="BF1" i="14"/>
  <c r="BG1" i="14"/>
  <c r="BH1" i="14"/>
  <c r="BI1" i="14"/>
  <c r="BJ1" i="14"/>
  <c r="BK1" i="14"/>
  <c r="BL1" i="14"/>
  <c r="BM1" i="14"/>
  <c r="AH1" i="14"/>
  <c r="D59" i="12"/>
  <c r="C59" i="12"/>
  <c r="C58" i="12"/>
  <c r="D58" i="12" s="1"/>
  <c r="C57" i="12"/>
  <c r="AA172" i="11" l="1" a="1"/>
  <c r="AA172" i="11" s="1"/>
  <c r="AJ172" i="11" s="1"/>
  <c r="AA463" i="11" a="1"/>
  <c r="AA463" i="11" s="1"/>
  <c r="AJ463" i="11" s="1"/>
  <c r="AA462" i="11" a="1"/>
  <c r="AA462" i="11" s="1"/>
  <c r="AJ462" i="11" s="1"/>
  <c r="AA464" i="11" a="1"/>
  <c r="AA464" i="11" s="1"/>
  <c r="AJ464" i="11" s="1"/>
  <c r="AA430" i="11" a="1"/>
  <c r="AA430" i="11" s="1"/>
  <c r="AJ430" i="11" s="1"/>
  <c r="AA428" i="11" a="1"/>
  <c r="AA428" i="11" s="1"/>
  <c r="AJ428" i="11" s="1"/>
  <c r="AA427" i="11" a="1"/>
  <c r="AA427" i="11" s="1"/>
  <c r="AJ427" i="11" s="1"/>
  <c r="AA429" i="11" a="1"/>
  <c r="AA429" i="11" s="1"/>
  <c r="AJ429" i="11" s="1"/>
  <c r="AA412" i="11" a="1"/>
  <c r="AA412" i="11" s="1"/>
  <c r="AJ412" i="11" s="1"/>
  <c r="AA413" i="11" a="1"/>
  <c r="AA413" i="11" s="1"/>
  <c r="AJ413" i="11" s="1"/>
  <c r="AA379" i="11" a="1"/>
  <c r="AA379" i="11" s="1"/>
  <c r="AJ379" i="11" s="1"/>
  <c r="AA410" i="11" a="1"/>
  <c r="AA410" i="11" s="1"/>
  <c r="AJ410" i="11" s="1"/>
  <c r="AA344" i="11" a="1"/>
  <c r="AA344" i="11" s="1"/>
  <c r="AJ344" i="11" s="1"/>
  <c r="AA411" i="11" a="1"/>
  <c r="AA411" i="11" s="1"/>
  <c r="AJ411" i="11" s="1"/>
  <c r="AA393" i="11" a="1"/>
  <c r="AA393" i="11" s="1"/>
  <c r="AJ393" i="11" s="1"/>
  <c r="AA394" i="11" a="1"/>
  <c r="AA394" i="11" s="1"/>
  <c r="AJ394" i="11" s="1"/>
  <c r="AA395" i="11" a="1"/>
  <c r="AA395" i="11" s="1"/>
  <c r="AJ395" i="11" s="1"/>
  <c r="AA361" i="11" a="1"/>
  <c r="AA361" i="11" s="1"/>
  <c r="AJ361" i="11" s="1"/>
  <c r="AA328" i="11" a="1"/>
  <c r="AA328" i="11" s="1"/>
  <c r="AJ328" i="11" s="1"/>
  <c r="AA396" i="11" a="1"/>
  <c r="AA396" i="11" s="1"/>
  <c r="AJ396" i="11" s="1"/>
  <c r="AA343" i="11" a="1"/>
  <c r="AA343" i="11" s="1"/>
  <c r="AJ343" i="11" s="1"/>
  <c r="AA376" i="11" a="1"/>
  <c r="AA376" i="11" s="1"/>
  <c r="AJ376" i="11" s="1"/>
  <c r="AA362" i="11" a="1"/>
  <c r="AA362" i="11" s="1"/>
  <c r="AJ362" i="11" s="1"/>
  <c r="AA345" i="11" a="1"/>
  <c r="AA345" i="11" s="1"/>
  <c r="AJ345" i="11" s="1"/>
  <c r="AA359" i="11" a="1"/>
  <c r="AA359" i="11" s="1"/>
  <c r="AJ359" i="11" s="1"/>
  <c r="AA325" i="11" a="1"/>
  <c r="AA325" i="11" s="1"/>
  <c r="AJ325" i="11" s="1"/>
  <c r="AA377" i="11" a="1"/>
  <c r="AA377" i="11" s="1"/>
  <c r="AJ377" i="11" s="1"/>
  <c r="AA326" i="11" a="1"/>
  <c r="AA326" i="11" s="1"/>
  <c r="AJ326" i="11" s="1"/>
  <c r="AA327" i="11" a="1"/>
  <c r="AA327" i="11" s="1"/>
  <c r="AJ327" i="11" s="1"/>
  <c r="AA342" i="11" a="1"/>
  <c r="AA342" i="11" s="1"/>
  <c r="AJ342" i="11" s="1"/>
  <c r="AA360" i="11" a="1"/>
  <c r="AA360" i="11" s="1"/>
  <c r="AJ360" i="11" s="1"/>
  <c r="AA276" i="11" a="1"/>
  <c r="AA276" i="11" s="1"/>
  <c r="AJ276" i="11" s="1"/>
  <c r="AA311" i="11" a="1"/>
  <c r="AA311" i="11" s="1"/>
  <c r="AJ311" i="11" s="1"/>
  <c r="AA308" i="11" a="1"/>
  <c r="AA308" i="11" s="1"/>
  <c r="AJ308" i="11" s="1"/>
  <c r="AA309" i="11" a="1"/>
  <c r="AA309" i="11" s="1"/>
  <c r="AJ309" i="11" s="1"/>
  <c r="AA294" i="11" a="1"/>
  <c r="AA294" i="11" s="1"/>
  <c r="AJ294" i="11" s="1"/>
  <c r="AA291" i="11" a="1"/>
  <c r="AA291" i="11" s="1"/>
  <c r="AJ291" i="11" s="1"/>
  <c r="AA275" i="11" a="1"/>
  <c r="AA275" i="11" s="1"/>
  <c r="AJ275" i="11" s="1"/>
  <c r="AA277" i="11" a="1"/>
  <c r="AA277" i="11" s="1"/>
  <c r="AJ277" i="11" s="1"/>
  <c r="AA293" i="11" a="1"/>
  <c r="AA293" i="11" s="1"/>
  <c r="AJ293" i="11" s="1"/>
  <c r="AA292" i="11" a="1"/>
  <c r="AA292" i="11" s="1"/>
  <c r="AJ292" i="11" s="1"/>
  <c r="AA274" i="11" a="1"/>
  <c r="AA274" i="11" s="1"/>
  <c r="AJ274" i="11" s="1"/>
  <c r="AA191" i="11" a="1"/>
  <c r="AA191" i="11" s="1"/>
  <c r="AJ191" i="11" s="1"/>
  <c r="AA192" i="11" a="1"/>
  <c r="AA192" i="11" s="1"/>
  <c r="AJ192" i="11" s="1"/>
  <c r="AA189" i="11" a="1"/>
  <c r="AA189" i="11" s="1"/>
  <c r="AJ189" i="11" s="1"/>
  <c r="AA190" i="11" a="1"/>
  <c r="AA190" i="11" s="1"/>
  <c r="AJ190" i="11" s="1"/>
  <c r="AA175" i="11" a="1"/>
  <c r="AA175" i="11" s="1"/>
  <c r="AJ175" i="11" s="1"/>
  <c r="AA123" i="11" a="1"/>
  <c r="AA123" i="11" s="1"/>
  <c r="AJ123" i="11" s="1"/>
  <c r="AA124" i="11" a="1"/>
  <c r="AA124" i="11" s="1"/>
  <c r="AJ124" i="11" s="1"/>
  <c r="AA141" i="11" a="1"/>
  <c r="AA141" i="11" s="1"/>
  <c r="AJ141" i="11" s="1"/>
  <c r="AA174" i="11" a="1"/>
  <c r="AA174" i="11" s="1"/>
  <c r="AJ174" i="11" s="1"/>
  <c r="AA173" i="11" a="1"/>
  <c r="AA173" i="11" s="1"/>
  <c r="AJ173" i="11" s="1"/>
  <c r="AA138" i="11" a="1"/>
  <c r="AA138" i="11" s="1"/>
  <c r="AJ138" i="11" s="1"/>
  <c r="AA158" i="11" a="1"/>
  <c r="AA158" i="11" s="1"/>
  <c r="AJ158" i="11" s="1"/>
  <c r="AA156" i="11" a="1"/>
  <c r="AA156" i="11" s="1"/>
  <c r="AJ156" i="11" s="1"/>
  <c r="AA155" i="11" a="1"/>
  <c r="AA155" i="11" s="1"/>
  <c r="AJ155" i="11" s="1"/>
  <c r="AA157" i="11" a="1"/>
  <c r="AA157" i="11" s="1"/>
  <c r="AJ157" i="11" s="1"/>
  <c r="AA139" i="11" a="1"/>
  <c r="AA139" i="11" s="1"/>
  <c r="AJ139" i="11" s="1"/>
  <c r="AA122" i="11" a="1"/>
  <c r="AA122" i="11" s="1"/>
  <c r="AJ122" i="11" s="1"/>
  <c r="AA121" i="11" a="1"/>
  <c r="AA121" i="11" s="1"/>
  <c r="AJ121" i="11" s="1"/>
  <c r="AA107" i="11" a="1"/>
  <c r="AA107" i="11" s="1"/>
  <c r="AJ107" i="11" s="1"/>
  <c r="AA89" i="11" a="1"/>
  <c r="AA89" i="11" s="1"/>
  <c r="AJ89" i="11" s="1"/>
  <c r="AA104" i="11" a="1"/>
  <c r="AA104" i="11" s="1"/>
  <c r="AJ104" i="11" s="1"/>
  <c r="AA106" i="11" a="1"/>
  <c r="AA106" i="11" s="1"/>
  <c r="AJ106" i="11" s="1"/>
  <c r="AA105" i="11" a="1"/>
  <c r="AA105" i="11" s="1"/>
  <c r="AJ105" i="11" s="1"/>
  <c r="AA90" i="11" a="1"/>
  <c r="AA90" i="11" s="1"/>
  <c r="AJ90" i="11" s="1"/>
  <c r="AA87" i="11" a="1"/>
  <c r="AA87" i="11" s="1"/>
  <c r="AJ87" i="11" s="1"/>
  <c r="AA88" i="11" a="1"/>
  <c r="AA88" i="11" s="1"/>
  <c r="AJ88" i="11" s="1"/>
  <c r="AA56" i="11" a="1"/>
  <c r="AA56" i="11" s="1"/>
  <c r="AJ56" i="11" s="1"/>
  <c r="AA55" i="11" a="1"/>
  <c r="AA55" i="11" s="1"/>
  <c r="AJ55" i="11" s="1"/>
  <c r="AA53" i="11" a="1"/>
  <c r="AA53" i="11" s="1"/>
  <c r="AJ53" i="11" s="1"/>
  <c r="AA54" i="11" a="1"/>
  <c r="AA54" i="11" s="1"/>
  <c r="AJ54" i="11" s="1"/>
  <c r="AA4" i="11" a="1"/>
  <c r="AA4" i="11" s="1"/>
  <c r="AJ4" i="11" s="1"/>
  <c r="AA3" i="11" a="1"/>
  <c r="AA3" i="11" s="1"/>
  <c r="AJ3" i="11" s="1"/>
  <c r="AA19" i="11" a="1"/>
  <c r="AA19" i="11" s="1"/>
  <c r="AJ19" i="11" s="1"/>
  <c r="AA22" i="11" a="1"/>
  <c r="AA22" i="11" s="1"/>
  <c r="AJ22" i="11" s="1"/>
  <c r="AA5" i="11" a="1"/>
  <c r="AA5" i="11" s="1"/>
  <c r="AJ5" i="11" s="1"/>
  <c r="AA20" i="11" a="1"/>
  <c r="AA20" i="11" s="1"/>
  <c r="AJ20" i="11" s="1"/>
  <c r="AA21" i="11" a="1"/>
  <c r="AA21" i="11" s="1"/>
  <c r="AJ21" i="11" s="1"/>
  <c r="AA2" i="11" a="1"/>
  <c r="AA2" i="11" s="1"/>
  <c r="AJ2" i="11" s="1"/>
  <c r="G36" i="15"/>
  <c r="G4" i="15"/>
  <c r="G27" i="15"/>
  <c r="G46" i="15"/>
  <c r="G41" i="15"/>
  <c r="G13" i="15"/>
  <c r="G67" i="15"/>
  <c r="G64" i="15"/>
  <c r="G60" i="15"/>
  <c r="G58" i="15"/>
  <c r="G55" i="15"/>
  <c r="G82" i="15"/>
  <c r="G77" i="15"/>
  <c r="G72" i="15"/>
  <c r="G5" i="15"/>
  <c r="G62" i="15"/>
  <c r="G20" i="15"/>
  <c r="G12" i="15"/>
  <c r="G15" i="15"/>
  <c r="G16" i="15"/>
  <c r="G70" i="15"/>
  <c r="G68" i="15"/>
  <c r="G22" i="15"/>
  <c r="G56" i="15"/>
  <c r="G49" i="15"/>
  <c r="G43" i="15"/>
  <c r="G39" i="15"/>
  <c r="G18" i="15"/>
  <c r="G74" i="15"/>
  <c r="G71" i="15"/>
  <c r="G10" i="15"/>
  <c r="G3" i="15"/>
  <c r="G59" i="15"/>
  <c r="G50" i="15"/>
  <c r="G45" i="15"/>
  <c r="G40" i="15"/>
  <c r="G34" i="15"/>
  <c r="G29" i="15"/>
  <c r="G79" i="15"/>
  <c r="G73" i="15"/>
  <c r="G11" i="15"/>
  <c r="G66" i="15"/>
  <c r="G17" i="15"/>
  <c r="G54" i="15"/>
  <c r="G9" i="15"/>
  <c r="G38" i="15"/>
  <c r="G32" i="15"/>
  <c r="G81" i="15"/>
  <c r="G76" i="15"/>
  <c r="G7" i="15"/>
  <c r="G6" i="15"/>
  <c r="G14" i="15"/>
  <c r="G52" i="15"/>
  <c r="G47" i="15"/>
  <c r="G42" i="15"/>
  <c r="G35" i="15"/>
  <c r="G30" i="15"/>
  <c r="G44" i="15"/>
  <c r="G28" i="15"/>
  <c r="G26" i="15"/>
  <c r="G83" i="15"/>
  <c r="G78" i="15"/>
  <c r="G19" i="15"/>
  <c r="G21" i="15"/>
  <c r="G23" i="15"/>
  <c r="G63" i="15"/>
  <c r="G8" i="15"/>
  <c r="G57" i="15"/>
  <c r="G53" i="15"/>
  <c r="G48" i="15"/>
  <c r="G37" i="15"/>
  <c r="G31" i="15"/>
  <c r="G80" i="15"/>
  <c r="G75" i="15"/>
  <c r="G69" i="15"/>
  <c r="G65" i="15"/>
  <c r="G61" i="15"/>
  <c r="G51" i="15"/>
  <c r="G33" i="15"/>
  <c r="BT55" i="14"/>
  <c r="CC55" i="14" s="1"/>
  <c r="BO51" i="14"/>
  <c r="BX51" i="14" s="1"/>
  <c r="BO52" i="14"/>
  <c r="BX52" i="14" s="1"/>
  <c r="BS52" i="14"/>
  <c r="CB52" i="14" s="1"/>
  <c r="BU52" i="14"/>
  <c r="CD52" i="14" s="1"/>
  <c r="BO53" i="14"/>
  <c r="BX53" i="14" s="1"/>
  <c r="BS53" i="14"/>
  <c r="CB53" i="14" s="1"/>
  <c r="BU53" i="14"/>
  <c r="CD53" i="14" s="1"/>
  <c r="BO54" i="14"/>
  <c r="BX54" i="14" s="1"/>
  <c r="BS54" i="14"/>
  <c r="CB54" i="14" s="1"/>
  <c r="BU54" i="14"/>
  <c r="CD54" i="14" s="1"/>
  <c r="BO55" i="14"/>
  <c r="BX55" i="14" s="1"/>
  <c r="BS55" i="14"/>
  <c r="CB55" i="14" s="1"/>
  <c r="BU55" i="14"/>
  <c r="CD55" i="14" s="1"/>
  <c r="BO56" i="14"/>
  <c r="BX56" i="14" s="1"/>
  <c r="BS56" i="14"/>
  <c r="CB56" i="14" s="1"/>
  <c r="BU56" i="14"/>
  <c r="CD56" i="14" s="1"/>
  <c r="BO57" i="14"/>
  <c r="BX57" i="14" s="1"/>
  <c r="BS57" i="14"/>
  <c r="CB57" i="14" s="1"/>
  <c r="BU57" i="14"/>
  <c r="CD57" i="14" s="1"/>
  <c r="BO58" i="14"/>
  <c r="BX58" i="14" s="1"/>
  <c r="BS58" i="14"/>
  <c r="CB58" i="14" s="1"/>
  <c r="BU58" i="14"/>
  <c r="CD58" i="14" s="1"/>
  <c r="BO59" i="14"/>
  <c r="BX59" i="14" s="1"/>
  <c r="BS59" i="14"/>
  <c r="CB59" i="14" s="1"/>
  <c r="BU59" i="14"/>
  <c r="CD59" i="14" s="1"/>
  <c r="BO60" i="14"/>
  <c r="BX60" i="14" s="1"/>
  <c r="BS60" i="14"/>
  <c r="CB60" i="14" s="1"/>
  <c r="BU60" i="14"/>
  <c r="CD60" i="14" s="1"/>
  <c r="BO61" i="14"/>
  <c r="BX61" i="14" s="1"/>
  <c r="BS61" i="14"/>
  <c r="CB61" i="14" s="1"/>
  <c r="BU61" i="14"/>
  <c r="CD61" i="14" s="1"/>
  <c r="BO62" i="14"/>
  <c r="BX62" i="14" s="1"/>
  <c r="BS62" i="14"/>
  <c r="CB62" i="14" s="1"/>
  <c r="BU62" i="14"/>
  <c r="CD62" i="14" s="1"/>
  <c r="BO63" i="14"/>
  <c r="BX63" i="14" s="1"/>
  <c r="BS63" i="14"/>
  <c r="CB63" i="14" s="1"/>
  <c r="BU63" i="14"/>
  <c r="CD63" i="14" s="1"/>
  <c r="BO64" i="14"/>
  <c r="BX64" i="14" s="1"/>
  <c r="BS64" i="14"/>
  <c r="CB64" i="14" s="1"/>
  <c r="BU64" i="14"/>
  <c r="CD64" i="14" s="1"/>
  <c r="BV1" i="14"/>
  <c r="CE1" i="14" s="1"/>
  <c r="BT1" i="14"/>
  <c r="CC1" i="14" s="1"/>
  <c r="BT60" i="14"/>
  <c r="CC60" i="14" s="1"/>
  <c r="BT61" i="14"/>
  <c r="CC61" i="14" s="1"/>
  <c r="BT62" i="14"/>
  <c r="CC62" i="14" s="1"/>
  <c r="BT63" i="14"/>
  <c r="CC63" i="14" s="1"/>
  <c r="BT59" i="14"/>
  <c r="CC59" i="14" s="1"/>
  <c r="BT64" i="14"/>
  <c r="CC64" i="14" s="1"/>
  <c r="BT56" i="14"/>
  <c r="CC56" i="14" s="1"/>
  <c r="BT57" i="14"/>
  <c r="CC57" i="14" s="1"/>
  <c r="BT58" i="14"/>
  <c r="CC58" i="14" s="1"/>
  <c r="BV58" i="14"/>
  <c r="CE58" i="14" s="1"/>
  <c r="BV59" i="14"/>
  <c r="CE59" i="14" s="1"/>
  <c r="BV60" i="14"/>
  <c r="CE60" i="14" s="1"/>
  <c r="BV61" i="14"/>
  <c r="CE61" i="14" s="1"/>
  <c r="BV62" i="14"/>
  <c r="CE62" i="14" s="1"/>
  <c r="BV63" i="14"/>
  <c r="CE63" i="14" s="1"/>
  <c r="BV64" i="14"/>
  <c r="CE64" i="14" s="1"/>
  <c r="BU1" i="14"/>
  <c r="CD1" i="14" s="1"/>
  <c r="BT52" i="14"/>
  <c r="CC52" i="14" s="1"/>
  <c r="BV52" i="14"/>
  <c r="CE52" i="14" s="1"/>
  <c r="BT53" i="14"/>
  <c r="CC53" i="14" s="1"/>
  <c r="BV53" i="14"/>
  <c r="CE53" i="14" s="1"/>
  <c r="BV7" i="14"/>
  <c r="CE7" i="14" s="1"/>
  <c r="BV4" i="14"/>
  <c r="CE4" i="14" s="1"/>
  <c r="BV3" i="14"/>
  <c r="CE3" i="14" s="1"/>
  <c r="BT2" i="14"/>
  <c r="CC2" i="14" s="1"/>
  <c r="BV6" i="14"/>
  <c r="CE6" i="14" s="1"/>
  <c r="BV5" i="14"/>
  <c r="CE5" i="14" s="1"/>
  <c r="BT5" i="14"/>
  <c r="CC5" i="14" s="1"/>
  <c r="BT4" i="14"/>
  <c r="CC4" i="14" s="1"/>
  <c r="BV2" i="14"/>
  <c r="CE2" i="14" s="1"/>
  <c r="BU7" i="14"/>
  <c r="CD7" i="14" s="1"/>
  <c r="BU6" i="14"/>
  <c r="CD6" i="14" s="1"/>
  <c r="BU5" i="14"/>
  <c r="CD5" i="14" s="1"/>
  <c r="BU4" i="14"/>
  <c r="CD4" i="14" s="1"/>
  <c r="BU3" i="14"/>
  <c r="CD3" i="14" s="1"/>
  <c r="BU2" i="14"/>
  <c r="CD2" i="14" s="1"/>
  <c r="BR2" i="14"/>
  <c r="CA2" i="14" s="1"/>
  <c r="BS2" i="14"/>
  <c r="CB2" i="14" s="1"/>
  <c r="BV15" i="14"/>
  <c r="CE15" i="14" s="1"/>
  <c r="BV12" i="14"/>
  <c r="CE12" i="14" s="1"/>
  <c r="BV11" i="14"/>
  <c r="CE11" i="14" s="1"/>
  <c r="BV8" i="14"/>
  <c r="CE8" i="14" s="1"/>
  <c r="BV45" i="14"/>
  <c r="CE45" i="14" s="1"/>
  <c r="BV42" i="14"/>
  <c r="CE42" i="14" s="1"/>
  <c r="BV41" i="14"/>
  <c r="CE41" i="14" s="1"/>
  <c r="BV40" i="14"/>
  <c r="CE40" i="14" s="1"/>
  <c r="BV39" i="14"/>
  <c r="CE39" i="14" s="1"/>
  <c r="BV38" i="14"/>
  <c r="CE38" i="14" s="1"/>
  <c r="BV37" i="14"/>
  <c r="CE37" i="14" s="1"/>
  <c r="BV36" i="14"/>
  <c r="CE36" i="14" s="1"/>
  <c r="BV35" i="14"/>
  <c r="CE35" i="14" s="1"/>
  <c r="BV34" i="14"/>
  <c r="CE34" i="14" s="1"/>
  <c r="BV10" i="14"/>
  <c r="CE10" i="14" s="1"/>
  <c r="BV9" i="14"/>
  <c r="CE9" i="14" s="1"/>
  <c r="BV44" i="14"/>
  <c r="CE44" i="14" s="1"/>
  <c r="BT54" i="14"/>
  <c r="CC54" i="14" s="1"/>
  <c r="BV54" i="14"/>
  <c r="CE54" i="14" s="1"/>
  <c r="BV55" i="14"/>
  <c r="CE55" i="14" s="1"/>
  <c r="BV56" i="14"/>
  <c r="CE56" i="14" s="1"/>
  <c r="BV57" i="14"/>
  <c r="CE57" i="14" s="1"/>
  <c r="BV43" i="14"/>
  <c r="CE43" i="14" s="1"/>
  <c r="BU11" i="14"/>
  <c r="CD11" i="14" s="1"/>
  <c r="BU10" i="14"/>
  <c r="CD10" i="14" s="1"/>
  <c r="BU9" i="14"/>
  <c r="CD9" i="14" s="1"/>
  <c r="BU8" i="14"/>
  <c r="CD8" i="14" s="1"/>
  <c r="BV50" i="14"/>
  <c r="CE50" i="14" s="1"/>
  <c r="BV51" i="14"/>
  <c r="CE51" i="14" s="1"/>
  <c r="BU45" i="14"/>
  <c r="CD45" i="14" s="1"/>
  <c r="BU44" i="14"/>
  <c r="CD44" i="14" s="1"/>
  <c r="BU35" i="14"/>
  <c r="CD35" i="14" s="1"/>
  <c r="BU34" i="14"/>
  <c r="CD34" i="14" s="1"/>
  <c r="BU23" i="14"/>
  <c r="CD23" i="14" s="1"/>
  <c r="BU22" i="14"/>
  <c r="CD22" i="14" s="1"/>
  <c r="BV29" i="14"/>
  <c r="CE29" i="14" s="1"/>
  <c r="BV28" i="14"/>
  <c r="CE28" i="14" s="1"/>
  <c r="BV25" i="14"/>
  <c r="CE25" i="14" s="1"/>
  <c r="BV24" i="14"/>
  <c r="CE24" i="14" s="1"/>
  <c r="BV21" i="14"/>
  <c r="CE21" i="14" s="1"/>
  <c r="BV20" i="14"/>
  <c r="CE20" i="14" s="1"/>
  <c r="BV19" i="14"/>
  <c r="CE19" i="14" s="1"/>
  <c r="BV18" i="14"/>
  <c r="CE18" i="14" s="1"/>
  <c r="BV17" i="14"/>
  <c r="CE17" i="14" s="1"/>
  <c r="BV16" i="14"/>
  <c r="CE16" i="14" s="1"/>
  <c r="BV14" i="14"/>
  <c r="CE14" i="14" s="1"/>
  <c r="BV13" i="14"/>
  <c r="CE13" i="14" s="1"/>
  <c r="BV46" i="14"/>
  <c r="CE46" i="14" s="1"/>
  <c r="BV47" i="14"/>
  <c r="CE47" i="14" s="1"/>
  <c r="BV48" i="14"/>
  <c r="CE48" i="14" s="1"/>
  <c r="BV49" i="14"/>
  <c r="CE49" i="14" s="1"/>
  <c r="BU42" i="14"/>
  <c r="CD42" i="14" s="1"/>
  <c r="BV23" i="14"/>
  <c r="CE23" i="14" s="1"/>
  <c r="BV22" i="14"/>
  <c r="CE22" i="14" s="1"/>
  <c r="BR52" i="14"/>
  <c r="CA52" i="14" s="1"/>
  <c r="BR53" i="14"/>
  <c r="CA53" i="14" s="1"/>
  <c r="BR54" i="14"/>
  <c r="CA54" i="14" s="1"/>
  <c r="BP55" i="14"/>
  <c r="BY55" i="14" s="1"/>
  <c r="BR55" i="14"/>
  <c r="CA55" i="14" s="1"/>
  <c r="BP56" i="14"/>
  <c r="BY56" i="14" s="1"/>
  <c r="BR56" i="14"/>
  <c r="CA56" i="14" s="1"/>
  <c r="BP57" i="14"/>
  <c r="BY57" i="14" s="1"/>
  <c r="BR57" i="14"/>
  <c r="CA57" i="14" s="1"/>
  <c r="BP58" i="14"/>
  <c r="BY58" i="14" s="1"/>
  <c r="BR58" i="14"/>
  <c r="CA58" i="14" s="1"/>
  <c r="BP59" i="14"/>
  <c r="BY59" i="14" s="1"/>
  <c r="BR59" i="14"/>
  <c r="CA59" i="14" s="1"/>
  <c r="BP60" i="14"/>
  <c r="BY60" i="14" s="1"/>
  <c r="BR60" i="14"/>
  <c r="CA60" i="14" s="1"/>
  <c r="BP61" i="14"/>
  <c r="BY61" i="14" s="1"/>
  <c r="BR61" i="14"/>
  <c r="CA61" i="14" s="1"/>
  <c r="BP62" i="14"/>
  <c r="BY62" i="14" s="1"/>
  <c r="BR62" i="14"/>
  <c r="CA62" i="14" s="1"/>
  <c r="BP63" i="14"/>
  <c r="BY63" i="14" s="1"/>
  <c r="BR63" i="14"/>
  <c r="CA63" i="14" s="1"/>
  <c r="BP64" i="14"/>
  <c r="BY64" i="14" s="1"/>
  <c r="BR64" i="14"/>
  <c r="CA64" i="14" s="1"/>
  <c r="BU43" i="14"/>
  <c r="CD43" i="14" s="1"/>
  <c r="BU40" i="14"/>
  <c r="CD40" i="14" s="1"/>
  <c r="BU41" i="14"/>
  <c r="CD41" i="14" s="1"/>
  <c r="BU38" i="14"/>
  <c r="CD38" i="14" s="1"/>
  <c r="BU39" i="14"/>
  <c r="CD39" i="14" s="1"/>
  <c r="BU32" i="14"/>
  <c r="CD32" i="14" s="1"/>
  <c r="BU33" i="14"/>
  <c r="CD33" i="14" s="1"/>
  <c r="BU30" i="14"/>
  <c r="CD30" i="14" s="1"/>
  <c r="BU31" i="14"/>
  <c r="CD31" i="14" s="1"/>
  <c r="BU36" i="14"/>
  <c r="CD36" i="14" s="1"/>
  <c r="BU37" i="14"/>
  <c r="CD37" i="14" s="1"/>
  <c r="BV26" i="14"/>
  <c r="CE26" i="14" s="1"/>
  <c r="BV27" i="14"/>
  <c r="CE27" i="14" s="1"/>
  <c r="BV30" i="14"/>
  <c r="CE30" i="14" s="1"/>
  <c r="BV31" i="14"/>
  <c r="CE31" i="14" s="1"/>
  <c r="BU27" i="14"/>
  <c r="CD27" i="14" s="1"/>
  <c r="BU26" i="14"/>
  <c r="CD26" i="14" s="1"/>
  <c r="BU25" i="14"/>
  <c r="CD25" i="14" s="1"/>
  <c r="BU24" i="14"/>
  <c r="CD24" i="14" s="1"/>
  <c r="BV33" i="14"/>
  <c r="CE33" i="14" s="1"/>
  <c r="BV32" i="14"/>
  <c r="CE32" i="14" s="1"/>
  <c r="BU29" i="14"/>
  <c r="CD29" i="14" s="1"/>
  <c r="BU28" i="14"/>
  <c r="CD28" i="14" s="1"/>
  <c r="BU21" i="14"/>
  <c r="CD21" i="14" s="1"/>
  <c r="BU20" i="14"/>
  <c r="CD20" i="14" s="1"/>
  <c r="BU18" i="14"/>
  <c r="CD18" i="14" s="1"/>
  <c r="BU19" i="14"/>
  <c r="CD19" i="14" s="1"/>
  <c r="BQ52" i="14"/>
  <c r="BZ52" i="14" s="1"/>
  <c r="BQ53" i="14"/>
  <c r="BZ53" i="14" s="1"/>
  <c r="BQ54" i="14"/>
  <c r="BZ54" i="14" s="1"/>
  <c r="BQ55" i="14"/>
  <c r="BZ55" i="14" s="1"/>
  <c r="BQ56" i="14"/>
  <c r="BZ56" i="14" s="1"/>
  <c r="BQ57" i="14"/>
  <c r="BZ57" i="14" s="1"/>
  <c r="BQ58" i="14"/>
  <c r="BZ58" i="14" s="1"/>
  <c r="BQ59" i="14"/>
  <c r="BZ59" i="14" s="1"/>
  <c r="BQ60" i="14"/>
  <c r="BZ60" i="14" s="1"/>
  <c r="BQ61" i="14"/>
  <c r="BZ61" i="14" s="1"/>
  <c r="BQ62" i="14"/>
  <c r="BZ62" i="14" s="1"/>
  <c r="BQ63" i="14"/>
  <c r="BZ63" i="14" s="1"/>
  <c r="BQ64" i="14"/>
  <c r="BZ64" i="14" s="1"/>
  <c r="BQ2" i="14"/>
  <c r="BZ2" i="14" s="1"/>
  <c r="BO2" i="14"/>
  <c r="BX2" i="14" s="1"/>
  <c r="BQ1" i="14"/>
  <c r="BZ1" i="14" s="1"/>
  <c r="BO46" i="14"/>
  <c r="BX46" i="14" s="1"/>
  <c r="BO47" i="14"/>
  <c r="BX47" i="14" s="1"/>
  <c r="BO48" i="14"/>
  <c r="BX48" i="14" s="1"/>
  <c r="BO49" i="14"/>
  <c r="BX49" i="14" s="1"/>
  <c r="BO50" i="14"/>
  <c r="BX50" i="14" s="1"/>
  <c r="BS1" i="14"/>
  <c r="CB1" i="14" s="1"/>
  <c r="BP43" i="14"/>
  <c r="BY43" i="14" s="1"/>
  <c r="BP41" i="14"/>
  <c r="BY41" i="14" s="1"/>
  <c r="BR38" i="14"/>
  <c r="CA38" i="14" s="1"/>
  <c r="BR37" i="14"/>
  <c r="CA37" i="14" s="1"/>
  <c r="BP37" i="14"/>
  <c r="BY37" i="14" s="1"/>
  <c r="BP36" i="14"/>
  <c r="BY36" i="14" s="1"/>
  <c r="BR35" i="14"/>
  <c r="CA35" i="14" s="1"/>
  <c r="BP35" i="14"/>
  <c r="BY35" i="14" s="1"/>
  <c r="BR34" i="14"/>
  <c r="CA34" i="14" s="1"/>
  <c r="BP34" i="14"/>
  <c r="BY34" i="14" s="1"/>
  <c r="BR33" i="14"/>
  <c r="CA33" i="14" s="1"/>
  <c r="BP33" i="14"/>
  <c r="BY33" i="14" s="1"/>
  <c r="BP32" i="14"/>
  <c r="BY32" i="14" s="1"/>
  <c r="BP31" i="14"/>
  <c r="BY31" i="14" s="1"/>
  <c r="BP45" i="14"/>
  <c r="BY45" i="14" s="1"/>
  <c r="BP44" i="14"/>
  <c r="BY44" i="14" s="1"/>
  <c r="BP42" i="14"/>
  <c r="BY42" i="14" s="1"/>
  <c r="BP40" i="14"/>
  <c r="BY40" i="14" s="1"/>
  <c r="BP39" i="14"/>
  <c r="BY39" i="14" s="1"/>
  <c r="BP38" i="14"/>
  <c r="BY38" i="14" s="1"/>
  <c r="BR1" i="14"/>
  <c r="CA1" i="14" s="1"/>
  <c r="BS44" i="14"/>
  <c r="CB44" i="14" s="1"/>
  <c r="BQ43" i="14"/>
  <c r="BZ43" i="14" s="1"/>
  <c r="BO42" i="14"/>
  <c r="BX42" i="14" s="1"/>
  <c r="BO41" i="14"/>
  <c r="BX41" i="14" s="1"/>
  <c r="BQ39" i="14"/>
  <c r="BZ39" i="14" s="1"/>
  <c r="BQ38" i="14"/>
  <c r="BZ38" i="14" s="1"/>
  <c r="BQ37" i="14"/>
  <c r="BZ37" i="14" s="1"/>
  <c r="BO37" i="14"/>
  <c r="BX37" i="14" s="1"/>
  <c r="BO36" i="14"/>
  <c r="BX36" i="14" s="1"/>
  <c r="BS35" i="14"/>
  <c r="CB35" i="14" s="1"/>
  <c r="BQ35" i="14"/>
  <c r="BZ35" i="14" s="1"/>
  <c r="BO35" i="14"/>
  <c r="BX35" i="14" s="1"/>
  <c r="BO34" i="14"/>
  <c r="BX34" i="14" s="1"/>
  <c r="BO33" i="14"/>
  <c r="BX33" i="14" s="1"/>
  <c r="BO32" i="14"/>
  <c r="BX32" i="14" s="1"/>
  <c r="BO31" i="14"/>
  <c r="BX31" i="14" s="1"/>
  <c r="BO30" i="14"/>
  <c r="BX30" i="14" s="1"/>
  <c r="BO29" i="14"/>
  <c r="BX29" i="14" s="1"/>
  <c r="BO28" i="14"/>
  <c r="BX28" i="14" s="1"/>
  <c r="BO27" i="14"/>
  <c r="BX27" i="14" s="1"/>
  <c r="BO26" i="14"/>
  <c r="BX26" i="14" s="1"/>
  <c r="BO25" i="14"/>
  <c r="BX25" i="14" s="1"/>
  <c r="BO24" i="14"/>
  <c r="BX24" i="14" s="1"/>
  <c r="BO23" i="14"/>
  <c r="BX23" i="14" s="1"/>
  <c r="BO22" i="14"/>
  <c r="BX22" i="14" s="1"/>
  <c r="BO21" i="14"/>
  <c r="BX21" i="14" s="1"/>
  <c r="BO20" i="14"/>
  <c r="BX20" i="14" s="1"/>
  <c r="BO19" i="14"/>
  <c r="BX19" i="14" s="1"/>
  <c r="BO18" i="14"/>
  <c r="BX18" i="14" s="1"/>
  <c r="BO17" i="14"/>
  <c r="BX17" i="14" s="1"/>
  <c r="BO16" i="14"/>
  <c r="BX16" i="14" s="1"/>
  <c r="BO15" i="14"/>
  <c r="BX15" i="14" s="1"/>
  <c r="BO14" i="14"/>
  <c r="BX14" i="14" s="1"/>
  <c r="BO13" i="14"/>
  <c r="BX13" i="14" s="1"/>
  <c r="BO12" i="14"/>
  <c r="BX12" i="14" s="1"/>
  <c r="BO11" i="14"/>
  <c r="BX11" i="14" s="1"/>
  <c r="BO10" i="14"/>
  <c r="BX10" i="14" s="1"/>
  <c r="BO9" i="14"/>
  <c r="BX9" i="14" s="1"/>
  <c r="BO8" i="14"/>
  <c r="BX8" i="14" s="1"/>
  <c r="BO7" i="14"/>
  <c r="BX7" i="14" s="1"/>
  <c r="BO6" i="14"/>
  <c r="BX6" i="14" s="1"/>
  <c r="BO5" i="14"/>
  <c r="BX5" i="14" s="1"/>
  <c r="BO4" i="14"/>
  <c r="BX4" i="14" s="1"/>
  <c r="BO3" i="14"/>
  <c r="BX3" i="14" s="1"/>
  <c r="BO45" i="14"/>
  <c r="BX45" i="14" s="1"/>
  <c r="BS43" i="14"/>
  <c r="CB43" i="14" s="1"/>
  <c r="BQ42" i="14"/>
  <c r="BZ42" i="14" s="1"/>
  <c r="BQ41" i="14"/>
  <c r="BZ41" i="14" s="1"/>
  <c r="BO39" i="14"/>
  <c r="BX39" i="14" s="1"/>
  <c r="BQ36" i="14"/>
  <c r="BZ36" i="14" s="1"/>
  <c r="BQ45" i="14"/>
  <c r="BZ45" i="14" s="1"/>
  <c r="BO44" i="14"/>
  <c r="BX44" i="14" s="1"/>
  <c r="BO43" i="14"/>
  <c r="BX43" i="14" s="1"/>
  <c r="BS41" i="14"/>
  <c r="CB41" i="14" s="1"/>
  <c r="BO40" i="14"/>
  <c r="BX40" i="14" s="1"/>
  <c r="BO38" i="14"/>
  <c r="BX38" i="14" s="1"/>
  <c r="BS45" i="14"/>
  <c r="CB45" i="14" s="1"/>
  <c r="BQ44" i="14"/>
  <c r="BZ44" i="14" s="1"/>
  <c r="BS42" i="14"/>
  <c r="CB42" i="14" s="1"/>
  <c r="BQ40" i="14"/>
  <c r="BZ40" i="14" s="1"/>
  <c r="BP30" i="14"/>
  <c r="BY30" i="14" s="1"/>
  <c r="BP29" i="14"/>
  <c r="BY29" i="14" s="1"/>
  <c r="BP28" i="14"/>
  <c r="BY28" i="14" s="1"/>
  <c r="BP27" i="14"/>
  <c r="BY27" i="14" s="1"/>
  <c r="BP26" i="14"/>
  <c r="BY26" i="14" s="1"/>
  <c r="BP25" i="14"/>
  <c r="BY25" i="14" s="1"/>
  <c r="BP24" i="14"/>
  <c r="BY24" i="14" s="1"/>
  <c r="BR4" i="14"/>
  <c r="CA4" i="14" s="1"/>
  <c r="BR3" i="14"/>
  <c r="CA3" i="14" s="1"/>
  <c r="BT46" i="14"/>
  <c r="CC46" i="14" s="1"/>
  <c r="BR51" i="14"/>
  <c r="CA51" i="14" s="1"/>
  <c r="BT51" i="14"/>
  <c r="CC51" i="14" s="1"/>
  <c r="BP52" i="14"/>
  <c r="BY52" i="14" s="1"/>
  <c r="BP53" i="14"/>
  <c r="BY53" i="14" s="1"/>
  <c r="BP54" i="14"/>
  <c r="BY54" i="14" s="1"/>
  <c r="BQ46" i="14"/>
  <c r="BZ46" i="14" s="1"/>
  <c r="BS46" i="14"/>
  <c r="CB46" i="14" s="1"/>
  <c r="BU46" i="14"/>
  <c r="CD46" i="14" s="1"/>
  <c r="BQ47" i="14"/>
  <c r="BZ47" i="14" s="1"/>
  <c r="BS47" i="14"/>
  <c r="CB47" i="14" s="1"/>
  <c r="BU47" i="14"/>
  <c r="CD47" i="14" s="1"/>
  <c r="BS48" i="14"/>
  <c r="CB48" i="14" s="1"/>
  <c r="BU48" i="14"/>
  <c r="CD48" i="14" s="1"/>
  <c r="BS49" i="14"/>
  <c r="CB49" i="14" s="1"/>
  <c r="BU49" i="14"/>
  <c r="CD49" i="14" s="1"/>
  <c r="BS50" i="14"/>
  <c r="CB50" i="14" s="1"/>
  <c r="BU50" i="14"/>
  <c r="CD50" i="14" s="1"/>
  <c r="BQ51" i="14"/>
  <c r="BZ51" i="14" s="1"/>
  <c r="BS51" i="14"/>
  <c r="CB51" i="14" s="1"/>
  <c r="BU51" i="14"/>
  <c r="CD51" i="14" s="1"/>
  <c r="BP23" i="14"/>
  <c r="BY23" i="14" s="1"/>
  <c r="BP22" i="14"/>
  <c r="BY22" i="14" s="1"/>
  <c r="BP21" i="14"/>
  <c r="BY21" i="14" s="1"/>
  <c r="BP20" i="14"/>
  <c r="BY20" i="14" s="1"/>
  <c r="BP19" i="14"/>
  <c r="BY19" i="14" s="1"/>
  <c r="BT13" i="14"/>
  <c r="CC13" i="14" s="1"/>
  <c r="BT12" i="14"/>
  <c r="CC12" i="14" s="1"/>
  <c r="BP46" i="14"/>
  <c r="BY46" i="14" s="1"/>
  <c r="BR46" i="14"/>
  <c r="CA46" i="14" s="1"/>
  <c r="BP47" i="14"/>
  <c r="BY47" i="14" s="1"/>
  <c r="BR47" i="14"/>
  <c r="CA47" i="14" s="1"/>
  <c r="BP48" i="14"/>
  <c r="BY48" i="14" s="1"/>
  <c r="BR48" i="14"/>
  <c r="CA48" i="14" s="1"/>
  <c r="BP49" i="14"/>
  <c r="BY49" i="14" s="1"/>
  <c r="BR49" i="14"/>
  <c r="CA49" i="14" s="1"/>
  <c r="BP50" i="14"/>
  <c r="BY50" i="14" s="1"/>
  <c r="BR50" i="14"/>
  <c r="CA50" i="14" s="1"/>
  <c r="BP51" i="14"/>
  <c r="BY51" i="14" s="1"/>
  <c r="BT47" i="14"/>
  <c r="CC47" i="14" s="1"/>
  <c r="BT48" i="14"/>
  <c r="CC48" i="14" s="1"/>
  <c r="BT49" i="14"/>
  <c r="CC49" i="14" s="1"/>
  <c r="BT50" i="14"/>
  <c r="CC50" i="14" s="1"/>
  <c r="BT16" i="14"/>
  <c r="CC16" i="14" s="1"/>
  <c r="BT15" i="14"/>
  <c r="CC15" i="14" s="1"/>
  <c r="BQ48" i="14"/>
  <c r="BZ48" i="14" s="1"/>
  <c r="BQ49" i="14"/>
  <c r="BZ49" i="14" s="1"/>
  <c r="BQ50" i="14"/>
  <c r="BZ50" i="14" s="1"/>
  <c r="BR45" i="14"/>
  <c r="CA45" i="14" s="1"/>
  <c r="BR43" i="14"/>
  <c r="CA43" i="14" s="1"/>
  <c r="BR42" i="14"/>
  <c r="CA42" i="14" s="1"/>
  <c r="BR44" i="14"/>
  <c r="CA44" i="14" s="1"/>
  <c r="BT45" i="14"/>
  <c r="CC45" i="14" s="1"/>
  <c r="BT42" i="14"/>
  <c r="CC42" i="14" s="1"/>
  <c r="BT44" i="14"/>
  <c r="CC44" i="14" s="1"/>
  <c r="BT43" i="14"/>
  <c r="CC43" i="14" s="1"/>
  <c r="BT41" i="14"/>
  <c r="CC41" i="14" s="1"/>
  <c r="BT40" i="14"/>
  <c r="CC40" i="14" s="1"/>
  <c r="BT39" i="14"/>
  <c r="CC39" i="14" s="1"/>
  <c r="BR41" i="14"/>
  <c r="CA41" i="14" s="1"/>
  <c r="BR40" i="14"/>
  <c r="CA40" i="14" s="1"/>
  <c r="BR39" i="14"/>
  <c r="CA39" i="14" s="1"/>
  <c r="BS40" i="14"/>
  <c r="CB40" i="14" s="1"/>
  <c r="BS39" i="14"/>
  <c r="CB39" i="14" s="1"/>
  <c r="BT35" i="14"/>
  <c r="CC35" i="14" s="1"/>
  <c r="BS36" i="14"/>
  <c r="CB36" i="14" s="1"/>
  <c r="BS38" i="14"/>
  <c r="CB38" i="14" s="1"/>
  <c r="BS37" i="14"/>
  <c r="CB37" i="14" s="1"/>
  <c r="BT38" i="14"/>
  <c r="CC38" i="14" s="1"/>
  <c r="BT37" i="14"/>
  <c r="CC37" i="14" s="1"/>
  <c r="BT36" i="14"/>
  <c r="CC36" i="14" s="1"/>
  <c r="BR36" i="14"/>
  <c r="CA36" i="14" s="1"/>
  <c r="BR24" i="14"/>
  <c r="CA24" i="14" s="1"/>
  <c r="BU17" i="14"/>
  <c r="CD17" i="14" s="1"/>
  <c r="BU15" i="14"/>
  <c r="CD15" i="14" s="1"/>
  <c r="BU16" i="14"/>
  <c r="CD16" i="14" s="1"/>
  <c r="BU12" i="14"/>
  <c r="CD12" i="14" s="1"/>
  <c r="BU13" i="14"/>
  <c r="CD13" i="14" s="1"/>
  <c r="BU14" i="14"/>
  <c r="CD14" i="14" s="1"/>
  <c r="BT9" i="14"/>
  <c r="CC9" i="14" s="1"/>
  <c r="BT8" i="14"/>
  <c r="CC8" i="14" s="1"/>
  <c r="BT6" i="14"/>
  <c r="CC6" i="14" s="1"/>
  <c r="BS34" i="14"/>
  <c r="CB34" i="14" s="1"/>
  <c r="BS32" i="14"/>
  <c r="CB32" i="14" s="1"/>
  <c r="BQ32" i="14"/>
  <c r="BZ32" i="14" s="1"/>
  <c r="BS31" i="14"/>
  <c r="CB31" i="14" s="1"/>
  <c r="BQ29" i="14"/>
  <c r="BZ29" i="14" s="1"/>
  <c r="BQ28" i="14"/>
  <c r="BZ28" i="14" s="1"/>
  <c r="BQ26" i="14"/>
  <c r="BZ26" i="14" s="1"/>
  <c r="BQ25" i="14"/>
  <c r="BZ25" i="14" s="1"/>
  <c r="BS24" i="14"/>
  <c r="CB24" i="14" s="1"/>
  <c r="BQ24" i="14"/>
  <c r="BZ24" i="14" s="1"/>
  <c r="BQ23" i="14"/>
  <c r="BZ23" i="14" s="1"/>
  <c r="BQ22" i="14"/>
  <c r="BZ22" i="14" s="1"/>
  <c r="BS21" i="14"/>
  <c r="CB21" i="14" s="1"/>
  <c r="BQ21" i="14"/>
  <c r="BZ21" i="14" s="1"/>
  <c r="BS20" i="14"/>
  <c r="CB20" i="14" s="1"/>
  <c r="BS19" i="14"/>
  <c r="CB19" i="14" s="1"/>
  <c r="BS18" i="14"/>
  <c r="CB18" i="14" s="1"/>
  <c r="BS17" i="14"/>
  <c r="CB17" i="14" s="1"/>
  <c r="BQ16" i="14"/>
  <c r="BZ16" i="14" s="1"/>
  <c r="BQ15" i="14"/>
  <c r="BZ15" i="14" s="1"/>
  <c r="BQ14" i="14"/>
  <c r="BZ14" i="14" s="1"/>
  <c r="BQ13" i="14"/>
  <c r="BZ13" i="14" s="1"/>
  <c r="BQ12" i="14"/>
  <c r="BZ12" i="14" s="1"/>
  <c r="BQ11" i="14"/>
  <c r="BZ11" i="14" s="1"/>
  <c r="BQ10" i="14"/>
  <c r="BZ10" i="14" s="1"/>
  <c r="BQ9" i="14"/>
  <c r="BZ9" i="14" s="1"/>
  <c r="BQ7" i="14"/>
  <c r="BZ7" i="14" s="1"/>
  <c r="BQ6" i="14"/>
  <c r="BZ6" i="14" s="1"/>
  <c r="BQ5" i="14"/>
  <c r="BZ5" i="14" s="1"/>
  <c r="BQ4" i="14"/>
  <c r="BZ4" i="14" s="1"/>
  <c r="BQ3" i="14"/>
  <c r="BZ3" i="14" s="1"/>
  <c r="BS23" i="14"/>
  <c r="CB23" i="14" s="1"/>
  <c r="BQ34" i="14"/>
  <c r="BZ34" i="14" s="1"/>
  <c r="BS33" i="14"/>
  <c r="CB33" i="14" s="1"/>
  <c r="BQ33" i="14"/>
  <c r="BZ33" i="14" s="1"/>
  <c r="BQ30" i="14"/>
  <c r="BZ30" i="14" s="1"/>
  <c r="BQ27" i="14"/>
  <c r="BZ27" i="14" s="1"/>
  <c r="BS22" i="14"/>
  <c r="CB22" i="14" s="1"/>
  <c r="BT34" i="14"/>
  <c r="CC34" i="14" s="1"/>
  <c r="BT33" i="14"/>
  <c r="CC33" i="14" s="1"/>
  <c r="BT31" i="14"/>
  <c r="CC31" i="14" s="1"/>
  <c r="BT24" i="14"/>
  <c r="CC24" i="14" s="1"/>
  <c r="BT23" i="14"/>
  <c r="CC23" i="14" s="1"/>
  <c r="BT22" i="14"/>
  <c r="CC22" i="14" s="1"/>
  <c r="BT21" i="14"/>
  <c r="CC21" i="14" s="1"/>
  <c r="BT19" i="14"/>
  <c r="CC19" i="14" s="1"/>
  <c r="BT18" i="14"/>
  <c r="CC18" i="14" s="1"/>
  <c r="BT14" i="14"/>
  <c r="CC14" i="14" s="1"/>
  <c r="BT10" i="14"/>
  <c r="CC10" i="14" s="1"/>
  <c r="BT7" i="14"/>
  <c r="CC7" i="14" s="1"/>
  <c r="BT3" i="14"/>
  <c r="CC3" i="14" s="1"/>
  <c r="BT32" i="14"/>
  <c r="CC32" i="14" s="1"/>
  <c r="BQ31" i="14"/>
  <c r="BZ31" i="14" s="1"/>
  <c r="BS30" i="14"/>
  <c r="CB30" i="14" s="1"/>
  <c r="BS29" i="14"/>
  <c r="CB29" i="14" s="1"/>
  <c r="BS28" i="14"/>
  <c r="CB28" i="14" s="1"/>
  <c r="BS27" i="14"/>
  <c r="CB27" i="14" s="1"/>
  <c r="BS26" i="14"/>
  <c r="CB26" i="14" s="1"/>
  <c r="BS25" i="14"/>
  <c r="CB25" i="14" s="1"/>
  <c r="BT30" i="14"/>
  <c r="CC30" i="14" s="1"/>
  <c r="BT29" i="14"/>
  <c r="CC29" i="14" s="1"/>
  <c r="BT28" i="14"/>
  <c r="CC28" i="14" s="1"/>
  <c r="BT27" i="14"/>
  <c r="CC27" i="14" s="1"/>
  <c r="BT26" i="14"/>
  <c r="CC26" i="14" s="1"/>
  <c r="BT25" i="14"/>
  <c r="CC25" i="14" s="1"/>
  <c r="BR32" i="14"/>
  <c r="CA32" i="14" s="1"/>
  <c r="BR31" i="14"/>
  <c r="CA31" i="14" s="1"/>
  <c r="BR29" i="14"/>
  <c r="CA29" i="14" s="1"/>
  <c r="BR30" i="14"/>
  <c r="CA30" i="14" s="1"/>
  <c r="BR28" i="14"/>
  <c r="CA28" i="14" s="1"/>
  <c r="BR27" i="14"/>
  <c r="CA27" i="14" s="1"/>
  <c r="BR26" i="14"/>
  <c r="CA26" i="14" s="1"/>
  <c r="BR25" i="14"/>
  <c r="CA25" i="14" s="1"/>
  <c r="BR23" i="14"/>
  <c r="CA23" i="14" s="1"/>
  <c r="BR22" i="14"/>
  <c r="CA22" i="14" s="1"/>
  <c r="BR19" i="14"/>
  <c r="CA19" i="14" s="1"/>
  <c r="BR21" i="14"/>
  <c r="CA21" i="14" s="1"/>
  <c r="BR20" i="14"/>
  <c r="CA20" i="14" s="1"/>
  <c r="BQ19" i="14"/>
  <c r="BZ19" i="14" s="1"/>
  <c r="BQ20" i="14"/>
  <c r="BZ20" i="14" s="1"/>
  <c r="BQ17" i="14"/>
  <c r="BZ17" i="14" s="1"/>
  <c r="BQ18" i="14"/>
  <c r="BZ18" i="14" s="1"/>
  <c r="BT20" i="14"/>
  <c r="CC20" i="14" s="1"/>
  <c r="BT17" i="14"/>
  <c r="CC17" i="14" s="1"/>
  <c r="BS16" i="14"/>
  <c r="CB16" i="14" s="1"/>
  <c r="BS15" i="14"/>
  <c r="CB15" i="14" s="1"/>
  <c r="BR15" i="14"/>
  <c r="CA15" i="14" s="1"/>
  <c r="BR16" i="14"/>
  <c r="CA16" i="14" s="1"/>
  <c r="BR17" i="14"/>
  <c r="CA17" i="14" s="1"/>
  <c r="BR18" i="14"/>
  <c r="CA18" i="14" s="1"/>
  <c r="BS14" i="14"/>
  <c r="CB14" i="14" s="1"/>
  <c r="BS13" i="14"/>
  <c r="CB13" i="14" s="1"/>
  <c r="BR14" i="14"/>
  <c r="CA14" i="14" s="1"/>
  <c r="BR13" i="14"/>
  <c r="CA13" i="14" s="1"/>
  <c r="BT11" i="14"/>
  <c r="CC11" i="14" s="1"/>
  <c r="BR12" i="14"/>
  <c r="CA12" i="14" s="1"/>
  <c r="BR11" i="14"/>
  <c r="CA11" i="14" s="1"/>
  <c r="BR8" i="14"/>
  <c r="CA8" i="14" s="1"/>
  <c r="BR7" i="14"/>
  <c r="CA7" i="14" s="1"/>
  <c r="BS12" i="14"/>
  <c r="CB12" i="14" s="1"/>
  <c r="BS11" i="14"/>
  <c r="CB11" i="14" s="1"/>
  <c r="BS10" i="14"/>
  <c r="CB10" i="14" s="1"/>
  <c r="BS9" i="14"/>
  <c r="CB9" i="14" s="1"/>
  <c r="BS8" i="14"/>
  <c r="CB8" i="14" s="1"/>
  <c r="BS7" i="14"/>
  <c r="CB7" i="14" s="1"/>
  <c r="BR10" i="14"/>
  <c r="CA10" i="14" s="1"/>
  <c r="BR9" i="14"/>
  <c r="CA9" i="14" s="1"/>
  <c r="BQ8" i="14"/>
  <c r="BZ8" i="14" s="1"/>
  <c r="BS5" i="14"/>
  <c r="CB5" i="14" s="1"/>
  <c r="BS6" i="14"/>
  <c r="CB6" i="14" s="1"/>
  <c r="BR6" i="14"/>
  <c r="CA6" i="14" s="1"/>
  <c r="BR5" i="14"/>
  <c r="CA5" i="14" s="1"/>
  <c r="BS4" i="14"/>
  <c r="CB4" i="14" s="1"/>
  <c r="BS3" i="14"/>
  <c r="CB3" i="14" s="1"/>
  <c r="BP15" i="14"/>
  <c r="BY15" i="14" s="1"/>
  <c r="BP14" i="14"/>
  <c r="BY14" i="14" s="1"/>
  <c r="BP13" i="14"/>
  <c r="BY13" i="14" s="1"/>
  <c r="BP12" i="14"/>
  <c r="BY12" i="14" s="1"/>
  <c r="BP11" i="14"/>
  <c r="BY11" i="14" s="1"/>
  <c r="BP10" i="14"/>
  <c r="BY10" i="14" s="1"/>
  <c r="BP9" i="14"/>
  <c r="BY9" i="14" s="1"/>
  <c r="BP8" i="14"/>
  <c r="BY8" i="14" s="1"/>
  <c r="BP7" i="14"/>
  <c r="BY7" i="14" s="1"/>
  <c r="BP6" i="14"/>
  <c r="BY6" i="14" s="1"/>
  <c r="BP5" i="14"/>
  <c r="BY5" i="14" s="1"/>
  <c r="BP4" i="14"/>
  <c r="BY4" i="14" s="1"/>
  <c r="BP3" i="14"/>
  <c r="BY3" i="14" s="1"/>
  <c r="BP2" i="14"/>
  <c r="BY2" i="14" s="1"/>
  <c r="BP1" i="14"/>
  <c r="BY1" i="14" s="1"/>
  <c r="BP18" i="14"/>
  <c r="BY18" i="14" s="1"/>
  <c r="BP17" i="14"/>
  <c r="BY17" i="14" s="1"/>
  <c r="BP16" i="14"/>
  <c r="BY16" i="14" s="1"/>
  <c r="BO1" i="14"/>
  <c r="BX1" i="14" s="1"/>
  <c r="D57" i="12"/>
  <c r="D56" i="12"/>
  <c r="CG61" i="14" l="1" a="1"/>
  <c r="CG61" i="14" s="1"/>
  <c r="CP61" i="14" s="1"/>
  <c r="CG63" i="14" a="1"/>
  <c r="CG63" i="14" s="1"/>
  <c r="CP63" i="14" s="1"/>
  <c r="CG21" i="14" a="1"/>
  <c r="CG21" i="14" s="1"/>
  <c r="CP21" i="14" s="1"/>
  <c r="CG39" i="14" a="1"/>
  <c r="CG39" i="14" s="1"/>
  <c r="CP39" i="14" s="1"/>
  <c r="CG57" i="14" a="1"/>
  <c r="CG57" i="14" s="1"/>
  <c r="CP57" i="14" s="1"/>
  <c r="CG12" i="14" a="1"/>
  <c r="CG12" i="14" s="1"/>
  <c r="CP12" i="14" s="1"/>
  <c r="CG26" i="14" a="1"/>
  <c r="CG26" i="14" s="1"/>
  <c r="CP26" i="14" s="1"/>
  <c r="CG6" i="14" a="1"/>
  <c r="CG6" i="14" s="1"/>
  <c r="CP6" i="14" s="1"/>
  <c r="CG8" i="14" a="1"/>
  <c r="CG8" i="14" s="1"/>
  <c r="CP8" i="14" s="1"/>
  <c r="CG22" i="14" a="1"/>
  <c r="CG22" i="14" s="1"/>
  <c r="CP22" i="14" s="1"/>
  <c r="CG5" i="14" a="1"/>
  <c r="CG5" i="14" s="1"/>
  <c r="CP5" i="14" s="1"/>
  <c r="CG59" i="14" a="1"/>
  <c r="CG59" i="14" s="1"/>
  <c r="CP59" i="14" s="1"/>
  <c r="CG32" i="14" a="1"/>
  <c r="CG32" i="14" s="1"/>
  <c r="CP32" i="14" s="1"/>
  <c r="CG64" i="14" a="1"/>
  <c r="CG64" i="14" s="1"/>
  <c r="CP64" i="14" s="1"/>
  <c r="CG20" i="14" a="1"/>
  <c r="CG20" i="14" s="1"/>
  <c r="CP20" i="14" s="1"/>
  <c r="CG50" i="14" a="1"/>
  <c r="CG50" i="14" s="1"/>
  <c r="CP50" i="14" s="1"/>
  <c r="CG43" i="14" a="1"/>
  <c r="CG43" i="14" s="1"/>
  <c r="CP43" i="14" s="1"/>
  <c r="CG4" i="14" a="1"/>
  <c r="CG4" i="14" s="1"/>
  <c r="CP4" i="14" s="1"/>
  <c r="CG56" i="14" a="1"/>
  <c r="CG56" i="14" s="1"/>
  <c r="CP56" i="14" s="1"/>
  <c r="CG7" i="14" a="1"/>
  <c r="CG7" i="14" s="1"/>
  <c r="CP7" i="14" s="1"/>
  <c r="CG11" i="14" a="1"/>
  <c r="CG11" i="14" s="1"/>
  <c r="CP11" i="14" s="1"/>
  <c r="CG24" i="14" a="1"/>
  <c r="CG24" i="14" s="1"/>
  <c r="CP24" i="14" s="1"/>
  <c r="CG10" i="14" a="1"/>
  <c r="CG10" i="14" s="1"/>
  <c r="CP10" i="14" s="1"/>
  <c r="CG28" i="14" a="1"/>
  <c r="CG28" i="14" s="1"/>
  <c r="CP28" i="14" s="1"/>
  <c r="CG38" i="14" a="1"/>
  <c r="CG38" i="14" s="1"/>
  <c r="CP38" i="14" s="1"/>
  <c r="CG27" i="14" a="1"/>
  <c r="CG27" i="14" s="1"/>
  <c r="CP27" i="14" s="1"/>
  <c r="CG23" i="14" a="1"/>
  <c r="CG23" i="14" s="1"/>
  <c r="CP23" i="14" s="1"/>
  <c r="CG54" i="14" a="1"/>
  <c r="CG54" i="14" s="1"/>
  <c r="CP54" i="14" s="1"/>
  <c r="CG34" i="14" a="1"/>
  <c r="CG34" i="14" s="1"/>
  <c r="CP34" i="14" s="1"/>
  <c r="CG15" i="14" a="1"/>
  <c r="CG15" i="14" s="1"/>
  <c r="CP15" i="14" s="1"/>
  <c r="CG62" i="14" a="1"/>
  <c r="CG62" i="14" s="1"/>
  <c r="CP62" i="14" s="1"/>
  <c r="CG29" i="14" a="1"/>
  <c r="CG29" i="14" s="1"/>
  <c r="CP29" i="14" s="1"/>
  <c r="CG37" i="14" a="1"/>
  <c r="CG37" i="14" s="1"/>
  <c r="CP37" i="14" s="1"/>
  <c r="CG44" i="14" a="1"/>
  <c r="CG44" i="14" s="1"/>
  <c r="CP44" i="14" s="1"/>
  <c r="CG49" i="14" a="1"/>
  <c r="CG49" i="14" s="1"/>
  <c r="CP49" i="14" s="1"/>
  <c r="CG30" i="14" a="1"/>
  <c r="CG30" i="14" s="1"/>
  <c r="CP30" i="14" s="1"/>
  <c r="CG13" i="14" a="1"/>
  <c r="CG13" i="14" s="1"/>
  <c r="CP13" i="14" s="1"/>
  <c r="CG46" i="14" a="1"/>
  <c r="CG46" i="14" s="1"/>
  <c r="CP46" i="14" s="1"/>
  <c r="CG45" i="14" a="1"/>
  <c r="CG45" i="14" s="1"/>
  <c r="CP45" i="14" s="1"/>
  <c r="CG9" i="14" a="1"/>
  <c r="CG9" i="14" s="1"/>
  <c r="CP9" i="14" s="1"/>
  <c r="CG17" i="14" a="1"/>
  <c r="CG17" i="14" s="1"/>
  <c r="CP17" i="14" s="1"/>
  <c r="CG25" i="14" a="1"/>
  <c r="CG25" i="14" s="1"/>
  <c r="CP25" i="14" s="1"/>
  <c r="CG33" i="14" a="1"/>
  <c r="CG33" i="14" s="1"/>
  <c r="CP33" i="14" s="1"/>
  <c r="CG36" i="14" a="1"/>
  <c r="CG36" i="14" s="1"/>
  <c r="CP36" i="14" s="1"/>
  <c r="CG40" i="14" a="1"/>
  <c r="CG40" i="14" s="1"/>
  <c r="CP40" i="14" s="1"/>
  <c r="CG18" i="14" a="1"/>
  <c r="CG18" i="14" s="1"/>
  <c r="CP18" i="14" s="1"/>
  <c r="CG35" i="14" a="1"/>
  <c r="CG35" i="14" s="1"/>
  <c r="CP35" i="14" s="1"/>
  <c r="CG52" i="14" a="1"/>
  <c r="CG52" i="14" s="1"/>
  <c r="CP52" i="14" s="1"/>
  <c r="CG19" i="14" a="1"/>
  <c r="CG19" i="14" s="1"/>
  <c r="CP19" i="14" s="1"/>
  <c r="CG14" i="14" a="1"/>
  <c r="CG14" i="14" s="1"/>
  <c r="CP14" i="14" s="1"/>
  <c r="CG55" i="14" a="1"/>
  <c r="CG55" i="14" s="1"/>
  <c r="CP55" i="14" s="1"/>
  <c r="CG42" i="14" a="1"/>
  <c r="CG42" i="14" s="1"/>
  <c r="CP42" i="14" s="1"/>
  <c r="CG3" i="14" a="1"/>
  <c r="CG3" i="14" s="1"/>
  <c r="CP3" i="14" s="1"/>
  <c r="CG47" i="14" a="1"/>
  <c r="CG47" i="14" s="1"/>
  <c r="CP47" i="14" s="1"/>
  <c r="CG16" i="14" a="1"/>
  <c r="CG16" i="14" s="1"/>
  <c r="CP16" i="14" s="1"/>
  <c r="CG58" i="14" a="1"/>
  <c r="CG58" i="14" s="1"/>
  <c r="CP58" i="14" s="1"/>
  <c r="CG2" i="14" a="1"/>
  <c r="CG2" i="14" s="1"/>
  <c r="CP2" i="14" s="1"/>
  <c r="CG1" i="14" a="1"/>
  <c r="CG1" i="14" s="1"/>
  <c r="CP1" i="14" s="1"/>
  <c r="CG51" i="14" a="1"/>
  <c r="CG51" i="14" s="1"/>
  <c r="CP51" i="14" s="1"/>
  <c r="CG53" i="14" a="1"/>
  <c r="CG53" i="14" s="1"/>
  <c r="CP53" i="14" s="1"/>
  <c r="CG41" i="14" a="1"/>
  <c r="CG41" i="14" s="1"/>
  <c r="CP41" i="14" s="1"/>
  <c r="CG31" i="14" a="1"/>
  <c r="CG31" i="14" s="1"/>
  <c r="CP31" i="14" s="1"/>
  <c r="CG60" i="14" a="1"/>
  <c r="CG60" i="14" s="1"/>
  <c r="CP60" i="14" s="1"/>
  <c r="CG48" i="14" a="1"/>
  <c r="CG48" i="14" s="1"/>
  <c r="CP48" i="14" s="1"/>
  <c r="AJ851" i="11"/>
  <c r="AJ834" i="11"/>
  <c r="AJ817" i="11"/>
  <c r="AJ800" i="11"/>
  <c r="AJ783" i="11"/>
  <c r="AJ766" i="11"/>
  <c r="AJ749" i="11"/>
  <c r="AJ732" i="11"/>
  <c r="AJ715" i="11"/>
  <c r="AJ698" i="11"/>
  <c r="AJ681" i="11"/>
  <c r="AJ664" i="11"/>
  <c r="AJ647" i="11"/>
  <c r="AJ630" i="11"/>
  <c r="AJ613" i="11"/>
  <c r="AJ596" i="11"/>
  <c r="AJ579" i="11"/>
  <c r="AJ562" i="11"/>
  <c r="AJ545" i="11"/>
  <c r="AJ528" i="11"/>
  <c r="AJ511" i="11"/>
  <c r="AJ256" i="11"/>
  <c r="AJ239" i="11"/>
  <c r="AJ222" i="11"/>
  <c r="AJ69" i="11"/>
  <c r="AJ35" i="11"/>
  <c r="T69" i="11"/>
  <c r="H33" i="7" a="1"/>
  <c r="H33" i="7" s="1"/>
  <c r="H30" i="7" a="1"/>
  <c r="H30" i="7" s="1"/>
  <c r="C29" i="7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T863" i="11" l="1"/>
  <c r="V863" i="11" s="1"/>
  <c r="X863" i="11" s="1"/>
  <c r="T867" i="11"/>
  <c r="W867" i="11" s="1"/>
  <c r="Y867" i="11" s="1"/>
  <c r="T862" i="11"/>
  <c r="V862" i="11" s="1"/>
  <c r="X862" i="11" s="1"/>
  <c r="T866" i="11"/>
  <c r="W866" i="11" s="1"/>
  <c r="Y866" i="11" s="1"/>
  <c r="T865" i="11"/>
  <c r="W865" i="11" s="1"/>
  <c r="Y865" i="11" s="1"/>
  <c r="T864" i="11"/>
  <c r="V864" i="11" s="1"/>
  <c r="X864" i="11" s="1"/>
  <c r="T860" i="11"/>
  <c r="W860" i="11" s="1"/>
  <c r="Y860" i="11" s="1"/>
  <c r="T858" i="11"/>
  <c r="W858" i="11" s="1"/>
  <c r="Y858" i="11" s="1"/>
  <c r="T855" i="11"/>
  <c r="W855" i="11" s="1"/>
  <c r="Y855" i="11" s="1"/>
  <c r="T852" i="11"/>
  <c r="W852" i="11" s="1"/>
  <c r="Y852" i="11" s="1"/>
  <c r="T847" i="11"/>
  <c r="W847" i="11" s="1"/>
  <c r="Y847" i="11" s="1"/>
  <c r="T843" i="11"/>
  <c r="V843" i="11" s="1"/>
  <c r="X843" i="11" s="1"/>
  <c r="T840" i="11"/>
  <c r="V840" i="11" s="1"/>
  <c r="X840" i="11" s="1"/>
  <c r="T837" i="11"/>
  <c r="V837" i="11" s="1"/>
  <c r="X837" i="11" s="1"/>
  <c r="T833" i="11"/>
  <c r="W833" i="11" s="1"/>
  <c r="Y833" i="11" s="1"/>
  <c r="T830" i="11"/>
  <c r="W830" i="11" s="1"/>
  <c r="Y830" i="11" s="1"/>
  <c r="T827" i="11"/>
  <c r="W827" i="11" s="1"/>
  <c r="Y827" i="11" s="1"/>
  <c r="T823" i="11"/>
  <c r="V823" i="11" s="1"/>
  <c r="X823" i="11" s="1"/>
  <c r="T820" i="11"/>
  <c r="V820" i="11" s="1"/>
  <c r="X820" i="11" s="1"/>
  <c r="T816" i="11"/>
  <c r="W816" i="11" s="1"/>
  <c r="Y816" i="11" s="1"/>
  <c r="T814" i="11"/>
  <c r="W814" i="11" s="1"/>
  <c r="Y814" i="11" s="1"/>
  <c r="T811" i="11"/>
  <c r="V811" i="11" s="1"/>
  <c r="X811" i="11" s="1"/>
  <c r="T809" i="11"/>
  <c r="V809" i="11" s="1"/>
  <c r="X809" i="11" s="1"/>
  <c r="T806" i="11"/>
  <c r="V806" i="11" s="1"/>
  <c r="X806" i="11" s="1"/>
  <c r="T803" i="11"/>
  <c r="W803" i="11" s="1"/>
  <c r="Y803" i="11" s="1"/>
  <c r="T799" i="11"/>
  <c r="W799" i="11" s="1"/>
  <c r="Y799" i="11" s="1"/>
  <c r="T796" i="11"/>
  <c r="W796" i="11" s="1"/>
  <c r="Y796" i="11" s="1"/>
  <c r="T793" i="11"/>
  <c r="W793" i="11" s="1"/>
  <c r="Y793" i="11" s="1"/>
  <c r="T790" i="11"/>
  <c r="V790" i="11" s="1"/>
  <c r="X790" i="11" s="1"/>
  <c r="T787" i="11"/>
  <c r="V787" i="11" s="1"/>
  <c r="X787" i="11" s="1"/>
  <c r="T784" i="11"/>
  <c r="W784" i="11" s="1"/>
  <c r="Y784" i="11" s="1"/>
  <c r="T780" i="11"/>
  <c r="W780" i="11" s="1"/>
  <c r="Y780" i="11" s="1"/>
  <c r="T777" i="11"/>
  <c r="W777" i="11" s="1"/>
  <c r="Y777" i="11" s="1"/>
  <c r="T771" i="11"/>
  <c r="V771" i="11" s="1"/>
  <c r="X771" i="11" s="1"/>
  <c r="T768" i="11"/>
  <c r="V768" i="11" s="1"/>
  <c r="X768" i="11" s="1"/>
  <c r="T764" i="11"/>
  <c r="W764" i="11" s="1"/>
  <c r="Y764" i="11" s="1"/>
  <c r="T761" i="11"/>
  <c r="W761" i="11" s="1"/>
  <c r="Y761" i="11" s="1"/>
  <c r="T755" i="11"/>
  <c r="W755" i="11" s="1"/>
  <c r="Y755" i="11" s="1"/>
  <c r="T752" i="11"/>
  <c r="V752" i="11" s="1"/>
  <c r="X752" i="11" s="1"/>
  <c r="T748" i="11"/>
  <c r="W748" i="11" s="1"/>
  <c r="Y748" i="11" s="1"/>
  <c r="T746" i="11"/>
  <c r="V746" i="11" s="1"/>
  <c r="X746" i="11" s="1"/>
  <c r="T744" i="11"/>
  <c r="W744" i="11" s="1"/>
  <c r="Y744" i="11" s="1"/>
  <c r="T742" i="11"/>
  <c r="W742" i="11" s="1"/>
  <c r="Y742" i="11" s="1"/>
  <c r="T730" i="11"/>
  <c r="W730" i="11" s="1"/>
  <c r="Y730" i="11" s="1"/>
  <c r="T727" i="11"/>
  <c r="W727" i="11" s="1"/>
  <c r="Y727" i="11" s="1"/>
  <c r="T722" i="11"/>
  <c r="W722" i="11" s="1"/>
  <c r="Y722" i="11" s="1"/>
  <c r="T719" i="11"/>
  <c r="W719" i="11" s="1"/>
  <c r="Y719" i="11" s="1"/>
  <c r="T716" i="11"/>
  <c r="V716" i="11" s="1"/>
  <c r="X716" i="11" s="1"/>
  <c r="T712" i="11"/>
  <c r="V712" i="11" s="1"/>
  <c r="X712" i="11" s="1"/>
  <c r="T708" i="11"/>
  <c r="V708" i="11" s="1"/>
  <c r="X708" i="11" s="1"/>
  <c r="T705" i="11"/>
  <c r="V705" i="11" s="1"/>
  <c r="X705" i="11" s="1"/>
  <c r="T704" i="11"/>
  <c r="V704" i="11" s="1"/>
  <c r="X704" i="11" s="1"/>
  <c r="T700" i="11"/>
  <c r="W700" i="11" s="1"/>
  <c r="Y700" i="11" s="1"/>
  <c r="T697" i="11"/>
  <c r="V697" i="11" s="1"/>
  <c r="X697" i="11" s="1"/>
  <c r="T693" i="11"/>
  <c r="W693" i="11" s="1"/>
  <c r="Y693" i="11" s="1"/>
  <c r="T690" i="11"/>
  <c r="W690" i="11" s="1"/>
  <c r="Y690" i="11" s="1"/>
  <c r="T687" i="11"/>
  <c r="W687" i="11" s="1"/>
  <c r="Y687" i="11" s="1"/>
  <c r="T684" i="11"/>
  <c r="W684" i="11" s="1"/>
  <c r="Y684" i="11" s="1"/>
  <c r="T680" i="11"/>
  <c r="W680" i="11" s="1"/>
  <c r="Y680" i="11" s="1"/>
  <c r="T677" i="11"/>
  <c r="W677" i="11" s="1"/>
  <c r="Y677" i="11" s="1"/>
  <c r="T674" i="11"/>
  <c r="V674" i="11" s="1"/>
  <c r="X674" i="11" s="1"/>
  <c r="T671" i="11"/>
  <c r="V671" i="11" s="1"/>
  <c r="X671" i="11" s="1"/>
  <c r="T668" i="11"/>
  <c r="V668" i="11" s="1"/>
  <c r="X668" i="11" s="1"/>
  <c r="T665" i="11"/>
  <c r="W665" i="11" s="1"/>
  <c r="Y665" i="11" s="1"/>
  <c r="T661" i="11"/>
  <c r="W661" i="11" s="1"/>
  <c r="Y661" i="11" s="1"/>
  <c r="T659" i="11"/>
  <c r="V659" i="11" s="1"/>
  <c r="X659" i="11" s="1"/>
  <c r="T658" i="11"/>
  <c r="W658" i="11" s="1"/>
  <c r="Y658" i="11" s="1"/>
  <c r="T656" i="11"/>
  <c r="V656" i="11" s="1"/>
  <c r="X656" i="11" s="1"/>
  <c r="T653" i="11"/>
  <c r="V653" i="11" s="1"/>
  <c r="X653" i="11" s="1"/>
  <c r="T650" i="11"/>
  <c r="W650" i="11" s="1"/>
  <c r="Y650" i="11" s="1"/>
  <c r="T646" i="11"/>
  <c r="V646" i="11" s="1"/>
  <c r="X646" i="11" s="1"/>
  <c r="T643" i="11"/>
  <c r="W643" i="11" s="1"/>
  <c r="Y643" i="11" s="1"/>
  <c r="T640" i="11"/>
  <c r="V640" i="11" s="1"/>
  <c r="X640" i="11" s="1"/>
  <c r="T637" i="11"/>
  <c r="W637" i="11" s="1"/>
  <c r="Y637" i="11" s="1"/>
  <c r="T634" i="11"/>
  <c r="V634" i="11" s="1"/>
  <c r="X634" i="11" s="1"/>
  <c r="T631" i="11"/>
  <c r="W631" i="11" s="1"/>
  <c r="Y631" i="11" s="1"/>
  <c r="T627" i="11"/>
  <c r="W627" i="11" s="1"/>
  <c r="Y627" i="11" s="1"/>
  <c r="T624" i="11"/>
  <c r="W624" i="11" s="1"/>
  <c r="Y624" i="11" s="1"/>
  <c r="T621" i="11"/>
  <c r="V621" i="11" s="1"/>
  <c r="X621" i="11" s="1"/>
  <c r="T619" i="11"/>
  <c r="W619" i="11" s="1"/>
  <c r="Y619" i="11" s="1"/>
  <c r="T608" i="11"/>
  <c r="W608" i="11" s="1"/>
  <c r="Y608" i="11" s="1"/>
  <c r="T859" i="11"/>
  <c r="V859" i="11" s="1"/>
  <c r="X859" i="11" s="1"/>
  <c r="T856" i="11"/>
  <c r="V856" i="11" s="1"/>
  <c r="X856" i="11" s="1"/>
  <c r="T853" i="11"/>
  <c r="V853" i="11" s="1"/>
  <c r="X853" i="11" s="1"/>
  <c r="T850" i="11"/>
  <c r="V850" i="11" s="1"/>
  <c r="X850" i="11" s="1"/>
  <c r="T848" i="11"/>
  <c r="V848" i="11" s="1"/>
  <c r="X848" i="11" s="1"/>
  <c r="T844" i="11"/>
  <c r="W844" i="11" s="1"/>
  <c r="Y844" i="11" s="1"/>
  <c r="T841" i="11"/>
  <c r="W841" i="11" s="1"/>
  <c r="Y841" i="11" s="1"/>
  <c r="T838" i="11"/>
  <c r="W838" i="11" s="1"/>
  <c r="Y838" i="11" s="1"/>
  <c r="T835" i="11"/>
  <c r="W835" i="11" s="1"/>
  <c r="Y835" i="11" s="1"/>
  <c r="T831" i="11"/>
  <c r="V831" i="11" s="1"/>
  <c r="X831" i="11" s="1"/>
  <c r="T828" i="11"/>
  <c r="W828" i="11" s="1"/>
  <c r="Y828" i="11" s="1"/>
  <c r="T825" i="11"/>
  <c r="W825" i="11" s="1"/>
  <c r="Y825" i="11" s="1"/>
  <c r="T822" i="11"/>
  <c r="V822" i="11" s="1"/>
  <c r="X822" i="11" s="1"/>
  <c r="T819" i="11"/>
  <c r="W819" i="11" s="1"/>
  <c r="Y819" i="11" s="1"/>
  <c r="T815" i="11"/>
  <c r="W815" i="11" s="1"/>
  <c r="Y815" i="11" s="1"/>
  <c r="T812" i="11"/>
  <c r="W812" i="11" s="1"/>
  <c r="Y812" i="11" s="1"/>
  <c r="T808" i="11"/>
  <c r="V808" i="11" s="1"/>
  <c r="X808" i="11" s="1"/>
  <c r="T805" i="11"/>
  <c r="V805" i="11" s="1"/>
  <c r="X805" i="11" s="1"/>
  <c r="T802" i="11"/>
  <c r="W802" i="11" s="1"/>
  <c r="Y802" i="11" s="1"/>
  <c r="T798" i="11"/>
  <c r="W798" i="11" s="1"/>
  <c r="Y798" i="11" s="1"/>
  <c r="T794" i="11"/>
  <c r="V794" i="11" s="1"/>
  <c r="X794" i="11" s="1"/>
  <c r="T791" i="11"/>
  <c r="V791" i="11" s="1"/>
  <c r="X791" i="11" s="1"/>
  <c r="T788" i="11"/>
  <c r="V788" i="11" s="1"/>
  <c r="X788" i="11" s="1"/>
  <c r="T785" i="11"/>
  <c r="W785" i="11" s="1"/>
  <c r="Y785" i="11" s="1"/>
  <c r="T781" i="11"/>
  <c r="V781" i="11" s="1"/>
  <c r="X781" i="11" s="1"/>
  <c r="T778" i="11"/>
  <c r="V778" i="11" s="1"/>
  <c r="X778" i="11" s="1"/>
  <c r="T772" i="11"/>
  <c r="V772" i="11" s="1"/>
  <c r="X772" i="11" s="1"/>
  <c r="T769" i="11"/>
  <c r="V769" i="11" s="1"/>
  <c r="X769" i="11" s="1"/>
  <c r="T763" i="11"/>
  <c r="W763" i="11" s="1"/>
  <c r="Y763" i="11" s="1"/>
  <c r="T760" i="11"/>
  <c r="W760" i="11" s="1"/>
  <c r="Y760" i="11" s="1"/>
  <c r="T756" i="11"/>
  <c r="W756" i="11" s="1"/>
  <c r="Y756" i="11" s="1"/>
  <c r="T753" i="11"/>
  <c r="W753" i="11" s="1"/>
  <c r="Y753" i="11" s="1"/>
  <c r="T751" i="11"/>
  <c r="W751" i="11" s="1"/>
  <c r="Y751" i="11" s="1"/>
  <c r="T747" i="11"/>
  <c r="W747" i="11" s="1"/>
  <c r="Y747" i="11" s="1"/>
  <c r="T745" i="11"/>
  <c r="W745" i="11" s="1"/>
  <c r="Y745" i="11" s="1"/>
  <c r="T743" i="11"/>
  <c r="W743" i="11" s="1"/>
  <c r="Y743" i="11" s="1"/>
  <c r="T731" i="11"/>
  <c r="V731" i="11" s="1"/>
  <c r="X731" i="11" s="1"/>
  <c r="T728" i="11"/>
  <c r="V728" i="11" s="1"/>
  <c r="X728" i="11" s="1"/>
  <c r="T725" i="11"/>
  <c r="W725" i="11" s="1"/>
  <c r="Y725" i="11" s="1"/>
  <c r="T721" i="11"/>
  <c r="W721" i="11" s="1"/>
  <c r="Y721" i="11" s="1"/>
  <c r="T718" i="11"/>
  <c r="W718" i="11" s="1"/>
  <c r="Y718" i="11" s="1"/>
  <c r="T714" i="11"/>
  <c r="W714" i="11" s="1"/>
  <c r="Y714" i="11" s="1"/>
  <c r="T711" i="11"/>
  <c r="V711" i="11" s="1"/>
  <c r="X711" i="11" s="1"/>
  <c r="T709" i="11"/>
  <c r="W709" i="11" s="1"/>
  <c r="Y709" i="11" s="1"/>
  <c r="T706" i="11"/>
  <c r="V706" i="11" s="1"/>
  <c r="X706" i="11" s="1"/>
  <c r="T703" i="11"/>
  <c r="W703" i="11" s="1"/>
  <c r="Y703" i="11" s="1"/>
  <c r="T701" i="11"/>
  <c r="W701" i="11" s="1"/>
  <c r="Y701" i="11" s="1"/>
  <c r="T696" i="11"/>
  <c r="W696" i="11" s="1"/>
  <c r="Y696" i="11" s="1"/>
  <c r="T694" i="11"/>
  <c r="W694" i="11" s="1"/>
  <c r="Y694" i="11" s="1"/>
  <c r="T691" i="11"/>
  <c r="V691" i="11" s="1"/>
  <c r="X691" i="11" s="1"/>
  <c r="T688" i="11"/>
  <c r="V688" i="11" s="1"/>
  <c r="X688" i="11" s="1"/>
  <c r="T685" i="11"/>
  <c r="V685" i="11" s="1"/>
  <c r="X685" i="11" s="1"/>
  <c r="T682" i="11"/>
  <c r="W682" i="11" s="1"/>
  <c r="Y682" i="11" s="1"/>
  <c r="T678" i="11"/>
  <c r="V678" i="11" s="1"/>
  <c r="X678" i="11" s="1"/>
  <c r="T675" i="11"/>
  <c r="V675" i="11" s="1"/>
  <c r="X675" i="11" s="1"/>
  <c r="T672" i="11"/>
  <c r="W672" i="11" s="1"/>
  <c r="Y672" i="11" s="1"/>
  <c r="T669" i="11"/>
  <c r="V669" i="11" s="1"/>
  <c r="X669" i="11" s="1"/>
  <c r="T666" i="11"/>
  <c r="W666" i="11" s="1"/>
  <c r="Y666" i="11" s="1"/>
  <c r="T662" i="11"/>
  <c r="W662" i="11" s="1"/>
  <c r="Y662" i="11" s="1"/>
  <c r="T654" i="11"/>
  <c r="W654" i="11" s="1"/>
  <c r="Y654" i="11" s="1"/>
  <c r="T651" i="11"/>
  <c r="V651" i="11" s="1"/>
  <c r="X651" i="11" s="1"/>
  <c r="T648" i="11"/>
  <c r="W648" i="11" s="1"/>
  <c r="Y648" i="11" s="1"/>
  <c r="T644" i="11"/>
  <c r="V644" i="11" s="1"/>
  <c r="X644" i="11" s="1"/>
  <c r="T642" i="11"/>
  <c r="W642" i="11" s="1"/>
  <c r="Y642" i="11" s="1"/>
  <c r="T639" i="11"/>
  <c r="V639" i="11" s="1"/>
  <c r="X639" i="11" s="1"/>
  <c r="T636" i="11"/>
  <c r="V636" i="11" s="1"/>
  <c r="X636" i="11" s="1"/>
  <c r="T633" i="11"/>
  <c r="W633" i="11" s="1"/>
  <c r="Y633" i="11" s="1"/>
  <c r="T629" i="11"/>
  <c r="W629" i="11" s="1"/>
  <c r="Y629" i="11" s="1"/>
  <c r="T626" i="11"/>
  <c r="W626" i="11" s="1"/>
  <c r="Y626" i="11" s="1"/>
  <c r="T623" i="11"/>
  <c r="V623" i="11" s="1"/>
  <c r="X623" i="11" s="1"/>
  <c r="T618" i="11"/>
  <c r="W618" i="11" s="1"/>
  <c r="Y618" i="11" s="1"/>
  <c r="T607" i="11"/>
  <c r="V607" i="11" s="1"/>
  <c r="X607" i="11" s="1"/>
  <c r="T861" i="11"/>
  <c r="W861" i="11" s="1"/>
  <c r="Y861" i="11" s="1"/>
  <c r="T857" i="11"/>
  <c r="W857" i="11" s="1"/>
  <c r="Y857" i="11" s="1"/>
  <c r="T854" i="11"/>
  <c r="W854" i="11" s="1"/>
  <c r="Y854" i="11" s="1"/>
  <c r="T849" i="11"/>
  <c r="V849" i="11" s="1"/>
  <c r="X849" i="11" s="1"/>
  <c r="T846" i="11"/>
  <c r="W846" i="11" s="1"/>
  <c r="Y846" i="11" s="1"/>
  <c r="T845" i="11"/>
  <c r="W845" i="11" s="1"/>
  <c r="Y845" i="11" s="1"/>
  <c r="T842" i="11"/>
  <c r="V842" i="11" s="1"/>
  <c r="X842" i="11" s="1"/>
  <c r="T839" i="11"/>
  <c r="W839" i="11" s="1"/>
  <c r="Y839" i="11" s="1"/>
  <c r="T836" i="11"/>
  <c r="W836" i="11" s="1"/>
  <c r="Y836" i="11" s="1"/>
  <c r="T832" i="11"/>
  <c r="V832" i="11" s="1"/>
  <c r="X832" i="11" s="1"/>
  <c r="T829" i="11"/>
  <c r="W829" i="11" s="1"/>
  <c r="Y829" i="11" s="1"/>
  <c r="T826" i="11"/>
  <c r="W826" i="11" s="1"/>
  <c r="Y826" i="11" s="1"/>
  <c r="T824" i="11"/>
  <c r="W824" i="11" s="1"/>
  <c r="Y824" i="11" s="1"/>
  <c r="T821" i="11"/>
  <c r="V821" i="11" s="1"/>
  <c r="X821" i="11" s="1"/>
  <c r="T818" i="11"/>
  <c r="V818" i="11" s="1"/>
  <c r="X818" i="11" s="1"/>
  <c r="T813" i="11"/>
  <c r="V813" i="11" s="1"/>
  <c r="X813" i="11" s="1"/>
  <c r="T810" i="11"/>
  <c r="W810" i="11" s="1"/>
  <c r="Y810" i="11" s="1"/>
  <c r="T807" i="11"/>
  <c r="V807" i="11" s="1"/>
  <c r="X807" i="11" s="1"/>
  <c r="T804" i="11"/>
  <c r="W804" i="11" s="1"/>
  <c r="Y804" i="11" s="1"/>
  <c r="T801" i="11"/>
  <c r="W801" i="11" s="1"/>
  <c r="Y801" i="11" s="1"/>
  <c r="T797" i="11"/>
  <c r="W797" i="11" s="1"/>
  <c r="Y797" i="11" s="1"/>
  <c r="T792" i="11"/>
  <c r="W792" i="11" s="1"/>
  <c r="Y792" i="11" s="1"/>
  <c r="T789" i="11"/>
  <c r="W789" i="11" s="1"/>
  <c r="Y789" i="11" s="1"/>
  <c r="T786" i="11"/>
  <c r="W786" i="11" s="1"/>
  <c r="Y786" i="11" s="1"/>
  <c r="T782" i="11"/>
  <c r="V782" i="11" s="1"/>
  <c r="X782" i="11" s="1"/>
  <c r="T779" i="11"/>
  <c r="V779" i="11" s="1"/>
  <c r="X779" i="11" s="1"/>
  <c r="T776" i="11"/>
  <c r="W776" i="11" s="1"/>
  <c r="Y776" i="11" s="1"/>
  <c r="T770" i="11"/>
  <c r="W770" i="11" s="1"/>
  <c r="Y770" i="11" s="1"/>
  <c r="T765" i="11"/>
  <c r="V765" i="11" s="1"/>
  <c r="X765" i="11" s="1"/>
  <c r="T762" i="11"/>
  <c r="W762" i="11" s="1"/>
  <c r="Y762" i="11" s="1"/>
  <c r="T759" i="11"/>
  <c r="W759" i="11" s="1"/>
  <c r="Y759" i="11" s="1"/>
  <c r="T750" i="11"/>
  <c r="V750" i="11" s="1"/>
  <c r="X750" i="11" s="1"/>
  <c r="T729" i="11"/>
  <c r="V729" i="11" s="1"/>
  <c r="X729" i="11" s="1"/>
  <c r="T726" i="11"/>
  <c r="W726" i="11" s="1"/>
  <c r="Y726" i="11" s="1"/>
  <c r="T720" i="11"/>
  <c r="W720" i="11" s="1"/>
  <c r="Y720" i="11" s="1"/>
  <c r="T717" i="11"/>
  <c r="W717" i="11" s="1"/>
  <c r="Y717" i="11" s="1"/>
  <c r="T713" i="11"/>
  <c r="V713" i="11" s="1"/>
  <c r="X713" i="11" s="1"/>
  <c r="T710" i="11"/>
  <c r="W710" i="11" s="1"/>
  <c r="Y710" i="11" s="1"/>
  <c r="T707" i="11"/>
  <c r="V707" i="11" s="1"/>
  <c r="X707" i="11" s="1"/>
  <c r="T702" i="11"/>
  <c r="W702" i="11" s="1"/>
  <c r="Y702" i="11" s="1"/>
  <c r="T699" i="11"/>
  <c r="W699" i="11" s="1"/>
  <c r="Y699" i="11" s="1"/>
  <c r="T695" i="11"/>
  <c r="V695" i="11" s="1"/>
  <c r="X695" i="11" s="1"/>
  <c r="T692" i="11"/>
  <c r="W692" i="11" s="1"/>
  <c r="Y692" i="11" s="1"/>
  <c r="T689" i="11"/>
  <c r="W689" i="11" s="1"/>
  <c r="Y689" i="11" s="1"/>
  <c r="T686" i="11"/>
  <c r="W686" i="11" s="1"/>
  <c r="Y686" i="11" s="1"/>
  <c r="T683" i="11"/>
  <c r="W683" i="11" s="1"/>
  <c r="Y683" i="11" s="1"/>
  <c r="T679" i="11"/>
  <c r="W679" i="11" s="1"/>
  <c r="Y679" i="11" s="1"/>
  <c r="T676" i="11"/>
  <c r="V676" i="11" s="1"/>
  <c r="X676" i="11" s="1"/>
  <c r="T673" i="11"/>
  <c r="V673" i="11" s="1"/>
  <c r="X673" i="11" s="1"/>
  <c r="T670" i="11"/>
  <c r="V670" i="11" s="1"/>
  <c r="X670" i="11" s="1"/>
  <c r="T667" i="11"/>
  <c r="W667" i="11" s="1"/>
  <c r="Y667" i="11" s="1"/>
  <c r="T663" i="11"/>
  <c r="V663" i="11" s="1"/>
  <c r="X663" i="11" s="1"/>
  <c r="T660" i="11"/>
  <c r="W660" i="11" s="1"/>
  <c r="Y660" i="11" s="1"/>
  <c r="T657" i="11"/>
  <c r="W657" i="11" s="1"/>
  <c r="Y657" i="11" s="1"/>
  <c r="T655" i="11"/>
  <c r="W655" i="11" s="1"/>
  <c r="Y655" i="11" s="1"/>
  <c r="T652" i="11"/>
  <c r="W652" i="11" s="1"/>
  <c r="Y652" i="11" s="1"/>
  <c r="T649" i="11"/>
  <c r="W649" i="11" s="1"/>
  <c r="Y649" i="11" s="1"/>
  <c r="T645" i="11"/>
  <c r="V645" i="11" s="1"/>
  <c r="X645" i="11" s="1"/>
  <c r="T641" i="11"/>
  <c r="W641" i="11" s="1"/>
  <c r="Y641" i="11" s="1"/>
  <c r="T638" i="11"/>
  <c r="W638" i="11" s="1"/>
  <c r="Y638" i="11" s="1"/>
  <c r="T635" i="11"/>
  <c r="W635" i="11" s="1"/>
  <c r="Y635" i="11" s="1"/>
  <c r="T632" i="11"/>
  <c r="W632" i="11" s="1"/>
  <c r="Y632" i="11" s="1"/>
  <c r="T628" i="11"/>
  <c r="W628" i="11" s="1"/>
  <c r="Y628" i="11" s="1"/>
  <c r="T625" i="11"/>
  <c r="W625" i="11" s="1"/>
  <c r="Y625" i="11" s="1"/>
  <c r="T622" i="11"/>
  <c r="W622" i="11" s="1"/>
  <c r="Y622" i="11" s="1"/>
  <c r="T620" i="11"/>
  <c r="V620" i="11" s="1"/>
  <c r="X620" i="11" s="1"/>
  <c r="T617" i="11"/>
  <c r="W617" i="11" s="1"/>
  <c r="Y617" i="11" s="1"/>
  <c r="T616" i="11"/>
  <c r="V616" i="11" s="1"/>
  <c r="X616" i="11" s="1"/>
  <c r="T615" i="11"/>
  <c r="W615" i="11" s="1"/>
  <c r="Y615" i="11" s="1"/>
  <c r="T614" i="11"/>
  <c r="W614" i="11" s="1"/>
  <c r="Y614" i="11" s="1"/>
  <c r="T612" i="11"/>
  <c r="W612" i="11" s="1"/>
  <c r="Y612" i="11" s="1"/>
  <c r="T611" i="11"/>
  <c r="W611" i="11" s="1"/>
  <c r="Y611" i="11" s="1"/>
  <c r="T610" i="11"/>
  <c r="W610" i="11" s="1"/>
  <c r="Y610" i="11" s="1"/>
  <c r="T609" i="11"/>
  <c r="V609" i="11" s="1"/>
  <c r="X609" i="11" s="1"/>
  <c r="T606" i="11"/>
  <c r="V606" i="11" s="1"/>
  <c r="X606" i="11" s="1"/>
  <c r="T605" i="11"/>
  <c r="W605" i="11" s="1"/>
  <c r="Y605" i="11" s="1"/>
  <c r="T604" i="11"/>
  <c r="V604" i="11" s="1"/>
  <c r="X604" i="11" s="1"/>
  <c r="T603" i="11"/>
  <c r="W603" i="11" s="1"/>
  <c r="Y603" i="11" s="1"/>
  <c r="T602" i="11"/>
  <c r="W602" i="11" s="1"/>
  <c r="Y602" i="11" s="1"/>
  <c r="T601" i="11"/>
  <c r="W601" i="11" s="1"/>
  <c r="Y601" i="11" s="1"/>
  <c r="T600" i="11"/>
  <c r="V600" i="11" s="1"/>
  <c r="X600" i="11" s="1"/>
  <c r="T599" i="11"/>
  <c r="V599" i="11" s="1"/>
  <c r="X599" i="11" s="1"/>
  <c r="T598" i="11"/>
  <c r="V598" i="11" s="1"/>
  <c r="X598" i="11" s="1"/>
  <c r="T597" i="11"/>
  <c r="V597" i="11" s="1"/>
  <c r="X597" i="11" s="1"/>
  <c r="T595" i="11"/>
  <c r="V595" i="11" s="1"/>
  <c r="X595" i="11" s="1"/>
  <c r="T594" i="11"/>
  <c r="W594" i="11" s="1"/>
  <c r="Y594" i="11" s="1"/>
  <c r="T593" i="11"/>
  <c r="W593" i="11" s="1"/>
  <c r="Y593" i="11" s="1"/>
  <c r="T592" i="11"/>
  <c r="V592" i="11" s="1"/>
  <c r="X592" i="11" s="1"/>
  <c r="T591" i="11"/>
  <c r="W591" i="11" s="1"/>
  <c r="Y591" i="11" s="1"/>
  <c r="T590" i="11"/>
  <c r="V590" i="11" s="1"/>
  <c r="X590" i="11" s="1"/>
  <c r="T589" i="11"/>
  <c r="W589" i="11" s="1"/>
  <c r="Y589" i="11" s="1"/>
  <c r="T588" i="11"/>
  <c r="W588" i="11" s="1"/>
  <c r="Y588" i="11" s="1"/>
  <c r="T587" i="11"/>
  <c r="V587" i="11" s="1"/>
  <c r="X587" i="11" s="1"/>
  <c r="T586" i="11"/>
  <c r="V586" i="11" s="1"/>
  <c r="X586" i="11" s="1"/>
  <c r="T585" i="11"/>
  <c r="V585" i="11" s="1"/>
  <c r="X585" i="11" s="1"/>
  <c r="T584" i="11"/>
  <c r="W584" i="11" s="1"/>
  <c r="Y584" i="11" s="1"/>
  <c r="T583" i="11"/>
  <c r="W583" i="11" s="1"/>
  <c r="Y583" i="11" s="1"/>
  <c r="T582" i="11"/>
  <c r="W582" i="11" s="1"/>
  <c r="Y582" i="11" s="1"/>
  <c r="T581" i="11"/>
  <c r="W581" i="11" s="1"/>
  <c r="Y581" i="11" s="1"/>
  <c r="T580" i="11"/>
  <c r="V580" i="11" s="1"/>
  <c r="X580" i="11" s="1"/>
  <c r="T578" i="11"/>
  <c r="V578" i="11" s="1"/>
  <c r="X578" i="11" s="1"/>
  <c r="T577" i="11"/>
  <c r="W577" i="11" s="1"/>
  <c r="Y577" i="11" s="1"/>
  <c r="T576" i="11"/>
  <c r="V576" i="11" s="1"/>
  <c r="X576" i="11" s="1"/>
  <c r="T575" i="11"/>
  <c r="W575" i="11" s="1"/>
  <c r="Y575" i="11" s="1"/>
  <c r="T574" i="11"/>
  <c r="V574" i="11" s="1"/>
  <c r="X574" i="11" s="1"/>
  <c r="T573" i="11"/>
  <c r="V573" i="11" s="1"/>
  <c r="X573" i="11" s="1"/>
  <c r="T572" i="11"/>
  <c r="W572" i="11" s="1"/>
  <c r="Y572" i="11" s="1"/>
  <c r="T571" i="11"/>
  <c r="W571" i="11" s="1"/>
  <c r="Y571" i="11" s="1"/>
  <c r="T570" i="11"/>
  <c r="W570" i="11" s="1"/>
  <c r="Y570" i="11" s="1"/>
  <c r="T569" i="11"/>
  <c r="V569" i="11" s="1"/>
  <c r="X569" i="11" s="1"/>
  <c r="T568" i="11"/>
  <c r="W568" i="11" s="1"/>
  <c r="Y568" i="11" s="1"/>
  <c r="T567" i="11"/>
  <c r="W567" i="11" s="1"/>
  <c r="Y567" i="11" s="1"/>
  <c r="T566" i="11"/>
  <c r="W566" i="11" s="1"/>
  <c r="Y566" i="11" s="1"/>
  <c r="T565" i="11"/>
  <c r="W565" i="11" s="1"/>
  <c r="Y565" i="11" s="1"/>
  <c r="T564" i="11"/>
  <c r="W564" i="11" s="1"/>
  <c r="Y564" i="11" s="1"/>
  <c r="T563" i="11"/>
  <c r="W563" i="11" s="1"/>
  <c r="Y563" i="11" s="1"/>
  <c r="T561" i="11"/>
  <c r="W561" i="11" s="1"/>
  <c r="Y561" i="11" s="1"/>
  <c r="T560" i="11"/>
  <c r="W560" i="11" s="1"/>
  <c r="Y560" i="11" s="1"/>
  <c r="T559" i="11"/>
  <c r="W559" i="11" s="1"/>
  <c r="Y559" i="11" s="1"/>
  <c r="T558" i="11"/>
  <c r="W558" i="11" s="1"/>
  <c r="Y558" i="11" s="1"/>
  <c r="T557" i="11"/>
  <c r="V557" i="11" s="1"/>
  <c r="X557" i="11" s="1"/>
  <c r="T556" i="11"/>
  <c r="W556" i="11" s="1"/>
  <c r="Y556" i="11" s="1"/>
  <c r="T555" i="11"/>
  <c r="W555" i="11" s="1"/>
  <c r="Y555" i="11" s="1"/>
  <c r="T554" i="11"/>
  <c r="V554" i="11" s="1"/>
  <c r="X554" i="11" s="1"/>
  <c r="T553" i="11"/>
  <c r="W553" i="11" s="1"/>
  <c r="Y553" i="11" s="1"/>
  <c r="T552" i="11"/>
  <c r="W552" i="11" s="1"/>
  <c r="Y552" i="11" s="1"/>
  <c r="T551" i="11"/>
  <c r="V551" i="11" s="1"/>
  <c r="X551" i="11" s="1"/>
  <c r="T550" i="11"/>
  <c r="W550" i="11" s="1"/>
  <c r="Y550" i="11" s="1"/>
  <c r="T549" i="11"/>
  <c r="W549" i="11" s="1"/>
  <c r="Y549" i="11" s="1"/>
  <c r="T548" i="11"/>
  <c r="W548" i="11" s="1"/>
  <c r="Y548" i="11" s="1"/>
  <c r="T547" i="11"/>
  <c r="W547" i="11" s="1"/>
  <c r="Y547" i="11" s="1"/>
  <c r="T546" i="11"/>
  <c r="V546" i="11" s="1"/>
  <c r="X546" i="11" s="1"/>
  <c r="T544" i="11"/>
  <c r="W544" i="11" s="1"/>
  <c r="Y544" i="11" s="1"/>
  <c r="T543" i="11"/>
  <c r="V543" i="11" s="1"/>
  <c r="X543" i="11" s="1"/>
  <c r="T542" i="11"/>
  <c r="W542" i="11" s="1"/>
  <c r="Y542" i="11" s="1"/>
  <c r="T541" i="11"/>
  <c r="W541" i="11" s="1"/>
  <c r="Y541" i="11" s="1"/>
  <c r="T540" i="11"/>
  <c r="V540" i="11" s="1"/>
  <c r="X540" i="11" s="1"/>
  <c r="T539" i="11"/>
  <c r="V539" i="11" s="1"/>
  <c r="X539" i="11" s="1"/>
  <c r="T538" i="11"/>
  <c r="W538" i="11" s="1"/>
  <c r="Y538" i="11" s="1"/>
  <c r="T537" i="11"/>
  <c r="V537" i="11" s="1"/>
  <c r="X537" i="11" s="1"/>
  <c r="T536" i="11"/>
  <c r="V536" i="11" s="1"/>
  <c r="X536" i="11" s="1"/>
  <c r="T535" i="11"/>
  <c r="V535" i="11" s="1"/>
  <c r="X535" i="11" s="1"/>
  <c r="T534" i="11"/>
  <c r="V534" i="11" s="1"/>
  <c r="X534" i="11" s="1"/>
  <c r="T533" i="11"/>
  <c r="W533" i="11" s="1"/>
  <c r="Y533" i="11" s="1"/>
  <c r="T532" i="11"/>
  <c r="W532" i="11" s="1"/>
  <c r="Y532" i="11" s="1"/>
  <c r="T531" i="11"/>
  <c r="W531" i="11" s="1"/>
  <c r="Y531" i="11" s="1"/>
  <c r="T530" i="11"/>
  <c r="W530" i="11" s="1"/>
  <c r="Y530" i="11" s="1"/>
  <c r="T529" i="11"/>
  <c r="W529" i="11" s="1"/>
  <c r="Y529" i="11" s="1"/>
  <c r="T527" i="11"/>
  <c r="V527" i="11" s="1"/>
  <c r="X527" i="11" s="1"/>
  <c r="T526" i="11"/>
  <c r="V526" i="11" s="1"/>
  <c r="X526" i="11" s="1"/>
  <c r="T525" i="11"/>
  <c r="W525" i="11" s="1"/>
  <c r="Y525" i="11" s="1"/>
  <c r="T524" i="11"/>
  <c r="W524" i="11" s="1"/>
  <c r="Y524" i="11" s="1"/>
  <c r="T523" i="11"/>
  <c r="W523" i="11" s="1"/>
  <c r="Y523" i="11" s="1"/>
  <c r="T522" i="11"/>
  <c r="W522" i="11" s="1"/>
  <c r="Y522" i="11" s="1"/>
  <c r="T521" i="11"/>
  <c r="W521" i="11" s="1"/>
  <c r="Y521" i="11" s="1"/>
  <c r="T520" i="11"/>
  <c r="V520" i="11" s="1"/>
  <c r="X520" i="11" s="1"/>
  <c r="T519" i="11"/>
  <c r="W519" i="11" s="1"/>
  <c r="Y519" i="11" s="1"/>
  <c r="T518" i="11"/>
  <c r="W518" i="11" s="1"/>
  <c r="Y518" i="11" s="1"/>
  <c r="T517" i="11"/>
  <c r="V517" i="11" s="1"/>
  <c r="X517" i="11" s="1"/>
  <c r="T516" i="11"/>
  <c r="W516" i="11" s="1"/>
  <c r="Y516" i="11" s="1"/>
  <c r="T515" i="11"/>
  <c r="V515" i="11" s="1"/>
  <c r="X515" i="11" s="1"/>
  <c r="T514" i="11"/>
  <c r="W514" i="11" s="1"/>
  <c r="Y514" i="11" s="1"/>
  <c r="T513" i="11"/>
  <c r="W513" i="11" s="1"/>
  <c r="Y513" i="11" s="1"/>
  <c r="T512" i="11"/>
  <c r="W512" i="11" s="1"/>
  <c r="Y512" i="11" s="1"/>
  <c r="T510" i="11"/>
  <c r="W510" i="11" s="1"/>
  <c r="Y510" i="11" s="1"/>
  <c r="T509" i="11"/>
  <c r="V509" i="11" s="1"/>
  <c r="X509" i="11" s="1"/>
  <c r="T508" i="11"/>
  <c r="W508" i="11" s="1"/>
  <c r="Y508" i="11" s="1"/>
  <c r="T507" i="11"/>
  <c r="W507" i="11" s="1"/>
  <c r="Y507" i="11" s="1"/>
  <c r="T506" i="11"/>
  <c r="V506" i="11" s="1"/>
  <c r="X506" i="11" s="1"/>
  <c r="T505" i="11"/>
  <c r="W505" i="11" s="1"/>
  <c r="Y505" i="11" s="1"/>
  <c r="T504" i="11"/>
  <c r="W504" i="11" s="1"/>
  <c r="Y504" i="11" s="1"/>
  <c r="T503" i="11"/>
  <c r="W503" i="11" s="1"/>
  <c r="Y503" i="11" s="1"/>
  <c r="T502" i="11"/>
  <c r="W502" i="11" s="1"/>
  <c r="Y502" i="11" s="1"/>
  <c r="T501" i="11"/>
  <c r="W501" i="11" s="1"/>
  <c r="Y501" i="11" s="1"/>
  <c r="T500" i="11"/>
  <c r="V500" i="11" s="1"/>
  <c r="X500" i="11" s="1"/>
  <c r="T499" i="11"/>
  <c r="V499" i="11" s="1"/>
  <c r="X499" i="11" s="1"/>
  <c r="T498" i="11"/>
  <c r="W498" i="11" s="1"/>
  <c r="Y498" i="11" s="1"/>
  <c r="T497" i="11"/>
  <c r="W497" i="11" s="1"/>
  <c r="Y497" i="11" s="1"/>
  <c r="T496" i="11"/>
  <c r="W496" i="11" s="1"/>
  <c r="Y496" i="11" s="1"/>
  <c r="T272" i="11"/>
  <c r="W272" i="11" s="1"/>
  <c r="Y272" i="11" s="1"/>
  <c r="T271" i="11"/>
  <c r="W271" i="11" s="1"/>
  <c r="Y271" i="11" s="1"/>
  <c r="T270" i="11"/>
  <c r="W270" i="11" s="1"/>
  <c r="Y270" i="11" s="1"/>
  <c r="T269" i="11"/>
  <c r="W269" i="11" s="1"/>
  <c r="Y269" i="11" s="1"/>
  <c r="T268" i="11"/>
  <c r="V268" i="11" s="1"/>
  <c r="X268" i="11" s="1"/>
  <c r="T267" i="11"/>
  <c r="V267" i="11" s="1"/>
  <c r="X267" i="11" s="1"/>
  <c r="T266" i="11"/>
  <c r="W266" i="11" s="1"/>
  <c r="Y266" i="11" s="1"/>
  <c r="T265" i="11"/>
  <c r="W265" i="11" s="1"/>
  <c r="Y265" i="11" s="1"/>
  <c r="T264" i="11"/>
  <c r="W264" i="11" s="1"/>
  <c r="Y264" i="11" s="1"/>
  <c r="T263" i="11"/>
  <c r="V263" i="11" s="1"/>
  <c r="X263" i="11" s="1"/>
  <c r="T262" i="11"/>
  <c r="V262" i="11" s="1"/>
  <c r="X262" i="11" s="1"/>
  <c r="T261" i="11"/>
  <c r="W261" i="11" s="1"/>
  <c r="Y261" i="11" s="1"/>
  <c r="T260" i="11"/>
  <c r="V260" i="11" s="1"/>
  <c r="X260" i="11" s="1"/>
  <c r="T259" i="11"/>
  <c r="V259" i="11" s="1"/>
  <c r="X259" i="11" s="1"/>
  <c r="T258" i="11"/>
  <c r="W258" i="11" s="1"/>
  <c r="Y258" i="11" s="1"/>
  <c r="T257" i="11"/>
  <c r="W257" i="11" s="1"/>
  <c r="Y257" i="11" s="1"/>
  <c r="T255" i="11"/>
  <c r="W255" i="11" s="1"/>
  <c r="Y255" i="11" s="1"/>
  <c r="T254" i="11"/>
  <c r="W254" i="11" s="1"/>
  <c r="Y254" i="11" s="1"/>
  <c r="T253" i="11"/>
  <c r="V253" i="11" s="1"/>
  <c r="X253" i="11" s="1"/>
  <c r="T252" i="11"/>
  <c r="W252" i="11" s="1"/>
  <c r="Y252" i="11" s="1"/>
  <c r="T251" i="11"/>
  <c r="W251" i="11" s="1"/>
  <c r="Y251" i="11" s="1"/>
  <c r="T250" i="11"/>
  <c r="W250" i="11" s="1"/>
  <c r="Y250" i="11" s="1"/>
  <c r="T249" i="11"/>
  <c r="W249" i="11" s="1"/>
  <c r="Y249" i="11" s="1"/>
  <c r="T248" i="11"/>
  <c r="W248" i="11" s="1"/>
  <c r="Y248" i="11" s="1"/>
  <c r="T247" i="11"/>
  <c r="W247" i="11" s="1"/>
  <c r="Y247" i="11" s="1"/>
  <c r="T246" i="11"/>
  <c r="V246" i="11" s="1"/>
  <c r="X246" i="11" s="1"/>
  <c r="T245" i="11"/>
  <c r="W245" i="11" s="1"/>
  <c r="Y245" i="11" s="1"/>
  <c r="T244" i="11"/>
  <c r="W244" i="11" s="1"/>
  <c r="Y244" i="11" s="1"/>
  <c r="T243" i="11"/>
  <c r="W243" i="11" s="1"/>
  <c r="Y243" i="11" s="1"/>
  <c r="T242" i="11"/>
  <c r="W242" i="11" s="1"/>
  <c r="Y242" i="11" s="1"/>
  <c r="T241" i="11"/>
  <c r="W241" i="11" s="1"/>
  <c r="Y241" i="11" s="1"/>
  <c r="T240" i="11"/>
  <c r="W240" i="11" s="1"/>
  <c r="Y240" i="11" s="1"/>
  <c r="T36" i="11"/>
  <c r="W36" i="11" s="1"/>
  <c r="Y36" i="11" s="1"/>
  <c r="T238" i="11"/>
  <c r="W238" i="11" s="1"/>
  <c r="Y238" i="11" s="1"/>
  <c r="T237" i="11"/>
  <c r="V237" i="11" s="1"/>
  <c r="X237" i="11" s="1"/>
  <c r="T236" i="11"/>
  <c r="W236" i="11" s="1"/>
  <c r="Y236" i="11" s="1"/>
  <c r="T235" i="11"/>
  <c r="W235" i="11" s="1"/>
  <c r="Y235" i="11" s="1"/>
  <c r="T234" i="11"/>
  <c r="W234" i="11" s="1"/>
  <c r="Y234" i="11" s="1"/>
  <c r="W820" i="11"/>
  <c r="Y820" i="11" s="1"/>
  <c r="T741" i="11"/>
  <c r="V741" i="11" s="1"/>
  <c r="X741" i="11" s="1"/>
  <c r="T724" i="11"/>
  <c r="W724" i="11" s="1"/>
  <c r="Y724" i="11" s="1"/>
  <c r="T773" i="11"/>
  <c r="W773" i="11" s="1"/>
  <c r="Y773" i="11" s="1"/>
  <c r="T767" i="11"/>
  <c r="V767" i="11" s="1"/>
  <c r="X767" i="11" s="1"/>
  <c r="T795" i="11"/>
  <c r="T233" i="11"/>
  <c r="T232" i="11"/>
  <c r="T231" i="11"/>
  <c r="T230" i="11"/>
  <c r="T229" i="11"/>
  <c r="T228" i="11"/>
  <c r="T227" i="11"/>
  <c r="T226" i="11"/>
  <c r="T225" i="11"/>
  <c r="T224" i="11"/>
  <c r="T223" i="11"/>
  <c r="T221" i="11"/>
  <c r="T220" i="11"/>
  <c r="T219" i="11"/>
  <c r="T218" i="11"/>
  <c r="T217" i="11"/>
  <c r="T216" i="11"/>
  <c r="T215" i="11"/>
  <c r="T214" i="11"/>
  <c r="T213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V680" i="11"/>
  <c r="X680" i="11" s="1"/>
  <c r="T754" i="11"/>
  <c r="W754" i="11" s="1"/>
  <c r="Y754" i="11" s="1"/>
  <c r="W863" i="11"/>
  <c r="Y863" i="11" s="1"/>
  <c r="V796" i="11"/>
  <c r="X796" i="11" s="1"/>
  <c r="T775" i="11"/>
  <c r="W775" i="11" s="1"/>
  <c r="Y775" i="11" s="1"/>
  <c r="T758" i="11"/>
  <c r="V758" i="11" s="1"/>
  <c r="X758" i="11" s="1"/>
  <c r="T757" i="11"/>
  <c r="V757" i="11" s="1"/>
  <c r="X757" i="11" s="1"/>
  <c r="T774" i="11"/>
  <c r="W774" i="11" s="1"/>
  <c r="Y774" i="11" s="1"/>
  <c r="T738" i="11"/>
  <c r="V738" i="11" s="1"/>
  <c r="X738" i="11" s="1"/>
  <c r="T737" i="11"/>
  <c r="V737" i="11" s="1"/>
  <c r="X737" i="11" s="1"/>
  <c r="T736" i="11"/>
  <c r="W736" i="11" s="1"/>
  <c r="Y736" i="11" s="1"/>
  <c r="T735" i="11"/>
  <c r="V735" i="11" s="1"/>
  <c r="X735" i="11" s="1"/>
  <c r="T734" i="11"/>
  <c r="W734" i="11" s="1"/>
  <c r="Y734" i="11" s="1"/>
  <c r="T733" i="11"/>
  <c r="V733" i="11" s="1"/>
  <c r="X733" i="11" s="1"/>
  <c r="T739" i="11"/>
  <c r="W739" i="11" s="1"/>
  <c r="Y739" i="11" s="1"/>
  <c r="T740" i="11"/>
  <c r="W740" i="11" s="1"/>
  <c r="Y740" i="11" s="1"/>
  <c r="T723" i="11"/>
  <c r="V723" i="11" s="1"/>
  <c r="X723" i="11" s="1"/>
  <c r="D30" i="7"/>
  <c r="D29" i="7"/>
  <c r="C24" i="7"/>
  <c r="D23" i="7"/>
  <c r="D3" i="7"/>
  <c r="D2" i="7"/>
  <c r="V827" i="11" l="1"/>
  <c r="X827" i="11" s="1"/>
  <c r="W750" i="11"/>
  <c r="Y750" i="11" s="1"/>
  <c r="W607" i="11"/>
  <c r="Y607" i="11" s="1"/>
  <c r="V601" i="11"/>
  <c r="X601" i="11" s="1"/>
  <c r="V839" i="11"/>
  <c r="X839" i="11" s="1"/>
  <c r="V696" i="11"/>
  <c r="X696" i="11" s="1"/>
  <c r="V531" i="11"/>
  <c r="X531" i="11" s="1"/>
  <c r="W691" i="11"/>
  <c r="Y691" i="11" s="1"/>
  <c r="V666" i="11"/>
  <c r="X666" i="11" s="1"/>
  <c r="W832" i="11"/>
  <c r="Y832" i="11" s="1"/>
  <c r="V726" i="11"/>
  <c r="X726" i="11" s="1"/>
  <c r="W634" i="11"/>
  <c r="Y634" i="11" s="1"/>
  <c r="W695" i="11"/>
  <c r="Y695" i="11" s="1"/>
  <c r="W778" i="11"/>
  <c r="Y778" i="11" s="1"/>
  <c r="V764" i="11"/>
  <c r="X764" i="11" s="1"/>
  <c r="V747" i="11"/>
  <c r="X747" i="11" s="1"/>
  <c r="V714" i="11"/>
  <c r="X714" i="11" s="1"/>
  <c r="W590" i="11"/>
  <c r="Y590" i="11" s="1"/>
  <c r="W779" i="11"/>
  <c r="Y779" i="11" s="1"/>
  <c r="W573" i="11"/>
  <c r="Y573" i="11" s="1"/>
  <c r="W831" i="11"/>
  <c r="Y831" i="11" s="1"/>
  <c r="W705" i="11"/>
  <c r="Y705" i="11" s="1"/>
  <c r="V658" i="11"/>
  <c r="X658" i="11" s="1"/>
  <c r="W768" i="11"/>
  <c r="Y768" i="11" s="1"/>
  <c r="W656" i="11"/>
  <c r="Y656" i="11" s="1"/>
  <c r="W856" i="11"/>
  <c r="Y856" i="11" s="1"/>
  <c r="W805" i="11"/>
  <c r="Y805" i="11" s="1"/>
  <c r="W599" i="11"/>
  <c r="Y599" i="11" s="1"/>
  <c r="V857" i="11"/>
  <c r="X857" i="11" s="1"/>
  <c r="V742" i="11"/>
  <c r="X742" i="11" s="1"/>
  <c r="W609" i="11"/>
  <c r="Y609" i="11" s="1"/>
  <c r="W636" i="11"/>
  <c r="Y636" i="11" s="1"/>
  <c r="V847" i="11"/>
  <c r="X847" i="11" s="1"/>
  <c r="W807" i="11"/>
  <c r="Y807" i="11" s="1"/>
  <c r="V582" i="11"/>
  <c r="X582" i="11" s="1"/>
  <c r="W772" i="11"/>
  <c r="Y772" i="11" s="1"/>
  <c r="V514" i="11"/>
  <c r="X514" i="11" s="1"/>
  <c r="V548" i="11"/>
  <c r="X548" i="11" s="1"/>
  <c r="W670" i="11"/>
  <c r="Y670" i="11" s="1"/>
  <c r="V631" i="11"/>
  <c r="X631" i="11" s="1"/>
  <c r="W639" i="11"/>
  <c r="Y639" i="11" s="1"/>
  <c r="W704" i="11"/>
  <c r="Y704" i="11" s="1"/>
  <c r="W782" i="11"/>
  <c r="Y782" i="11" s="1"/>
  <c r="W790" i="11"/>
  <c r="Y790" i="11" s="1"/>
  <c r="W597" i="11"/>
  <c r="Y597" i="11" s="1"/>
  <c r="V709" i="11"/>
  <c r="X709" i="11" s="1"/>
  <c r="V633" i="11"/>
  <c r="X633" i="11" s="1"/>
  <c r="V521" i="11"/>
  <c r="X521" i="11" s="1"/>
  <c r="V802" i="11"/>
  <c r="X802" i="11" s="1"/>
  <c r="V564" i="11"/>
  <c r="X564" i="11" s="1"/>
  <c r="V677" i="11"/>
  <c r="X677" i="11" s="1"/>
  <c r="W606" i="11"/>
  <c r="Y606" i="11" s="1"/>
  <c r="W688" i="11"/>
  <c r="Y688" i="11" s="1"/>
  <c r="V496" i="11"/>
  <c r="X496" i="11" s="1"/>
  <c r="V563" i="11"/>
  <c r="X563" i="11" s="1"/>
  <c r="V588" i="11"/>
  <c r="X588" i="11" s="1"/>
  <c r="V865" i="11"/>
  <c r="X865" i="11" s="1"/>
  <c r="W515" i="11"/>
  <c r="Y515" i="11" s="1"/>
  <c r="W520" i="11"/>
  <c r="Y520" i="11" s="1"/>
  <c r="W537" i="11"/>
  <c r="Y537" i="11" s="1"/>
  <c r="V825" i="11"/>
  <c r="X825" i="11" s="1"/>
  <c r="W706" i="11"/>
  <c r="Y706" i="11" s="1"/>
  <c r="W769" i="11"/>
  <c r="Y769" i="11" s="1"/>
  <c r="W663" i="11"/>
  <c r="Y663" i="11" s="1"/>
  <c r="W653" i="11"/>
  <c r="Y653" i="11" s="1"/>
  <c r="W674" i="11"/>
  <c r="Y674" i="11" s="1"/>
  <c r="V814" i="11"/>
  <c r="X814" i="11" s="1"/>
  <c r="V627" i="11"/>
  <c r="X627" i="11" s="1"/>
  <c r="V826" i="11"/>
  <c r="X826" i="11" s="1"/>
  <c r="V571" i="11"/>
  <c r="X571" i="11" s="1"/>
  <c r="W850" i="11"/>
  <c r="Y850" i="11" s="1"/>
  <c r="V801" i="11"/>
  <c r="X801" i="11" s="1"/>
  <c r="V667" i="11"/>
  <c r="X667" i="11" s="1"/>
  <c r="V530" i="11"/>
  <c r="X530" i="11" s="1"/>
  <c r="V581" i="11"/>
  <c r="X581" i="11" s="1"/>
  <c r="V866" i="11"/>
  <c r="X866" i="11" s="1"/>
  <c r="W843" i="11"/>
  <c r="Y843" i="11" s="1"/>
  <c r="W711" i="11"/>
  <c r="Y711" i="11" s="1"/>
  <c r="V240" i="11"/>
  <c r="X240" i="11" s="1"/>
  <c r="V846" i="11"/>
  <c r="X846" i="11" s="1"/>
  <c r="V589" i="11"/>
  <c r="X589" i="11" s="1"/>
  <c r="W598" i="11"/>
  <c r="Y598" i="11" s="1"/>
  <c r="V793" i="11"/>
  <c r="X793" i="11" s="1"/>
  <c r="V797" i="11"/>
  <c r="X797" i="11" s="1"/>
  <c r="V719" i="11"/>
  <c r="X719" i="11" s="1"/>
  <c r="V650" i="11"/>
  <c r="X650" i="11" s="1"/>
  <c r="V265" i="11"/>
  <c r="X265" i="11" s="1"/>
  <c r="V266" i="11"/>
  <c r="X266" i="11" s="1"/>
  <c r="V755" i="11"/>
  <c r="X755" i="11" s="1"/>
  <c r="V727" i="11"/>
  <c r="X727" i="11" s="1"/>
  <c r="V743" i="11"/>
  <c r="X743" i="11" s="1"/>
  <c r="W840" i="11"/>
  <c r="Y840" i="11" s="1"/>
  <c r="V798" i="11"/>
  <c r="X798" i="11" s="1"/>
  <c r="W849" i="11"/>
  <c r="Y849" i="11" s="1"/>
  <c r="V761" i="11"/>
  <c r="X761" i="11" s="1"/>
  <c r="W671" i="11"/>
  <c r="Y671" i="11" s="1"/>
  <c r="V654" i="11"/>
  <c r="X654" i="11" s="1"/>
  <c r="V770" i="11"/>
  <c r="X770" i="11" s="1"/>
  <c r="W580" i="11"/>
  <c r="Y580" i="11" s="1"/>
  <c r="V689" i="11"/>
  <c r="X689" i="11" s="1"/>
  <c r="V248" i="11"/>
  <c r="X248" i="11" s="1"/>
  <c r="V503" i="11"/>
  <c r="X503" i="11" s="1"/>
  <c r="V529" i="11"/>
  <c r="X529" i="11" s="1"/>
  <c r="W546" i="11"/>
  <c r="Y546" i="11" s="1"/>
  <c r="V605" i="11"/>
  <c r="X605" i="11" s="1"/>
  <c r="V717" i="11"/>
  <c r="X717" i="11" s="1"/>
  <c r="V629" i="11"/>
  <c r="X629" i="11" s="1"/>
  <c r="V512" i="11"/>
  <c r="X512" i="11" s="1"/>
  <c r="W822" i="11"/>
  <c r="Y822" i="11" s="1"/>
  <c r="V722" i="11"/>
  <c r="X722" i="11" s="1"/>
  <c r="V638" i="11"/>
  <c r="X638" i="11" s="1"/>
  <c r="V763" i="11"/>
  <c r="X763" i="11" s="1"/>
  <c r="W848" i="11"/>
  <c r="Y848" i="11" s="1"/>
  <c r="V615" i="11"/>
  <c r="X615" i="11" s="1"/>
  <c r="V700" i="11"/>
  <c r="X700" i="11" s="1"/>
  <c r="V824" i="11"/>
  <c r="X824" i="11" s="1"/>
  <c r="V257" i="11"/>
  <c r="X257" i="11" s="1"/>
  <c r="W587" i="11"/>
  <c r="Y587" i="11" s="1"/>
  <c r="W554" i="11"/>
  <c r="Y554" i="11" s="1"/>
  <c r="W616" i="11"/>
  <c r="Y616" i="11" s="1"/>
  <c r="V686" i="11"/>
  <c r="X686" i="11" s="1"/>
  <c r="W685" i="11"/>
  <c r="Y685" i="11" s="1"/>
  <c r="V249" i="11"/>
  <c r="X249" i="11" s="1"/>
  <c r="V720" i="11"/>
  <c r="X720" i="11" s="1"/>
  <c r="V504" i="11"/>
  <c r="X504" i="11" s="1"/>
  <c r="V547" i="11"/>
  <c r="X547" i="11" s="1"/>
  <c r="V816" i="11"/>
  <c r="X816" i="11" s="1"/>
  <c r="V854" i="11"/>
  <c r="X854" i="11" s="1"/>
  <c r="V572" i="11"/>
  <c r="X572" i="11" s="1"/>
  <c r="V829" i="11"/>
  <c r="X829" i="11" s="1"/>
  <c r="V804" i="11"/>
  <c r="X804" i="11" s="1"/>
  <c r="V662" i="11"/>
  <c r="X662" i="11" s="1"/>
  <c r="V828" i="11"/>
  <c r="X828" i="11" s="1"/>
  <c r="W623" i="11"/>
  <c r="Y623" i="11" s="1"/>
  <c r="AA617" i="11" s="1" a="1"/>
  <c r="AA617" i="11" s="1"/>
  <c r="V241" i="11"/>
  <c r="X241" i="11" s="1"/>
  <c r="V258" i="11"/>
  <c r="X258" i="11" s="1"/>
  <c r="V745" i="11"/>
  <c r="X745" i="11" s="1"/>
  <c r="V730" i="11"/>
  <c r="X730" i="11" s="1"/>
  <c r="V776" i="11"/>
  <c r="X776" i="11" s="1"/>
  <c r="V641" i="11"/>
  <c r="X641" i="11" s="1"/>
  <c r="V513" i="11"/>
  <c r="X513" i="11" s="1"/>
  <c r="V538" i="11"/>
  <c r="X538" i="11" s="1"/>
  <c r="V555" i="11"/>
  <c r="X555" i="11" s="1"/>
  <c r="V692" i="11"/>
  <c r="X692" i="11" s="1"/>
  <c r="W853" i="11"/>
  <c r="Y853" i="11" s="1"/>
  <c r="V617" i="11"/>
  <c r="X617" i="11" s="1"/>
  <c r="W791" i="11"/>
  <c r="Y791" i="11" s="1"/>
  <c r="V792" i="11"/>
  <c r="X792" i="11" s="1"/>
  <c r="W259" i="11"/>
  <c r="Y259" i="11" s="1"/>
  <c r="V844" i="11"/>
  <c r="X844" i="11" s="1"/>
  <c r="W646" i="11"/>
  <c r="Y646" i="11" s="1"/>
  <c r="W595" i="11"/>
  <c r="Y595" i="11" s="1"/>
  <c r="W267" i="11"/>
  <c r="Y267" i="11" s="1"/>
  <c r="V242" i="11"/>
  <c r="X242" i="11" s="1"/>
  <c r="V561" i="11"/>
  <c r="X561" i="11" s="1"/>
  <c r="W668" i="11"/>
  <c r="Y668" i="11" s="1"/>
  <c r="V860" i="11"/>
  <c r="X860" i="11" s="1"/>
  <c r="V614" i="11"/>
  <c r="X614" i="11" s="1"/>
  <c r="W678" i="11"/>
  <c r="Y678" i="11" s="1"/>
  <c r="W621" i="11"/>
  <c r="Y621" i="11" s="1"/>
  <c r="V762" i="11"/>
  <c r="X762" i="11" s="1"/>
  <c r="V693" i="11"/>
  <c r="X693" i="11" s="1"/>
  <c r="V710" i="11"/>
  <c r="X710" i="11" s="1"/>
  <c r="V819" i="11"/>
  <c r="X819" i="11" s="1"/>
  <c r="V760" i="11"/>
  <c r="X760" i="11" s="1"/>
  <c r="W586" i="11"/>
  <c r="Y586" i="11" s="1"/>
  <c r="V784" i="11"/>
  <c r="X784" i="11" s="1"/>
  <c r="W741" i="11"/>
  <c r="Y741" i="11" s="1"/>
  <c r="V254" i="11"/>
  <c r="X254" i="11" s="1"/>
  <c r="V272" i="11"/>
  <c r="X272" i="11" s="1"/>
  <c r="V510" i="11"/>
  <c r="X510" i="11" s="1"/>
  <c r="V635" i="11"/>
  <c r="X635" i="11" s="1"/>
  <c r="W837" i="11"/>
  <c r="Y837" i="11" s="1"/>
  <c r="W713" i="11"/>
  <c r="Y713" i="11" s="1"/>
  <c r="V660" i="11"/>
  <c r="X660" i="11" s="1"/>
  <c r="W794" i="11"/>
  <c r="Y794" i="11" s="1"/>
  <c r="W787" i="11"/>
  <c r="Y787" i="11" s="1"/>
  <c r="V570" i="11"/>
  <c r="X570" i="11" s="1"/>
  <c r="W731" i="11"/>
  <c r="Y731" i="11" s="1"/>
  <c r="V502" i="11"/>
  <c r="X502" i="11" s="1"/>
  <c r="W527" i="11"/>
  <c r="Y527" i="11" s="1"/>
  <c r="W536" i="11"/>
  <c r="Y536" i="11" s="1"/>
  <c r="W578" i="11"/>
  <c r="Y578" i="11" s="1"/>
  <c r="W864" i="11"/>
  <c r="Y864" i="11" s="1"/>
  <c r="W765" i="11"/>
  <c r="Y765" i="11" s="1"/>
  <c r="V519" i="11"/>
  <c r="X519" i="11" s="1"/>
  <c r="V721" i="11"/>
  <c r="X721" i="11" s="1"/>
  <c r="V672" i="11"/>
  <c r="X672" i="11" s="1"/>
  <c r="V247" i="11"/>
  <c r="X247" i="11" s="1"/>
  <c r="V255" i="11"/>
  <c r="X255" i="11" s="1"/>
  <c r="V264" i="11"/>
  <c r="X264" i="11" s="1"/>
  <c r="V624" i="11"/>
  <c r="X624" i="11" s="1"/>
  <c r="V682" i="11"/>
  <c r="X682" i="11" s="1"/>
  <c r="V566" i="11"/>
  <c r="X566" i="11" s="1"/>
  <c r="V626" i="11"/>
  <c r="X626" i="11" s="1"/>
  <c r="W659" i="11"/>
  <c r="Y659" i="11" s="1"/>
  <c r="V751" i="11"/>
  <c r="X751" i="11" s="1"/>
  <c r="W813" i="11"/>
  <c r="Y813" i="11" s="1"/>
  <c r="V867" i="11"/>
  <c r="X867" i="11" s="1"/>
  <c r="V861" i="11"/>
  <c r="X861" i="11" s="1"/>
  <c r="W669" i="11"/>
  <c r="Y669" i="11" s="1"/>
  <c r="W574" i="11"/>
  <c r="Y574" i="11" s="1"/>
  <c r="W697" i="11"/>
  <c r="Y697" i="11" s="1"/>
  <c r="V553" i="11"/>
  <c r="X553" i="11" s="1"/>
  <c r="V753" i="11"/>
  <c r="X753" i="11" s="1"/>
  <c r="W640" i="11"/>
  <c r="Y640" i="11" s="1"/>
  <c r="V684" i="11"/>
  <c r="X684" i="11" s="1"/>
  <c r="W604" i="11"/>
  <c r="Y604" i="11" s="1"/>
  <c r="V544" i="11"/>
  <c r="X544" i="11" s="1"/>
  <c r="V661" i="11"/>
  <c r="X661" i="11" s="1"/>
  <c r="W811" i="11"/>
  <c r="Y811" i="11" s="1"/>
  <c r="W651" i="11"/>
  <c r="Y651" i="11" s="1"/>
  <c r="V36" i="11"/>
  <c r="X36" i="11" s="1"/>
  <c r="V694" i="11"/>
  <c r="X694" i="11" s="1"/>
  <c r="W600" i="11"/>
  <c r="Y600" i="11" s="1"/>
  <c r="W771" i="11"/>
  <c r="Y771" i="11" s="1"/>
  <c r="V718" i="11"/>
  <c r="X718" i="11" s="1"/>
  <c r="V523" i="11"/>
  <c r="X523" i="11" s="1"/>
  <c r="W823" i="11"/>
  <c r="Y823" i="11" s="1"/>
  <c r="V583" i="11"/>
  <c r="X583" i="11" s="1"/>
  <c r="W859" i="11"/>
  <c r="Y859" i="11" s="1"/>
  <c r="V835" i="11"/>
  <c r="X835" i="11" s="1"/>
  <c r="V532" i="11"/>
  <c r="X532" i="11" s="1"/>
  <c r="V549" i="11"/>
  <c r="X549" i="11" s="1"/>
  <c r="W557" i="11"/>
  <c r="Y557" i="11" s="1"/>
  <c r="V622" i="11"/>
  <c r="X622" i="11" s="1"/>
  <c r="W268" i="11"/>
  <c r="Y268" i="11" s="1"/>
  <c r="V836" i="11"/>
  <c r="X836" i="11" s="1"/>
  <c r="W862" i="11"/>
  <c r="Y862" i="11" s="1"/>
  <c r="V852" i="11"/>
  <c r="X852" i="11" s="1"/>
  <c r="W673" i="11"/>
  <c r="Y673" i="11" s="1"/>
  <c r="V648" i="11"/>
  <c r="X648" i="11" s="1"/>
  <c r="V744" i="11"/>
  <c r="X744" i="11" s="1"/>
  <c r="V234" i="11"/>
  <c r="X234" i="11" s="1"/>
  <c r="V271" i="11"/>
  <c r="X271" i="11" s="1"/>
  <c r="V497" i="11"/>
  <c r="X497" i="11" s="1"/>
  <c r="V649" i="11"/>
  <c r="X649" i="11" s="1"/>
  <c r="V699" i="11"/>
  <c r="X699" i="11" s="1"/>
  <c r="W781" i="11"/>
  <c r="Y781" i="11" s="1"/>
  <c r="W620" i="11"/>
  <c r="Y620" i="11" s="1"/>
  <c r="W808" i="11"/>
  <c r="Y808" i="11" s="1"/>
  <c r="V610" i="11"/>
  <c r="X610" i="11" s="1"/>
  <c r="V235" i="11"/>
  <c r="X235" i="11" s="1"/>
  <c r="V243" i="11"/>
  <c r="X243" i="11" s="1"/>
  <c r="V251" i="11"/>
  <c r="X251" i="11" s="1"/>
  <c r="W645" i="11"/>
  <c r="Y645" i="11" s="1"/>
  <c r="V799" i="11"/>
  <c r="X799" i="11" s="1"/>
  <c r="W729" i="11"/>
  <c r="Y729" i="11" s="1"/>
  <c r="W809" i="11"/>
  <c r="Y809" i="11" s="1"/>
  <c r="V591" i="11"/>
  <c r="X591" i="11" s="1"/>
  <c r="V810" i="11"/>
  <c r="X810" i="11" s="1"/>
  <c r="V498" i="11"/>
  <c r="X498" i="11" s="1"/>
  <c r="W506" i="11"/>
  <c r="Y506" i="11" s="1"/>
  <c r="W708" i="11"/>
  <c r="Y708" i="11" s="1"/>
  <c r="V637" i="11"/>
  <c r="X637" i="11" s="1"/>
  <c r="W260" i="11"/>
  <c r="Y260" i="11" s="1"/>
  <c r="W540" i="11"/>
  <c r="Y540" i="11" s="1"/>
  <c r="V703" i="11"/>
  <c r="X703" i="11" s="1"/>
  <c r="V560" i="11"/>
  <c r="X560" i="11" s="1"/>
  <c r="V603" i="11"/>
  <c r="X603" i="11" s="1"/>
  <c r="W263" i="11"/>
  <c r="Y263" i="11" s="1"/>
  <c r="V238" i="11"/>
  <c r="X238" i="11" s="1"/>
  <c r="W728" i="11"/>
  <c r="Y728" i="11" s="1"/>
  <c r="W543" i="11"/>
  <c r="Y543" i="11" s="1"/>
  <c r="W509" i="11"/>
  <c r="Y509" i="11" s="1"/>
  <c r="W526" i="11"/>
  <c r="Y526" i="11" s="1"/>
  <c r="V724" i="11"/>
  <c r="X724" i="11" s="1"/>
  <c r="W752" i="11"/>
  <c r="Y752" i="11" s="1"/>
  <c r="V683" i="11"/>
  <c r="X683" i="11" s="1"/>
  <c r="V505" i="11"/>
  <c r="X505" i="11" s="1"/>
  <c r="W539" i="11"/>
  <c r="Y539" i="11" s="1"/>
  <c r="V565" i="11"/>
  <c r="X565" i="11" s="1"/>
  <c r="V632" i="11"/>
  <c r="X632" i="11" s="1"/>
  <c r="V501" i="11"/>
  <c r="X501" i="11" s="1"/>
  <c r="W535" i="11"/>
  <c r="Y535" i="11" s="1"/>
  <c r="W569" i="11"/>
  <c r="Y569" i="11" s="1"/>
  <c r="V594" i="11"/>
  <c r="X594" i="11" s="1"/>
  <c r="V657" i="11"/>
  <c r="X657" i="11" s="1"/>
  <c r="W246" i="11"/>
  <c r="Y246" i="11" s="1"/>
  <c r="AA242" i="11" s="1" a="1"/>
  <c r="AA242" i="11" s="1"/>
  <c r="V250" i="11"/>
  <c r="X250" i="11" s="1"/>
  <c r="V261" i="11"/>
  <c r="X261" i="11" s="1"/>
  <c r="W821" i="11"/>
  <c r="Y821" i="11" s="1"/>
  <c r="V845" i="11"/>
  <c r="X845" i="11" s="1"/>
  <c r="V833" i="11"/>
  <c r="X833" i="11" s="1"/>
  <c r="V522" i="11"/>
  <c r="X522" i="11" s="1"/>
  <c r="V556" i="11"/>
  <c r="X556" i="11" s="1"/>
  <c r="V518" i="11"/>
  <c r="X518" i="11" s="1"/>
  <c r="V552" i="11"/>
  <c r="X552" i="11" s="1"/>
  <c r="V577" i="11"/>
  <c r="X577" i="11" s="1"/>
  <c r="V830" i="11"/>
  <c r="X830" i="11" s="1"/>
  <c r="W517" i="11"/>
  <c r="Y517" i="11" s="1"/>
  <c r="W788" i="11"/>
  <c r="Y788" i="11" s="1"/>
  <c r="W842" i="11"/>
  <c r="Y842" i="11" s="1"/>
  <c r="V756" i="11"/>
  <c r="X756" i="11" s="1"/>
  <c r="V245" i="11"/>
  <c r="X245" i="11" s="1"/>
  <c r="V690" i="11"/>
  <c r="X690" i="11" s="1"/>
  <c r="W551" i="11"/>
  <c r="Y551" i="11" s="1"/>
  <c r="W644" i="11"/>
  <c r="Y644" i="11" s="1"/>
  <c r="V655" i="11"/>
  <c r="X655" i="11" s="1"/>
  <c r="W500" i="11"/>
  <c r="Y500" i="11" s="1"/>
  <c r="W707" i="11"/>
  <c r="Y707" i="11" s="1"/>
  <c r="W576" i="11"/>
  <c r="Y576" i="11" s="1"/>
  <c r="W675" i="11"/>
  <c r="Y675" i="11" s="1"/>
  <c r="W262" i="11"/>
  <c r="Y262" i="11" s="1"/>
  <c r="W534" i="11"/>
  <c r="Y534" i="11" s="1"/>
  <c r="V612" i="11"/>
  <c r="X612" i="11" s="1"/>
  <c r="V701" i="11"/>
  <c r="X701" i="11" s="1"/>
  <c r="V858" i="11"/>
  <c r="X858" i="11" s="1"/>
  <c r="V270" i="11"/>
  <c r="X270" i="11" s="1"/>
  <c r="V619" i="11"/>
  <c r="X619" i="11" s="1"/>
  <c r="W818" i="11"/>
  <c r="Y818" i="11" s="1"/>
  <c r="V628" i="11"/>
  <c r="X628" i="11" s="1"/>
  <c r="V665" i="11"/>
  <c r="X665" i="11" s="1"/>
  <c r="W237" i="11"/>
  <c r="Y237" i="11" s="1"/>
  <c r="W806" i="11"/>
  <c r="Y806" i="11" s="1"/>
  <c r="V789" i="11"/>
  <c r="X789" i="11" s="1"/>
  <c r="V508" i="11"/>
  <c r="X508" i="11" s="1"/>
  <c r="V525" i="11"/>
  <c r="X525" i="11" s="1"/>
  <c r="V542" i="11"/>
  <c r="X542" i="11" s="1"/>
  <c r="V559" i="11"/>
  <c r="X559" i="11" s="1"/>
  <c r="V759" i="11"/>
  <c r="X759" i="11" s="1"/>
  <c r="V679" i="11"/>
  <c r="X679" i="11" s="1"/>
  <c r="W585" i="11"/>
  <c r="Y585" i="11" s="1"/>
  <c r="V643" i="11"/>
  <c r="X643" i="11" s="1"/>
  <c r="V780" i="11"/>
  <c r="X780" i="11" s="1"/>
  <c r="V815" i="11"/>
  <c r="X815" i="11" s="1"/>
  <c r="W716" i="11"/>
  <c r="Y716" i="11" s="1"/>
  <c r="V725" i="11"/>
  <c r="X725" i="11" s="1"/>
  <c r="V841" i="11"/>
  <c r="X841" i="11" s="1"/>
  <c r="W253" i="11"/>
  <c r="Y253" i="11" s="1"/>
  <c r="V593" i="11"/>
  <c r="X593" i="11" s="1"/>
  <c r="V568" i="11"/>
  <c r="X568" i="11" s="1"/>
  <c r="V602" i="11"/>
  <c r="X602" i="11" s="1"/>
  <c r="V618" i="11"/>
  <c r="X618" i="11" s="1"/>
  <c r="V748" i="11"/>
  <c r="X748" i="11" s="1"/>
  <c r="W738" i="11"/>
  <c r="Y738" i="11" s="1"/>
  <c r="V773" i="11"/>
  <c r="X773" i="11" s="1"/>
  <c r="V625" i="11"/>
  <c r="X625" i="11" s="1"/>
  <c r="W592" i="11"/>
  <c r="Y592" i="11" s="1"/>
  <c r="V567" i="11"/>
  <c r="X567" i="11" s="1"/>
  <c r="W767" i="11"/>
  <c r="Y767" i="11" s="1"/>
  <c r="V754" i="11"/>
  <c r="X754" i="11" s="1"/>
  <c r="V507" i="11"/>
  <c r="X507" i="11" s="1"/>
  <c r="W733" i="11"/>
  <c r="Y733" i="11" s="1"/>
  <c r="V541" i="11"/>
  <c r="X541" i="11" s="1"/>
  <c r="V244" i="11"/>
  <c r="X244" i="11" s="1"/>
  <c r="V252" i="11"/>
  <c r="X252" i="11" s="1"/>
  <c r="V736" i="11"/>
  <c r="X736" i="11" s="1"/>
  <c r="V855" i="11"/>
  <c r="X855" i="11" s="1"/>
  <c r="W499" i="11"/>
  <c r="Y499" i="11" s="1"/>
  <c r="V533" i="11"/>
  <c r="X533" i="11" s="1"/>
  <c r="V611" i="11"/>
  <c r="X611" i="11" s="1"/>
  <c r="V584" i="11"/>
  <c r="X584" i="11" s="1"/>
  <c r="V575" i="11"/>
  <c r="X575" i="11" s="1"/>
  <c r="W746" i="11"/>
  <c r="Y746" i="11" s="1"/>
  <c r="V236" i="11"/>
  <c r="X236" i="11" s="1"/>
  <c r="V812" i="11"/>
  <c r="X812" i="11" s="1"/>
  <c r="V524" i="11"/>
  <c r="X524" i="11" s="1"/>
  <c r="V558" i="11"/>
  <c r="X558" i="11" s="1"/>
  <c r="V786" i="11"/>
  <c r="X786" i="11" s="1"/>
  <c r="W676" i="11"/>
  <c r="Y676" i="11" s="1"/>
  <c r="V702" i="11"/>
  <c r="X702" i="11" s="1"/>
  <c r="V652" i="11"/>
  <c r="X652" i="11" s="1"/>
  <c r="V642" i="11"/>
  <c r="X642" i="11" s="1"/>
  <c r="V785" i="11"/>
  <c r="X785" i="11" s="1"/>
  <c r="W712" i="11"/>
  <c r="Y712" i="11" s="1"/>
  <c r="V269" i="11"/>
  <c r="X269" i="11" s="1"/>
  <c r="V838" i="11"/>
  <c r="X838" i="11" s="1"/>
  <c r="V516" i="11"/>
  <c r="X516" i="11" s="1"/>
  <c r="V550" i="11"/>
  <c r="X550" i="11" s="1"/>
  <c r="V687" i="11"/>
  <c r="X687" i="11" s="1"/>
  <c r="V608" i="11"/>
  <c r="X608" i="11" s="1"/>
  <c r="V803" i="11"/>
  <c r="X803" i="11" s="1"/>
  <c r="V777" i="11"/>
  <c r="X777" i="11" s="1"/>
  <c r="W758" i="11"/>
  <c r="Y758" i="11" s="1"/>
  <c r="V38" i="11"/>
  <c r="X38" i="11" s="1"/>
  <c r="W38" i="11"/>
  <c r="Y38" i="11" s="1"/>
  <c r="V46" i="11"/>
  <c r="X46" i="11" s="1"/>
  <c r="W46" i="11"/>
  <c r="Y46" i="11" s="1"/>
  <c r="W72" i="11"/>
  <c r="Y72" i="11" s="1"/>
  <c r="V72" i="11"/>
  <c r="X72" i="11" s="1"/>
  <c r="W80" i="11"/>
  <c r="Y80" i="11" s="1"/>
  <c r="V80" i="11"/>
  <c r="X80" i="11" s="1"/>
  <c r="W216" i="11"/>
  <c r="Y216" i="11" s="1"/>
  <c r="V216" i="11"/>
  <c r="X216" i="11" s="1"/>
  <c r="W225" i="11"/>
  <c r="Y225" i="11" s="1"/>
  <c r="V225" i="11"/>
  <c r="X225" i="11" s="1"/>
  <c r="V233" i="11"/>
  <c r="X233" i="11" s="1"/>
  <c r="W233" i="11"/>
  <c r="Y233" i="11" s="1"/>
  <c r="V39" i="11"/>
  <c r="X39" i="11" s="1"/>
  <c r="W39" i="11"/>
  <c r="Y39" i="11" s="1"/>
  <c r="V47" i="11"/>
  <c r="X47" i="11" s="1"/>
  <c r="W47" i="11"/>
  <c r="Y47" i="11" s="1"/>
  <c r="W73" i="11"/>
  <c r="Y73" i="11" s="1"/>
  <c r="V73" i="11"/>
  <c r="X73" i="11" s="1"/>
  <c r="W81" i="11"/>
  <c r="Y81" i="11" s="1"/>
  <c r="V81" i="11"/>
  <c r="X81" i="11" s="1"/>
  <c r="W217" i="11"/>
  <c r="Y217" i="11" s="1"/>
  <c r="V217" i="11"/>
  <c r="X217" i="11" s="1"/>
  <c r="W226" i="11"/>
  <c r="Y226" i="11" s="1"/>
  <c r="V226" i="11"/>
  <c r="X226" i="11" s="1"/>
  <c r="W795" i="11"/>
  <c r="Y795" i="11" s="1"/>
  <c r="V795" i="11"/>
  <c r="X795" i="11" s="1"/>
  <c r="W40" i="11"/>
  <c r="Y40" i="11" s="1"/>
  <c r="V40" i="11"/>
  <c r="X40" i="11" s="1"/>
  <c r="W48" i="11"/>
  <c r="Y48" i="11" s="1"/>
  <c r="V48" i="11"/>
  <c r="X48" i="11" s="1"/>
  <c r="W74" i="11"/>
  <c r="Y74" i="11" s="1"/>
  <c r="V74" i="11"/>
  <c r="X74" i="11" s="1"/>
  <c r="W82" i="11"/>
  <c r="Y82" i="11" s="1"/>
  <c r="V82" i="11"/>
  <c r="X82" i="11" s="1"/>
  <c r="W218" i="11"/>
  <c r="Y218" i="11" s="1"/>
  <c r="V218" i="11"/>
  <c r="X218" i="11" s="1"/>
  <c r="W227" i="11"/>
  <c r="Y227" i="11" s="1"/>
  <c r="V227" i="11"/>
  <c r="X227" i="11" s="1"/>
  <c r="V41" i="11"/>
  <c r="X41" i="11" s="1"/>
  <c r="W41" i="11"/>
  <c r="Y41" i="11" s="1"/>
  <c r="V49" i="11"/>
  <c r="X49" i="11" s="1"/>
  <c r="W49" i="11"/>
  <c r="Y49" i="11" s="1"/>
  <c r="W75" i="11"/>
  <c r="Y75" i="11" s="1"/>
  <c r="V75" i="11"/>
  <c r="X75" i="11" s="1"/>
  <c r="W83" i="11"/>
  <c r="Y83" i="11" s="1"/>
  <c r="V83" i="11"/>
  <c r="X83" i="11" s="1"/>
  <c r="W219" i="11"/>
  <c r="Y219" i="11" s="1"/>
  <c r="V219" i="11"/>
  <c r="X219" i="11" s="1"/>
  <c r="W228" i="11"/>
  <c r="Y228" i="11" s="1"/>
  <c r="V228" i="11"/>
  <c r="X228" i="11" s="1"/>
  <c r="V42" i="11"/>
  <c r="X42" i="11" s="1"/>
  <c r="W42" i="11"/>
  <c r="Y42" i="11" s="1"/>
  <c r="V50" i="11"/>
  <c r="X50" i="11" s="1"/>
  <c r="W50" i="11"/>
  <c r="Y50" i="11" s="1"/>
  <c r="W76" i="11"/>
  <c r="Y76" i="11" s="1"/>
  <c r="V76" i="11"/>
  <c r="X76" i="11" s="1"/>
  <c r="W84" i="11"/>
  <c r="Y84" i="11" s="1"/>
  <c r="V84" i="11"/>
  <c r="X84" i="11" s="1"/>
  <c r="W220" i="11"/>
  <c r="Y220" i="11" s="1"/>
  <c r="V220" i="11"/>
  <c r="X220" i="11" s="1"/>
  <c r="V229" i="11"/>
  <c r="X229" i="11" s="1"/>
  <c r="W229" i="11"/>
  <c r="Y229" i="11" s="1"/>
  <c r="V43" i="11"/>
  <c r="X43" i="11" s="1"/>
  <c r="W43" i="11"/>
  <c r="Y43" i="11" s="1"/>
  <c r="V51" i="11"/>
  <c r="X51" i="11" s="1"/>
  <c r="W51" i="11"/>
  <c r="Y51" i="11" s="1"/>
  <c r="W77" i="11"/>
  <c r="Y77" i="11" s="1"/>
  <c r="V77" i="11"/>
  <c r="X77" i="11" s="1"/>
  <c r="W85" i="11"/>
  <c r="Y85" i="11" s="1"/>
  <c r="V85" i="11"/>
  <c r="X85" i="11" s="1"/>
  <c r="W213" i="11"/>
  <c r="Y213" i="11" s="1"/>
  <c r="AA208" i="11" s="1" a="1"/>
  <c r="AA208" i="11" s="1"/>
  <c r="AJ208" i="11" s="1"/>
  <c r="V213" i="11"/>
  <c r="X213" i="11" s="1"/>
  <c r="AA206" i="11" s="1" a="1"/>
  <c r="AA206" i="11" s="1"/>
  <c r="AJ206" i="11" s="1"/>
  <c r="W221" i="11"/>
  <c r="Y221" i="11" s="1"/>
  <c r="V221" i="11"/>
  <c r="X221" i="11" s="1"/>
  <c r="W230" i="11"/>
  <c r="Y230" i="11" s="1"/>
  <c r="V230" i="11"/>
  <c r="X230" i="11" s="1"/>
  <c r="V775" i="11"/>
  <c r="X775" i="11" s="1"/>
  <c r="W735" i="11"/>
  <c r="Y735" i="11" s="1"/>
  <c r="W737" i="11"/>
  <c r="Y737" i="11" s="1"/>
  <c r="W44" i="11"/>
  <c r="Y44" i="11" s="1"/>
  <c r="V44" i="11"/>
  <c r="X44" i="11" s="1"/>
  <c r="W70" i="11"/>
  <c r="Y70" i="11" s="1"/>
  <c r="V70" i="11"/>
  <c r="X70" i="11" s="1"/>
  <c r="W78" i="11"/>
  <c r="Y78" i="11" s="1"/>
  <c r="V78" i="11"/>
  <c r="X78" i="11" s="1"/>
  <c r="W214" i="11"/>
  <c r="Y214" i="11" s="1"/>
  <c r="V214" i="11"/>
  <c r="X214" i="11" s="1"/>
  <c r="W223" i="11"/>
  <c r="Y223" i="11" s="1"/>
  <c r="V223" i="11"/>
  <c r="X223" i="11" s="1"/>
  <c r="W231" i="11"/>
  <c r="Y231" i="11" s="1"/>
  <c r="V231" i="11"/>
  <c r="X231" i="11" s="1"/>
  <c r="V37" i="11"/>
  <c r="X37" i="11" s="1"/>
  <c r="W37" i="11"/>
  <c r="Y37" i="11" s="1"/>
  <c r="V45" i="11"/>
  <c r="X45" i="11" s="1"/>
  <c r="W45" i="11"/>
  <c r="Y45" i="11" s="1"/>
  <c r="W71" i="11"/>
  <c r="Y71" i="11" s="1"/>
  <c r="V71" i="11"/>
  <c r="X71" i="11" s="1"/>
  <c r="W79" i="11"/>
  <c r="Y79" i="11" s="1"/>
  <c r="V79" i="11"/>
  <c r="X79" i="11" s="1"/>
  <c r="W215" i="11"/>
  <c r="Y215" i="11" s="1"/>
  <c r="V215" i="11"/>
  <c r="X215" i="11" s="1"/>
  <c r="W224" i="11"/>
  <c r="Y224" i="11" s="1"/>
  <c r="V224" i="11"/>
  <c r="X224" i="11" s="1"/>
  <c r="W232" i="11"/>
  <c r="Y232" i="11" s="1"/>
  <c r="V232" i="11"/>
  <c r="X232" i="11" s="1"/>
  <c r="W757" i="11"/>
  <c r="Y757" i="11" s="1"/>
  <c r="W723" i="11"/>
  <c r="Y723" i="11" s="1"/>
  <c r="V774" i="11"/>
  <c r="X774" i="11" s="1"/>
  <c r="V739" i="11"/>
  <c r="X739" i="11" s="1"/>
  <c r="V734" i="11"/>
  <c r="X734" i="11" s="1"/>
  <c r="V740" i="11"/>
  <c r="X740" i="11" s="1"/>
  <c r="F29" i="7"/>
  <c r="E29" i="7"/>
  <c r="D31" i="7"/>
  <c r="F30" i="7"/>
  <c r="E30" i="7"/>
  <c r="E23" i="7"/>
  <c r="F23" i="7"/>
  <c r="D24" i="7"/>
  <c r="C25" i="7"/>
  <c r="D25" i="7" s="1"/>
  <c r="F2" i="7"/>
  <c r="E2" i="7"/>
  <c r="D4" i="7"/>
  <c r="F3" i="7"/>
  <c r="E3" i="7"/>
  <c r="AA582" i="11" l="1" a="1"/>
  <c r="AA582" i="11" s="1"/>
  <c r="AA495" i="11" a="1"/>
  <c r="AA495" i="11" s="1"/>
  <c r="AJ495" i="11" s="1"/>
  <c r="AA207" i="11" a="1"/>
  <c r="AA207" i="11" s="1"/>
  <c r="AJ207" i="11" s="1"/>
  <c r="AA209" i="11" a="1"/>
  <c r="AA209" i="11" s="1"/>
  <c r="AJ209" i="11" s="1"/>
  <c r="AA650" i="11" a="1"/>
  <c r="AA650" i="11" s="1"/>
  <c r="AJ650" i="11" s="1"/>
  <c r="AA750" i="11" a="1"/>
  <c r="AA750" i="11" s="1"/>
  <c r="AJ750" i="11" s="1"/>
  <c r="AA753" i="11" a="1"/>
  <c r="AA753" i="11" s="1"/>
  <c r="AJ753" i="11" s="1"/>
  <c r="AA804" i="11" a="1"/>
  <c r="AA804" i="11" s="1"/>
  <c r="AJ804" i="11" s="1"/>
  <c r="AA600" i="11" a="1"/>
  <c r="AA600" i="11" s="1"/>
  <c r="AJ600" i="11" s="1"/>
  <c r="AA768" i="11" a="1"/>
  <c r="AA768" i="11" s="1"/>
  <c r="AJ768" i="11" s="1"/>
  <c r="AA719" i="11" a="1"/>
  <c r="AA719" i="11" s="1"/>
  <c r="AJ719" i="11" s="1"/>
  <c r="AA531" i="11" a="1"/>
  <c r="AA531" i="11" s="1"/>
  <c r="AJ531" i="11" s="1"/>
  <c r="AA818" i="11" a="1"/>
  <c r="AA818" i="11" s="1"/>
  <c r="AJ818" i="11" s="1"/>
  <c r="AA855" i="11" a="1"/>
  <c r="AA855" i="11" s="1"/>
  <c r="AJ855" i="11" s="1"/>
  <c r="AA684" i="11" a="1"/>
  <c r="AA684" i="11" s="1"/>
  <c r="AJ684" i="11" s="1"/>
  <c r="AA633" i="11" a="1"/>
  <c r="AA633" i="11" s="1"/>
  <c r="AJ633" i="11" s="1"/>
  <c r="AA821" i="11" a="1"/>
  <c r="AA821" i="11" s="1"/>
  <c r="AJ821" i="11" s="1"/>
  <c r="AA682" i="11" a="1"/>
  <c r="AA682" i="11" s="1"/>
  <c r="AJ682" i="11" s="1"/>
  <c r="AA854" i="11" a="1"/>
  <c r="AA854" i="11" s="1"/>
  <c r="AJ854" i="11" s="1"/>
  <c r="AA581" i="11" a="1"/>
  <c r="AA581" i="11" s="1"/>
  <c r="AJ581" i="11" s="1"/>
  <c r="AA599" i="11" a="1"/>
  <c r="AA599" i="11" s="1"/>
  <c r="AJ599" i="11" s="1"/>
  <c r="AA634" i="11" a="1"/>
  <c r="AA634" i="11" s="1"/>
  <c r="AJ634" i="11" s="1"/>
  <c r="AA734" i="11" a="1"/>
  <c r="AA734" i="11" s="1"/>
  <c r="AJ734" i="11" s="1"/>
  <c r="AA733" i="11" a="1"/>
  <c r="AA733" i="11" s="1"/>
  <c r="AJ733" i="11" s="1"/>
  <c r="AA649" i="11" a="1"/>
  <c r="AA649" i="11" s="1"/>
  <c r="AJ649" i="11" s="1"/>
  <c r="AA666" i="11" a="1"/>
  <c r="AA666" i="11" s="1"/>
  <c r="AJ666" i="11" s="1"/>
  <c r="AA716" i="11" a="1"/>
  <c r="AA716" i="11" s="1"/>
  <c r="AJ716" i="11" s="1"/>
  <c r="AA665" i="11" a="1"/>
  <c r="AA665" i="11" s="1"/>
  <c r="AJ665" i="11" s="1"/>
  <c r="AA699" i="11" a="1"/>
  <c r="AA699" i="11" s="1"/>
  <c r="AJ699" i="11" s="1"/>
  <c r="AA838" i="11" a="1"/>
  <c r="AA838" i="11" s="1"/>
  <c r="AJ838" i="11" s="1"/>
  <c r="AA583" i="11" a="1"/>
  <c r="AA583" i="11" s="1"/>
  <c r="AJ583" i="11" s="1"/>
  <c r="AA530" i="11" a="1"/>
  <c r="AA530" i="11" s="1"/>
  <c r="AJ530" i="11" s="1"/>
  <c r="AA718" i="11" a="1"/>
  <c r="AA718" i="11" s="1"/>
  <c r="AJ718" i="11" s="1"/>
  <c r="AA683" i="11" a="1"/>
  <c r="AA683" i="11" s="1"/>
  <c r="AJ683" i="11" s="1"/>
  <c r="AA751" i="11" a="1"/>
  <c r="AA751" i="11" s="1"/>
  <c r="AJ751" i="11" s="1"/>
  <c r="AA597" i="11" a="1"/>
  <c r="AA597" i="11" s="1"/>
  <c r="AJ597" i="11" s="1"/>
  <c r="AA616" i="11" a="1"/>
  <c r="AA616" i="11" s="1"/>
  <c r="AJ616" i="11" s="1"/>
  <c r="AA580" i="11" a="1"/>
  <c r="AA580" i="11" s="1"/>
  <c r="AJ580" i="11" s="1"/>
  <c r="AA836" i="11" a="1"/>
  <c r="AA836" i="11" s="1"/>
  <c r="AJ836" i="11" s="1"/>
  <c r="AA632" i="11" a="1"/>
  <c r="AA632" i="11" s="1"/>
  <c r="AJ632" i="11" s="1"/>
  <c r="AA767" i="11" a="1"/>
  <c r="AA767" i="11" s="1"/>
  <c r="AJ767" i="11" s="1"/>
  <c r="AA802" i="11" a="1"/>
  <c r="AA802" i="11" s="1"/>
  <c r="AJ802" i="11" s="1"/>
  <c r="AA667" i="11" a="1"/>
  <c r="AA667" i="11" s="1"/>
  <c r="AJ667" i="11" s="1"/>
  <c r="AA701" i="11" a="1"/>
  <c r="AA701" i="11" s="1"/>
  <c r="AJ701" i="11" s="1"/>
  <c r="AA786" i="11" a="1"/>
  <c r="AA786" i="11" s="1"/>
  <c r="AJ786" i="11" s="1"/>
  <c r="AA837" i="11" a="1"/>
  <c r="AA837" i="11" s="1"/>
  <c r="AJ837" i="11" s="1"/>
  <c r="AA803" i="11" a="1"/>
  <c r="AA803" i="11" s="1"/>
  <c r="AJ803" i="11" s="1"/>
  <c r="AA566" i="11" a="1"/>
  <c r="AA566" i="11" s="1"/>
  <c r="AJ566" i="11" s="1"/>
  <c r="AA770" i="11" a="1"/>
  <c r="AA770" i="11" s="1"/>
  <c r="AJ770" i="11" s="1"/>
  <c r="AA685" i="11" a="1"/>
  <c r="AA685" i="11" s="1"/>
  <c r="AJ685" i="11" s="1"/>
  <c r="AA787" i="11" a="1"/>
  <c r="AA787" i="11" s="1"/>
  <c r="AJ787" i="11" s="1"/>
  <c r="AA700" i="11" a="1"/>
  <c r="AA700" i="11" s="1"/>
  <c r="AJ700" i="11" s="1"/>
  <c r="AA769" i="11" a="1"/>
  <c r="AA769" i="11" s="1"/>
  <c r="AJ769" i="11" s="1"/>
  <c r="AA498" i="11" a="1"/>
  <c r="AA498" i="11" s="1"/>
  <c r="AJ498" i="11" s="1"/>
  <c r="AA614" i="11" a="1"/>
  <c r="AA614" i="11" s="1"/>
  <c r="AJ614" i="11" s="1"/>
  <c r="AA598" i="11" a="1"/>
  <c r="AA598" i="11" s="1"/>
  <c r="AJ598" i="11" s="1"/>
  <c r="AA801" i="11" a="1"/>
  <c r="AA801" i="11" s="1"/>
  <c r="AJ801" i="11" s="1"/>
  <c r="AA853" i="11" a="1"/>
  <c r="AA853" i="11" s="1"/>
  <c r="AJ853" i="11" s="1"/>
  <c r="AA546" i="11" a="1"/>
  <c r="AA546" i="11" s="1"/>
  <c r="AJ546" i="11" s="1"/>
  <c r="AJ582" i="11"/>
  <c r="AA563" i="11" a="1"/>
  <c r="AA563" i="11" s="1"/>
  <c r="AJ563" i="11" s="1"/>
  <c r="AA513" i="11" a="1"/>
  <c r="AA513" i="11" s="1"/>
  <c r="AJ513" i="11" s="1"/>
  <c r="AA735" i="11" a="1"/>
  <c r="AA735" i="11" s="1"/>
  <c r="AJ735" i="11" s="1"/>
  <c r="AA615" i="11" a="1"/>
  <c r="AA615" i="11" s="1"/>
  <c r="AJ615" i="11" s="1"/>
  <c r="AA835" i="11" a="1"/>
  <c r="AA835" i="11" s="1"/>
  <c r="AJ835" i="11" s="1"/>
  <c r="AA752" i="11" a="1"/>
  <c r="AA752" i="11" s="1"/>
  <c r="AJ752" i="11" s="1"/>
  <c r="AA565" i="11" a="1"/>
  <c r="AA565" i="11" s="1"/>
  <c r="AJ565" i="11" s="1"/>
  <c r="AA549" i="11" a="1"/>
  <c r="AA549" i="11" s="1"/>
  <c r="AJ549" i="11" s="1"/>
  <c r="AA564" i="11" a="1"/>
  <c r="AA564" i="11" s="1"/>
  <c r="AJ564" i="11" s="1"/>
  <c r="AA532" i="11" a="1"/>
  <c r="AA532" i="11" s="1"/>
  <c r="AJ532" i="11" s="1"/>
  <c r="AA631" i="11" a="1"/>
  <c r="AA631" i="11" s="1"/>
  <c r="AJ631" i="11" s="1"/>
  <c r="AA648" i="11" a="1"/>
  <c r="AA648" i="11" s="1"/>
  <c r="AJ648" i="11" s="1"/>
  <c r="AA736" i="11" a="1"/>
  <c r="AA736" i="11" s="1"/>
  <c r="AJ736" i="11" s="1"/>
  <c r="AA785" i="11" a="1"/>
  <c r="AA785" i="11" s="1"/>
  <c r="AJ785" i="11" s="1"/>
  <c r="AA820" i="11" a="1"/>
  <c r="AA820" i="11" s="1"/>
  <c r="AJ820" i="11" s="1"/>
  <c r="AA702" i="11" a="1"/>
  <c r="AA702" i="11" s="1"/>
  <c r="AJ702" i="11" s="1"/>
  <c r="AA668" i="11" a="1"/>
  <c r="AA668" i="11" s="1"/>
  <c r="AJ668" i="11" s="1"/>
  <c r="AA784" i="11" a="1"/>
  <c r="AA784" i="11" s="1"/>
  <c r="AJ784" i="11" s="1"/>
  <c r="AJ617" i="11"/>
  <c r="AA514" i="11" a="1"/>
  <c r="AA514" i="11" s="1"/>
  <c r="AJ514" i="11" s="1"/>
  <c r="AA717" i="11" a="1"/>
  <c r="AA717" i="11" s="1"/>
  <c r="AJ717" i="11" s="1"/>
  <c r="AA852" i="11" a="1"/>
  <c r="AA852" i="11" s="1"/>
  <c r="AJ852" i="11" s="1"/>
  <c r="AA547" i="11" a="1"/>
  <c r="AA547" i="11" s="1"/>
  <c r="AJ547" i="11" s="1"/>
  <c r="AA819" i="11" a="1"/>
  <c r="AA819" i="11" s="1"/>
  <c r="AJ819" i="11" s="1"/>
  <c r="AA651" i="11" a="1"/>
  <c r="AA651" i="11" s="1"/>
  <c r="AJ651" i="11" s="1"/>
  <c r="AA259" i="11" a="1"/>
  <c r="AA259" i="11" s="1"/>
  <c r="AJ259" i="11" s="1"/>
  <c r="AA512" i="11" a="1"/>
  <c r="AA512" i="11" s="1"/>
  <c r="AJ512" i="11" s="1"/>
  <c r="AA548" i="11" a="1"/>
  <c r="AA548" i="11" s="1"/>
  <c r="AJ548" i="11" s="1"/>
  <c r="AA497" i="11" a="1"/>
  <c r="AA497" i="11" s="1"/>
  <c r="AJ497" i="11" s="1"/>
  <c r="AA515" i="11" a="1"/>
  <c r="AA515" i="11" s="1"/>
  <c r="AJ515" i="11" s="1"/>
  <c r="AA529" i="11" a="1"/>
  <c r="AA529" i="11" s="1"/>
  <c r="AJ529" i="11" s="1"/>
  <c r="AA496" i="11" a="1"/>
  <c r="AA496" i="11" s="1"/>
  <c r="AJ496" i="11" s="1"/>
  <c r="AA257" i="11" a="1"/>
  <c r="AA257" i="11" s="1"/>
  <c r="AJ257" i="11" s="1"/>
  <c r="AA260" i="11" a="1"/>
  <c r="AA260" i="11" s="1"/>
  <c r="AJ260" i="11" s="1"/>
  <c r="AA39" i="11" a="1"/>
  <c r="AA39" i="11" s="1"/>
  <c r="AJ39" i="11" s="1"/>
  <c r="AA38" i="11" a="1"/>
  <c r="AA38" i="11" s="1"/>
  <c r="AJ38" i="11" s="1"/>
  <c r="AA258" i="11" a="1"/>
  <c r="AA258" i="11" s="1"/>
  <c r="AJ258" i="11" s="1"/>
  <c r="AA224" i="11" a="1"/>
  <c r="AA224" i="11" s="1"/>
  <c r="AJ224" i="11" s="1"/>
  <c r="AA71" i="11" a="1"/>
  <c r="AA71" i="11" s="1"/>
  <c r="AJ71" i="11" s="1"/>
  <c r="AA240" i="11" a="1"/>
  <c r="AA240" i="11" s="1"/>
  <c r="AJ240" i="11" s="1"/>
  <c r="AA226" i="11" a="1"/>
  <c r="AA226" i="11" s="1"/>
  <c r="AJ226" i="11" s="1"/>
  <c r="AA223" i="11" a="1"/>
  <c r="AA223" i="11" s="1"/>
  <c r="AJ223" i="11" s="1"/>
  <c r="AA70" i="11" a="1"/>
  <c r="AA70" i="11" s="1"/>
  <c r="AJ70" i="11" s="1"/>
  <c r="AA36" i="11" a="1"/>
  <c r="AA36" i="11" s="1"/>
  <c r="AJ36" i="11" s="1"/>
  <c r="AA241" i="11" a="1"/>
  <c r="AA241" i="11" s="1"/>
  <c r="AJ241" i="11" s="1"/>
  <c r="AA243" i="11" a="1"/>
  <c r="AA243" i="11" s="1"/>
  <c r="AJ243" i="11" s="1"/>
  <c r="AA73" i="11" a="1"/>
  <c r="AA73" i="11" s="1"/>
  <c r="AJ73" i="11" s="1"/>
  <c r="AA225" i="11" a="1"/>
  <c r="AA225" i="11" s="1"/>
  <c r="AJ225" i="11" s="1"/>
  <c r="AA72" i="11" a="1"/>
  <c r="AA72" i="11" s="1"/>
  <c r="AJ72" i="11" s="1"/>
  <c r="AA37" i="11" a="1"/>
  <c r="AA37" i="11" s="1"/>
  <c r="AJ37" i="11" s="1"/>
  <c r="AJ242" i="11"/>
  <c r="E31" i="7"/>
  <c r="F31" i="7"/>
  <c r="D32" i="7"/>
  <c r="E25" i="7"/>
  <c r="F25" i="7"/>
  <c r="E24" i="7"/>
  <c r="F24" i="7"/>
  <c r="F4" i="7"/>
  <c r="E4" i="7"/>
  <c r="D5" i="7"/>
  <c r="F32" i="7" l="1"/>
  <c r="E32" i="7"/>
  <c r="D33" i="7"/>
  <c r="D6" i="7"/>
  <c r="F5" i="7"/>
  <c r="E5" i="7"/>
  <c r="D34" i="7" l="1"/>
  <c r="F33" i="7"/>
  <c r="E33" i="7"/>
  <c r="D7" i="7"/>
  <c r="F6" i="7"/>
  <c r="E6" i="7"/>
  <c r="F34" i="7" l="1"/>
  <c r="E34" i="7"/>
  <c r="D35" i="7"/>
  <c r="F7" i="7"/>
  <c r="E7" i="7"/>
  <c r="D8" i="7"/>
  <c r="D36" i="7" l="1"/>
  <c r="F35" i="7"/>
  <c r="E35" i="7"/>
  <c r="F8" i="7"/>
  <c r="E8" i="7"/>
  <c r="D9" i="7"/>
  <c r="F36" i="7" l="1"/>
  <c r="E36" i="7"/>
  <c r="D37" i="7"/>
  <c r="F9" i="7"/>
  <c r="E9" i="7"/>
  <c r="D10" i="7"/>
  <c r="E37" i="7" l="1"/>
  <c r="F37" i="7"/>
  <c r="D38" i="7"/>
  <c r="D11" i="7"/>
  <c r="F10" i="7"/>
  <c r="E10" i="7"/>
  <c r="D39" i="7" l="1"/>
  <c r="F38" i="7"/>
  <c r="E38" i="7"/>
  <c r="E11" i="7"/>
  <c r="F11" i="7"/>
  <c r="D12" i="7"/>
  <c r="D40" i="7" l="1"/>
  <c r="E39" i="7"/>
  <c r="F39" i="7"/>
  <c r="D13" i="7"/>
  <c r="F12" i="7"/>
  <c r="E12" i="7"/>
  <c r="F40" i="7" l="1"/>
  <c r="E40" i="7"/>
  <c r="D41" i="7"/>
  <c r="E13" i="7"/>
  <c r="F13" i="7"/>
  <c r="D14" i="7"/>
  <c r="F41" i="7" l="1"/>
  <c r="E41" i="7"/>
  <c r="D42" i="7"/>
  <c r="D15" i="7"/>
  <c r="F14" i="7"/>
  <c r="E14" i="7"/>
  <c r="D43" i="7" l="1"/>
  <c r="F42" i="7"/>
  <c r="E42" i="7"/>
  <c r="F15" i="7"/>
  <c r="E15" i="7"/>
  <c r="D16" i="7"/>
  <c r="D44" i="7" l="1"/>
  <c r="E43" i="7"/>
  <c r="F43" i="7"/>
  <c r="D17" i="7"/>
  <c r="F16" i="7"/>
  <c r="E16" i="7"/>
  <c r="F44" i="7" l="1"/>
  <c r="E44" i="7"/>
  <c r="D45" i="7"/>
  <c r="E17" i="7"/>
  <c r="F17" i="7"/>
  <c r="D18" i="7"/>
  <c r="E45" i="7" l="1"/>
  <c r="F45" i="7"/>
  <c r="D46" i="7"/>
  <c r="D19" i="7"/>
  <c r="F18" i="7"/>
  <c r="E18" i="7"/>
  <c r="D47" i="7" l="1"/>
  <c r="F46" i="7"/>
  <c r="E46" i="7"/>
  <c r="E19" i="7"/>
  <c r="F19" i="7"/>
  <c r="D20" i="7"/>
  <c r="E47" i="7" l="1"/>
  <c r="F47" i="7"/>
  <c r="D48" i="7"/>
  <c r="F20" i="7"/>
  <c r="E20" i="7"/>
  <c r="D22" i="7"/>
  <c r="D21" i="7"/>
  <c r="D49" i="7" l="1"/>
  <c r="F48" i="7"/>
  <c r="E48" i="7"/>
  <c r="F21" i="7"/>
  <c r="E21" i="7"/>
  <c r="F22" i="7"/>
  <c r="H6" i="7" s="1" a="1"/>
  <c r="H6" i="7" s="1"/>
  <c r="E22" i="7"/>
  <c r="H3" i="7" s="1" a="1"/>
  <c r="H3" i="7" s="1"/>
  <c r="F49" i="7" l="1"/>
  <c r="E49" i="7"/>
  <c r="D50" i="7"/>
  <c r="D52" i="7" l="1"/>
  <c r="D51" i="7"/>
  <c r="F50" i="7"/>
  <c r="E50" i="7"/>
  <c r="E51" i="7" l="1"/>
  <c r="F51" i="7"/>
  <c r="F52" i="7"/>
  <c r="E5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<sst xmlns="http://schemas.openxmlformats.org/spreadsheetml/2006/main" count="881" uniqueCount="220">
  <si>
    <t>Dirt</t>
  </si>
  <si>
    <t>Space</t>
  </si>
  <si>
    <t>Steel Wall</t>
  </si>
  <si>
    <t>Box</t>
  </si>
  <si>
    <t>Wall</t>
  </si>
  <si>
    <t>Boulder 1</t>
  </si>
  <si>
    <t>Boulder 2</t>
  </si>
  <si>
    <t>Diamond 1</t>
  </si>
  <si>
    <t>Diamond 2</t>
  </si>
  <si>
    <t>Diamond 3</t>
  </si>
  <si>
    <t>Diamond 4</t>
  </si>
  <si>
    <t>Explosion 1</t>
  </si>
  <si>
    <t>Explosion 3</t>
  </si>
  <si>
    <t>Explosion 2</t>
  </si>
  <si>
    <t>Explosion 4</t>
  </si>
  <si>
    <t>Magic Wall 1</t>
  </si>
  <si>
    <t>Magic Wall 3</t>
  </si>
  <si>
    <t>Magic Wall 2</t>
  </si>
  <si>
    <t>Magic Wall 4</t>
  </si>
  <si>
    <t>Amoeba 1</t>
  </si>
  <si>
    <t>Amoeba 2</t>
  </si>
  <si>
    <t>Butterfly 1</t>
  </si>
  <si>
    <t>Butterfly 2</t>
  </si>
  <si>
    <t>Butterfly 3</t>
  </si>
  <si>
    <t>Firefly 1</t>
  </si>
  <si>
    <t>Firefly 2</t>
  </si>
  <si>
    <t>Firefly 3</t>
  </si>
  <si>
    <t>Firefly 4</t>
  </si>
  <si>
    <t>Pathway</t>
  </si>
  <si>
    <t>Rockford 1</t>
  </si>
  <si>
    <t>Rockford 2 (blink 1)</t>
  </si>
  <si>
    <t>Rockford 3 (blink 2)</t>
  </si>
  <si>
    <t>Rockford 4 (wink 1)</t>
  </si>
  <si>
    <t>Rockford 5 (wink 2)</t>
  </si>
  <si>
    <t>Rockford 6 (wait 1)</t>
  </si>
  <si>
    <t>Rockford 7 (wait 2)</t>
  </si>
  <si>
    <t>Rockford 8 (wait 3)</t>
  </si>
  <si>
    <t>Rockford 9 (wait 4)</t>
  </si>
  <si>
    <t>Rockford 10 (wait 5)</t>
  </si>
  <si>
    <t>Rockford 11 (left 1)</t>
  </si>
  <si>
    <t>Rockford 12 (left 2)</t>
  </si>
  <si>
    <t>Rockford 13 (left 3)</t>
  </si>
  <si>
    <t>Rockford 14 (left 4)</t>
  </si>
  <si>
    <t>Rockford 15 (right 1)</t>
  </si>
  <si>
    <t>Rockford 16 (right 2)</t>
  </si>
  <si>
    <t>Rockford 17 (right 3)</t>
  </si>
  <si>
    <t>Rockford 18 (right 4)</t>
  </si>
  <si>
    <t>Bomb 1</t>
  </si>
  <si>
    <t>Bomb 2</t>
  </si>
  <si>
    <t>Bomb 3</t>
  </si>
  <si>
    <t>Bomb 4</t>
  </si>
  <si>
    <t>Boulder 3</t>
  </si>
  <si>
    <t>00</t>
  </si>
  <si>
    <t>low</t>
  </si>
  <si>
    <t>high</t>
  </si>
  <si>
    <t>Start value (hex)</t>
  </si>
  <si>
    <t>High</t>
  </si>
  <si>
    <t>Low</t>
  </si>
  <si>
    <t>Hex</t>
  </si>
  <si>
    <t>Dec</t>
  </si>
  <si>
    <t>Increment (dec)</t>
  </si>
  <si>
    <t>Group 2 earth</t>
  </si>
  <si>
    <t>Aux</t>
  </si>
  <si>
    <t>Group 3 most of walls, rockford; part of rocks, diamonds</t>
  </si>
  <si>
    <t>Colour Map</t>
  </si>
  <si>
    <t>Foreground</t>
  </si>
  <si>
    <t>Group 1 for most of titanium walls, rocks, amoeba; part of rockford, diamonds</t>
  </si>
  <si>
    <t>01</t>
  </si>
  <si>
    <t>Border</t>
  </si>
  <si>
    <t>Background</t>
  </si>
  <si>
    <t>Purpose</t>
  </si>
  <si>
    <t>Bits</t>
  </si>
  <si>
    <t>Source address</t>
  </si>
  <si>
    <t>Source</t>
  </si>
  <si>
    <t>Colour code</t>
  </si>
  <si>
    <t>Unique Sprite</t>
  </si>
  <si>
    <t>Comments</t>
  </si>
  <si>
    <t>Characters needed</t>
  </si>
  <si>
    <t>Plan</t>
  </si>
  <si>
    <t>Use space character 4 times</t>
  </si>
  <si>
    <t>Can reuse one mapped tile 4 times</t>
  </si>
  <si>
    <t>1 character applied 4 times</t>
  </si>
  <si>
    <t>Also used for expanding wall</t>
  </si>
  <si>
    <t>aka Bubble</t>
  </si>
  <si>
    <t>Reuse feet</t>
  </si>
  <si>
    <t>Reuse head in blink 1 (one side), reuse feet</t>
  </si>
  <si>
    <t>Reuse head in blink 2 (one side), reuse feet</t>
  </si>
  <si>
    <t>Reuse head</t>
  </si>
  <si>
    <t>Reuse head in blink 1, reuse feet in wait 1</t>
  </si>
  <si>
    <t>Reuse head in blink 2, reuse feet in wait 2</t>
  </si>
  <si>
    <t>Reuse head in blink 2, reuse feet in wait 1</t>
  </si>
  <si>
    <t>Reuse head left</t>
  </si>
  <si>
    <t>Reuse head right</t>
  </si>
  <si>
    <t xml:space="preserve">Spare </t>
  </si>
  <si>
    <t>D</t>
  </si>
  <si>
    <t>d</t>
  </si>
  <si>
    <t>B</t>
  </si>
  <si>
    <t>b</t>
  </si>
  <si>
    <t>t</t>
  </si>
  <si>
    <t>R</t>
  </si>
  <si>
    <t>r</t>
  </si>
  <si>
    <t>s</t>
  </si>
  <si>
    <t>C</t>
  </si>
  <si>
    <t>A</t>
  </si>
  <si>
    <t>V</t>
  </si>
  <si>
    <t>E</t>
  </si>
  <si>
    <t>G</t>
  </si>
  <si>
    <t>O</t>
  </si>
  <si>
    <t>T</t>
  </si>
  <si>
    <t>L</t>
  </si>
  <si>
    <t>I</t>
  </si>
  <si>
    <t>M</t>
  </si>
  <si>
    <t>N</t>
  </si>
  <si>
    <t>S</t>
  </si>
  <si>
    <t>Bubble</t>
  </si>
  <si>
    <t>purple</t>
  </si>
  <si>
    <t>cyan</t>
  </si>
  <si>
    <t>blue</t>
  </si>
  <si>
    <t>red</t>
  </si>
  <si>
    <t>green</t>
  </si>
  <si>
    <t>white</t>
  </si>
  <si>
    <t>yellow</t>
  </si>
  <si>
    <t>black</t>
  </si>
  <si>
    <t>orange</t>
  </si>
  <si>
    <t>pink</t>
  </si>
  <si>
    <t>Sprite colour code</t>
  </si>
  <si>
    <t>Colour</t>
  </si>
  <si>
    <t>lt.orange</t>
  </si>
  <si>
    <t>lt.yellow</t>
  </si>
  <si>
    <t>lt.blue</t>
  </si>
  <si>
    <t>lt.cyan</t>
  </si>
  <si>
    <t>lt.purple</t>
  </si>
  <si>
    <t>Black. Always black in this case (and no black is used elsewhere)</t>
  </si>
  <si>
    <t>lt.green</t>
  </si>
  <si>
    <t>2 characters applied 2 times</t>
  </si>
  <si>
    <t>Anti-space</t>
  </si>
  <si>
    <t>Font letters, numbers, symbols</t>
  </si>
  <si>
    <t>Available to remap</t>
  </si>
  <si>
    <t>Sprites (above)</t>
  </si>
  <si>
    <t>G1</t>
  </si>
  <si>
    <t>G2</t>
  </si>
  <si>
    <t>G3</t>
  </si>
  <si>
    <t>c1</t>
  </si>
  <si>
    <t>c2</t>
  </si>
  <si>
    <t>c3</t>
  </si>
  <si>
    <t>config json colour_schemes</t>
  </si>
  <si>
    <t>colour group</t>
  </si>
  <si>
    <t>order</t>
  </si>
  <si>
    <t>Not selected</t>
  </si>
  <si>
    <t>Voice 1</t>
  </si>
  <si>
    <t>Voice 1 data</t>
  </si>
  <si>
    <t>Voice 2</t>
  </si>
  <si>
    <t>Voice 2 data</t>
  </si>
  <si>
    <t>F3</t>
  </si>
  <si>
    <t>F2</t>
  </si>
  <si>
    <t>A3</t>
  </si>
  <si>
    <t>C3</t>
  </si>
  <si>
    <t>C4</t>
  </si>
  <si>
    <t>F4</t>
  </si>
  <si>
    <t>G3#</t>
  </si>
  <si>
    <t>D2#</t>
  </si>
  <si>
    <t>A3#</t>
  </si>
  <si>
    <t>D3</t>
  </si>
  <si>
    <t>D3#</t>
  </si>
  <si>
    <t>G4</t>
  </si>
  <si>
    <t>C4#</t>
  </si>
  <si>
    <t>C2#</t>
  </si>
  <si>
    <t>D4#</t>
  </si>
  <si>
    <t>C3#</t>
  </si>
  <si>
    <t>G4#</t>
  </si>
  <si>
    <t>D5</t>
  </si>
  <si>
    <t>A4#</t>
  </si>
  <si>
    <t>E4</t>
  </si>
  <si>
    <t>E3</t>
  </si>
  <si>
    <t>C5</t>
  </si>
  <si>
    <t>F5</t>
  </si>
  <si>
    <t>A2#</t>
  </si>
  <si>
    <t>B3</t>
  </si>
  <si>
    <t>B2</t>
  </si>
  <si>
    <t>D5#</t>
  </si>
  <si>
    <t>C2</t>
  </si>
  <si>
    <t>A1#</t>
  </si>
  <si>
    <t>A4</t>
  </si>
  <si>
    <t>Note</t>
  </si>
  <si>
    <t>Mid</t>
  </si>
  <si>
    <t>Use (low pref)</t>
  </si>
  <si>
    <t>Use (high pref)</t>
  </si>
  <si>
    <t>C1#</t>
  </si>
  <si>
    <t>D1</t>
  </si>
  <si>
    <t>D1#</t>
  </si>
  <si>
    <t>E1</t>
  </si>
  <si>
    <t>F1</t>
  </si>
  <si>
    <t>F1#</t>
  </si>
  <si>
    <t>G1#</t>
  </si>
  <si>
    <t>A1</t>
  </si>
  <si>
    <t>B1</t>
  </si>
  <si>
    <t>D2</t>
  </si>
  <si>
    <t>E2</t>
  </si>
  <si>
    <t>F2#</t>
  </si>
  <si>
    <t>G2#</t>
  </si>
  <si>
    <t>A2</t>
  </si>
  <si>
    <t>F3#</t>
  </si>
  <si>
    <t>D4</t>
  </si>
  <si>
    <t>F4#</t>
  </si>
  <si>
    <t>B4</t>
  </si>
  <si>
    <t>C5#</t>
  </si>
  <si>
    <t>E5</t>
  </si>
  <si>
    <t>F5#</t>
  </si>
  <si>
    <t>G5</t>
  </si>
  <si>
    <t>G5#</t>
  </si>
  <si>
    <t>A5</t>
  </si>
  <si>
    <t>A5#</t>
  </si>
  <si>
    <t>3e00</t>
  </si>
  <si>
    <t>All 16</t>
  </si>
  <si>
    <t xml:space="preserve">Colours available </t>
  </si>
  <si>
    <t>First 8</t>
  </si>
  <si>
    <t>First 8 (when having black background, otherwise 16)</t>
  </si>
  <si>
    <t>Rockford 3 (eyes closed)</t>
  </si>
  <si>
    <t>Rockford 2 (blink)</t>
  </si>
  <si>
    <t>Earth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</si>
</sst>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ourier New"/>
      <family val="3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0" xfId="0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5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1269-F27E-4FBD-BF81-70DFC154460F}">
  <dimension ref="A1:D59"/>
  <sheetViews>
    <sheetView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C59" sqref="C59"/>
    </sheetView>
  </sheetViews>
  <sheetFormatPr defaultRowHeight="14.4" x14ac:dyDescent="0.3"/>
  <cols>
    <col min="1" max="1" width="18.109375" customWidth="1"/>
    <col min="2" max="2" width="35.21875" bestFit="1" customWidth="1"/>
    <col min="3" max="3" width="12.77734375" style="2" customWidth="1"/>
    <col min="4" max="4" width="63.109375" bestFit="1" customWidth="1"/>
  </cols>
  <sheetData>
    <row r="1" spans="1:4" s="1" customFormat="1" ht="28.8" x14ac:dyDescent="0.3">
      <c r="A1" s="11" t="s">
        <v>75</v>
      </c>
      <c r="B1" s="11" t="s">
        <v>76</v>
      </c>
      <c r="C1" s="11" t="s">
        <v>77</v>
      </c>
      <c r="D1" s="11" t="s">
        <v>78</v>
      </c>
    </row>
    <row r="2" spans="1:4" x14ac:dyDescent="0.3">
      <c r="A2" s="12" t="s">
        <v>1</v>
      </c>
      <c r="B2" t="s">
        <v>79</v>
      </c>
      <c r="C2" s="13">
        <v>1</v>
      </c>
    </row>
    <row r="3" spans="1:4" x14ac:dyDescent="0.3">
      <c r="A3" s="12" t="s">
        <v>0</v>
      </c>
      <c r="C3" s="13">
        <v>4</v>
      </c>
    </row>
    <row r="4" spans="1:4" x14ac:dyDescent="0.3">
      <c r="A4" s="12" t="s">
        <v>4</v>
      </c>
      <c r="B4" t="s">
        <v>80</v>
      </c>
      <c r="C4" s="13">
        <v>2</v>
      </c>
      <c r="D4" t="s">
        <v>134</v>
      </c>
    </row>
    <row r="5" spans="1:4" x14ac:dyDescent="0.3">
      <c r="A5" s="12" t="s">
        <v>2</v>
      </c>
      <c r="B5" t="s">
        <v>80</v>
      </c>
      <c r="C5" s="13">
        <v>1</v>
      </c>
      <c r="D5" t="s">
        <v>81</v>
      </c>
    </row>
    <row r="6" spans="1:4" x14ac:dyDescent="0.3">
      <c r="A6" s="12" t="s">
        <v>7</v>
      </c>
      <c r="C6" s="13">
        <v>4</v>
      </c>
    </row>
    <row r="7" spans="1:4" x14ac:dyDescent="0.3">
      <c r="A7" s="12" t="s">
        <v>8</v>
      </c>
      <c r="C7" s="13">
        <v>4</v>
      </c>
    </row>
    <row r="8" spans="1:4" x14ac:dyDescent="0.3">
      <c r="A8" s="12" t="s">
        <v>9</v>
      </c>
      <c r="C8" s="13">
        <v>4</v>
      </c>
    </row>
    <row r="9" spans="1:4" x14ac:dyDescent="0.3">
      <c r="A9" s="12" t="s">
        <v>10</v>
      </c>
      <c r="C9" s="13">
        <v>4</v>
      </c>
    </row>
    <row r="10" spans="1:4" x14ac:dyDescent="0.3">
      <c r="A10" s="12" t="s">
        <v>5</v>
      </c>
      <c r="C10" s="13">
        <v>4</v>
      </c>
    </row>
    <row r="11" spans="1:4" x14ac:dyDescent="0.3">
      <c r="A11" s="12" t="s">
        <v>6</v>
      </c>
      <c r="C11" s="13">
        <v>4</v>
      </c>
    </row>
    <row r="12" spans="1:4" x14ac:dyDescent="0.3">
      <c r="A12" s="12" t="s">
        <v>24</v>
      </c>
      <c r="C12" s="13">
        <v>4</v>
      </c>
    </row>
    <row r="13" spans="1:4" x14ac:dyDescent="0.3">
      <c r="A13" s="12" t="s">
        <v>25</v>
      </c>
      <c r="C13" s="13">
        <v>4</v>
      </c>
    </row>
    <row r="14" spans="1:4" x14ac:dyDescent="0.3">
      <c r="A14" s="12" t="s">
        <v>26</v>
      </c>
      <c r="C14" s="13">
        <v>4</v>
      </c>
    </row>
    <row r="15" spans="1:4" x14ac:dyDescent="0.3">
      <c r="A15" s="12" t="s">
        <v>27</v>
      </c>
      <c r="C15" s="13">
        <v>4</v>
      </c>
    </row>
    <row r="16" spans="1:4" x14ac:dyDescent="0.3">
      <c r="A16" s="12" t="s">
        <v>19</v>
      </c>
      <c r="C16" s="13">
        <v>4</v>
      </c>
    </row>
    <row r="17" spans="1:4" x14ac:dyDescent="0.3">
      <c r="A17" s="12" t="s">
        <v>20</v>
      </c>
      <c r="C17" s="13">
        <v>4</v>
      </c>
    </row>
    <row r="18" spans="1:4" x14ac:dyDescent="0.3">
      <c r="A18" s="12" t="s">
        <v>3</v>
      </c>
      <c r="C18" s="13">
        <v>4</v>
      </c>
    </row>
    <row r="19" spans="1:4" x14ac:dyDescent="0.3">
      <c r="A19" s="12" t="s">
        <v>28</v>
      </c>
      <c r="C19" s="13">
        <v>4</v>
      </c>
    </row>
    <row r="20" spans="1:4" x14ac:dyDescent="0.3">
      <c r="A20" s="12" t="s">
        <v>11</v>
      </c>
      <c r="C20" s="13">
        <v>4</v>
      </c>
    </row>
    <row r="21" spans="1:4" x14ac:dyDescent="0.3">
      <c r="A21" s="12" t="s">
        <v>13</v>
      </c>
      <c r="C21" s="13">
        <v>4</v>
      </c>
    </row>
    <row r="22" spans="1:4" x14ac:dyDescent="0.3">
      <c r="A22" s="12" t="s">
        <v>12</v>
      </c>
      <c r="C22" s="13">
        <v>4</v>
      </c>
    </row>
    <row r="23" spans="1:4" x14ac:dyDescent="0.3">
      <c r="A23" s="12" t="s">
        <v>14</v>
      </c>
      <c r="C23" s="13">
        <v>4</v>
      </c>
    </row>
    <row r="24" spans="1:4" x14ac:dyDescent="0.3">
      <c r="A24" s="12" t="s">
        <v>15</v>
      </c>
      <c r="B24" t="s">
        <v>82</v>
      </c>
      <c r="C24" s="13">
        <v>2</v>
      </c>
      <c r="D24" t="s">
        <v>134</v>
      </c>
    </row>
    <row r="25" spans="1:4" x14ac:dyDescent="0.3">
      <c r="A25" s="12" t="s">
        <v>17</v>
      </c>
      <c r="C25" s="13">
        <v>2</v>
      </c>
      <c r="D25" t="s">
        <v>134</v>
      </c>
    </row>
    <row r="26" spans="1:4" x14ac:dyDescent="0.3">
      <c r="A26" s="12" t="s">
        <v>16</v>
      </c>
      <c r="C26" s="13">
        <v>2</v>
      </c>
      <c r="D26" t="s">
        <v>134</v>
      </c>
    </row>
    <row r="27" spans="1:4" x14ac:dyDescent="0.3">
      <c r="A27" s="12" t="s">
        <v>18</v>
      </c>
      <c r="C27" s="13">
        <v>2</v>
      </c>
      <c r="D27" t="s">
        <v>134</v>
      </c>
    </row>
    <row r="28" spans="1:4" x14ac:dyDescent="0.3">
      <c r="A28" s="12" t="s">
        <v>21</v>
      </c>
      <c r="C28" s="13">
        <v>4</v>
      </c>
    </row>
    <row r="29" spans="1:4" x14ac:dyDescent="0.3">
      <c r="A29" s="12" t="s">
        <v>22</v>
      </c>
      <c r="C29" s="13">
        <v>4</v>
      </c>
    </row>
    <row r="30" spans="1:4" x14ac:dyDescent="0.3">
      <c r="A30" s="12" t="s">
        <v>23</v>
      </c>
      <c r="C30" s="13">
        <v>4</v>
      </c>
    </row>
    <row r="31" spans="1:4" x14ac:dyDescent="0.3">
      <c r="A31" s="12" t="s">
        <v>51</v>
      </c>
      <c r="B31" t="s">
        <v>83</v>
      </c>
      <c r="C31" s="13">
        <v>4</v>
      </c>
    </row>
    <row r="32" spans="1:4" x14ac:dyDescent="0.3">
      <c r="A32" s="12" t="s">
        <v>29</v>
      </c>
      <c r="C32" s="13">
        <v>4</v>
      </c>
    </row>
    <row r="33" spans="1:3" x14ac:dyDescent="0.3">
      <c r="A33" s="12" t="s">
        <v>30</v>
      </c>
      <c r="B33" t="s">
        <v>84</v>
      </c>
      <c r="C33" s="13">
        <v>2</v>
      </c>
    </row>
    <row r="34" spans="1:3" x14ac:dyDescent="0.3">
      <c r="A34" s="12" t="s">
        <v>31</v>
      </c>
      <c r="B34" t="s">
        <v>84</v>
      </c>
      <c r="C34" s="13">
        <v>2</v>
      </c>
    </row>
    <row r="35" spans="1:3" x14ac:dyDescent="0.3">
      <c r="A35" s="12" t="s">
        <v>32</v>
      </c>
      <c r="B35" t="s">
        <v>85</v>
      </c>
      <c r="C35" s="13">
        <v>0</v>
      </c>
    </row>
    <row r="36" spans="1:3" x14ac:dyDescent="0.3">
      <c r="A36" s="12" t="s">
        <v>33</v>
      </c>
      <c r="B36" t="s">
        <v>86</v>
      </c>
      <c r="C36" s="13">
        <v>0</v>
      </c>
    </row>
    <row r="37" spans="1:3" x14ac:dyDescent="0.3">
      <c r="A37" s="12" t="s">
        <v>34</v>
      </c>
      <c r="B37" t="s">
        <v>87</v>
      </c>
      <c r="C37" s="13">
        <v>2</v>
      </c>
    </row>
    <row r="38" spans="1:3" x14ac:dyDescent="0.3">
      <c r="A38" s="12" t="s">
        <v>35</v>
      </c>
      <c r="B38" t="s">
        <v>87</v>
      </c>
      <c r="C38" s="13">
        <v>1</v>
      </c>
    </row>
    <row r="39" spans="1:3" x14ac:dyDescent="0.3">
      <c r="A39" s="12" t="s">
        <v>36</v>
      </c>
      <c r="B39" t="s">
        <v>88</v>
      </c>
      <c r="C39" s="13">
        <v>0</v>
      </c>
    </row>
    <row r="40" spans="1:3" x14ac:dyDescent="0.3">
      <c r="A40" s="12" t="s">
        <v>37</v>
      </c>
      <c r="B40" t="s">
        <v>89</v>
      </c>
      <c r="C40" s="13">
        <v>0</v>
      </c>
    </row>
    <row r="41" spans="1:3" x14ac:dyDescent="0.3">
      <c r="A41" s="12" t="s">
        <v>38</v>
      </c>
      <c r="B41" t="s">
        <v>90</v>
      </c>
      <c r="C41" s="13">
        <v>0</v>
      </c>
    </row>
    <row r="42" spans="1:3" x14ac:dyDescent="0.3">
      <c r="A42" s="12" t="s">
        <v>39</v>
      </c>
      <c r="C42" s="13">
        <v>4</v>
      </c>
    </row>
    <row r="43" spans="1:3" x14ac:dyDescent="0.3">
      <c r="A43" s="12" t="s">
        <v>40</v>
      </c>
      <c r="B43" t="s">
        <v>91</v>
      </c>
      <c r="C43" s="13">
        <v>2</v>
      </c>
    </row>
    <row r="44" spans="1:3" x14ac:dyDescent="0.3">
      <c r="A44" s="12" t="s">
        <v>41</v>
      </c>
      <c r="B44" t="s">
        <v>91</v>
      </c>
      <c r="C44" s="13">
        <v>2</v>
      </c>
    </row>
    <row r="45" spans="1:3" x14ac:dyDescent="0.3">
      <c r="A45" s="12" t="s">
        <v>42</v>
      </c>
      <c r="B45" t="s">
        <v>91</v>
      </c>
      <c r="C45" s="13">
        <v>1</v>
      </c>
    </row>
    <row r="46" spans="1:3" x14ac:dyDescent="0.3">
      <c r="A46" s="12" t="s">
        <v>43</v>
      </c>
      <c r="C46" s="13">
        <v>4</v>
      </c>
    </row>
    <row r="47" spans="1:3" x14ac:dyDescent="0.3">
      <c r="A47" s="12" t="s">
        <v>44</v>
      </c>
      <c r="B47" t="s">
        <v>92</v>
      </c>
      <c r="C47" s="13">
        <v>2</v>
      </c>
    </row>
    <row r="48" spans="1:3" x14ac:dyDescent="0.3">
      <c r="A48" s="12" t="s">
        <v>45</v>
      </c>
      <c r="B48" t="s">
        <v>92</v>
      </c>
      <c r="C48" s="13">
        <v>2</v>
      </c>
    </row>
    <row r="49" spans="1:4" x14ac:dyDescent="0.3">
      <c r="A49" s="12" t="s">
        <v>46</v>
      </c>
      <c r="B49" t="s">
        <v>92</v>
      </c>
      <c r="C49" s="13">
        <v>1</v>
      </c>
    </row>
    <row r="50" spans="1:4" x14ac:dyDescent="0.3">
      <c r="A50" s="12" t="s">
        <v>47</v>
      </c>
      <c r="C50" s="13">
        <v>4</v>
      </c>
    </row>
    <row r="51" spans="1:4" x14ac:dyDescent="0.3">
      <c r="A51" s="12" t="s">
        <v>48</v>
      </c>
      <c r="C51" s="13">
        <v>4</v>
      </c>
    </row>
    <row r="52" spans="1:4" x14ac:dyDescent="0.3">
      <c r="A52" s="12" t="s">
        <v>49</v>
      </c>
      <c r="C52" s="13">
        <v>4</v>
      </c>
    </row>
    <row r="53" spans="1:4" x14ac:dyDescent="0.3">
      <c r="A53" s="12" t="s">
        <v>50</v>
      </c>
      <c r="C53" s="13">
        <v>4</v>
      </c>
    </row>
    <row r="54" spans="1:4" x14ac:dyDescent="0.3">
      <c r="A54" s="12" t="s">
        <v>135</v>
      </c>
      <c r="C54" s="13">
        <v>1</v>
      </c>
    </row>
    <row r="56" spans="1:4" x14ac:dyDescent="0.3">
      <c r="B56" s="14" t="s">
        <v>137</v>
      </c>
      <c r="C56" s="13">
        <v>256</v>
      </c>
      <c r="D56" s="3" t="str">
        <f>(C56*8)&amp;" bytes"</f>
        <v>2048 bytes</v>
      </c>
    </row>
    <row r="57" spans="1:4" x14ac:dyDescent="0.3">
      <c r="B57" s="14" t="s">
        <v>138</v>
      </c>
      <c r="C57" s="11">
        <f>SUM(C2:C54)</f>
        <v>150</v>
      </c>
      <c r="D57" s="11" t="str">
        <f>(C57*8)&amp;" bytes"</f>
        <v>1200 bytes</v>
      </c>
    </row>
    <row r="58" spans="1:4" x14ac:dyDescent="0.3">
      <c r="B58" s="14" t="s">
        <v>136</v>
      </c>
      <c r="C58" s="11">
        <f>512/8</f>
        <v>64</v>
      </c>
      <c r="D58" s="11" t="str">
        <f>(C58*8)&amp;" bytes"</f>
        <v>512 bytes</v>
      </c>
    </row>
    <row r="59" spans="1:4" x14ac:dyDescent="0.3">
      <c r="B59" s="14" t="s">
        <v>93</v>
      </c>
      <c r="C59" s="2">
        <f>C56-C57-C58</f>
        <v>42</v>
      </c>
      <c r="D59" s="1" t="str">
        <f>(C59*8)&amp;" bytes"</f>
        <v>336 bytes</v>
      </c>
    </row>
  </sheetData>
  <autoFilter ref="A1:D59" xr:uid="{5927D687-0E20-461F-BF7C-9EB33D57AC1C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F1C6-255E-455A-9668-2897558E8554}">
  <dimension ref="A1:AJ867"/>
  <sheetViews>
    <sheetView zoomScale="85" zoomScaleNormal="85" workbookViewId="0"/>
  </sheetViews>
  <sheetFormatPr defaultRowHeight="14.4" x14ac:dyDescent="0.3"/>
  <cols>
    <col min="1" max="1" width="12.77734375" customWidth="1"/>
    <col min="2" max="9" width="3.77734375" style="2" customWidth="1"/>
    <col min="10" max="10" width="2.77734375" customWidth="1"/>
    <col min="11" max="18" width="2.77734375" style="2" customWidth="1"/>
    <col min="19" max="19" width="4.77734375" customWidth="1"/>
    <col min="20" max="20" width="17.88671875" bestFit="1" customWidth="1"/>
    <col min="21" max="21" width="4.77734375" customWidth="1"/>
    <col min="22" max="23" width="9.77734375" customWidth="1"/>
    <col min="24" max="25" width="3.77734375" customWidth="1"/>
    <col min="26" max="26" width="4.77734375" customWidth="1"/>
    <col min="27" max="34" width="3.77734375" customWidth="1"/>
    <col min="35" max="35" width="4.77734375" customWidth="1"/>
    <col min="36" max="36" width="40.77734375" customWidth="1"/>
  </cols>
  <sheetData>
    <row r="1" spans="1:36" x14ac:dyDescent="0.3">
      <c r="A1" t="s">
        <v>28</v>
      </c>
      <c r="AJ1" t="str">
        <f>";"&amp;PROPER(A1)</f>
        <v>;Pathway</v>
      </c>
    </row>
    <row r="2" spans="1:36" x14ac:dyDescent="0.3"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K2" s="2" t="str">
        <f t="shared" ref="K2:K17" si="0">DEC2BIN(B2,2)</f>
        <v>00</v>
      </c>
      <c r="L2" s="2" t="str">
        <f t="shared" ref="L2:L17" si="1">DEC2BIN(C2,2)</f>
        <v>00</v>
      </c>
      <c r="M2" s="2" t="str">
        <f t="shared" ref="M2:M17" si="2">DEC2BIN(D2,2)</f>
        <v>00</v>
      </c>
      <c r="N2" s="2" t="str">
        <f t="shared" ref="N2:N17" si="3">DEC2BIN(E2,2)</f>
        <v>00</v>
      </c>
      <c r="O2" s="2" t="str">
        <f t="shared" ref="O2:O17" si="4">DEC2BIN(F2,2)</f>
        <v>00</v>
      </c>
      <c r="P2" s="2" t="str">
        <f t="shared" ref="P2:P17" si="5">DEC2BIN(G2,2)</f>
        <v>00</v>
      </c>
      <c r="Q2" s="2" t="str">
        <f t="shared" ref="Q2:Q17" si="6">DEC2BIN(H2,2)</f>
        <v>00</v>
      </c>
      <c r="R2" s="2" t="str">
        <f t="shared" ref="R2:R17" si="7">DEC2BIN(I2,2)</f>
        <v>00</v>
      </c>
      <c r="T2" t="str">
        <f t="shared" ref="T2:T17" si="8">_xlfn.CONCAT(K2:R2)</f>
        <v>0000000000000000</v>
      </c>
      <c r="V2" s="8" t="str">
        <f>LEFT(T2,8)</f>
        <v>00000000</v>
      </c>
      <c r="W2" s="8" t="str">
        <f>RIGHT(T2,8)</f>
        <v>00000000</v>
      </c>
      <c r="X2" s="8" t="str">
        <f>BIN2HEX(V2,2)</f>
        <v>00</v>
      </c>
      <c r="Y2" s="8" t="str">
        <f>BIN2HEX(W2,2)</f>
        <v>00</v>
      </c>
      <c r="AA2" t="str" cm="1">
        <f t="array" ref="AA2:AH2">TRANSPOSE(X2:X9)</f>
        <v>00</v>
      </c>
      <c r="AB2" t="str">
        <v>3F</v>
      </c>
      <c r="AC2" t="str">
        <v>00</v>
      </c>
      <c r="AD2" t="str">
        <v>00</v>
      </c>
      <c r="AE2" t="str">
        <v>00</v>
      </c>
      <c r="AF2" t="str">
        <v>FC</v>
      </c>
      <c r="AG2" t="str">
        <v>00</v>
      </c>
      <c r="AH2" t="str">
        <v>00</v>
      </c>
      <c r="AJ2" t="str">
        <f>LOWER("!byte $"&amp;AA2&amp;", $"&amp;AB2&amp;", $"&amp;AC2&amp;", $"&amp;AD2&amp;", $"&amp;AE2&amp;", $"&amp;AF2&amp;", $"&amp;AG2&amp;", $"&amp;AH2)</f>
        <v>!byte $00, $3f, $00, $00, $00, $fc, $00, $00</v>
      </c>
    </row>
    <row r="3" spans="1:36" x14ac:dyDescent="0.3">
      <c r="B3" s="2">
        <v>0</v>
      </c>
      <c r="C3" s="2">
        <v>3</v>
      </c>
      <c r="D3" s="2">
        <v>3</v>
      </c>
      <c r="E3" s="2">
        <v>3</v>
      </c>
      <c r="F3" s="2">
        <v>0</v>
      </c>
      <c r="G3" s="2">
        <v>3</v>
      </c>
      <c r="H3" s="2">
        <v>3</v>
      </c>
      <c r="I3" s="2">
        <v>0</v>
      </c>
      <c r="K3" s="2" t="str">
        <f t="shared" si="0"/>
        <v>00</v>
      </c>
      <c r="L3" s="2" t="str">
        <f t="shared" si="1"/>
        <v>11</v>
      </c>
      <c r="M3" s="2" t="str">
        <f t="shared" si="2"/>
        <v>11</v>
      </c>
      <c r="N3" s="2" t="str">
        <f t="shared" si="3"/>
        <v>11</v>
      </c>
      <c r="O3" s="2" t="str">
        <f t="shared" si="4"/>
        <v>00</v>
      </c>
      <c r="P3" s="2" t="str">
        <f t="shared" si="5"/>
        <v>11</v>
      </c>
      <c r="Q3" s="2" t="str">
        <f t="shared" si="6"/>
        <v>11</v>
      </c>
      <c r="R3" s="2" t="str">
        <f t="shared" si="7"/>
        <v>00</v>
      </c>
      <c r="T3" t="str">
        <f t="shared" si="8"/>
        <v>0011111100111100</v>
      </c>
      <c r="V3" s="9" t="str">
        <f t="shared" ref="V3:V17" si="9">LEFT(T3,8)</f>
        <v>00111111</v>
      </c>
      <c r="W3" s="9" t="str">
        <f t="shared" ref="W3:W17" si="10">RIGHT(T3,8)</f>
        <v>00111100</v>
      </c>
      <c r="X3" s="9" t="str">
        <f t="shared" ref="X3:X17" si="11">BIN2HEX(V3,2)</f>
        <v>3F</v>
      </c>
      <c r="Y3" s="9" t="str">
        <f t="shared" ref="Y3:Y17" si="12">BIN2HEX(W3,2)</f>
        <v>3C</v>
      </c>
      <c r="AA3" t="str" cm="1">
        <f t="array" ref="AA3:AH3">TRANSPOSE(X10:X17)</f>
        <v>00</v>
      </c>
      <c r="AB3" t="str">
        <v>33</v>
      </c>
      <c r="AC3" t="str">
        <v>00</v>
      </c>
      <c r="AD3" t="str">
        <v>00</v>
      </c>
      <c r="AE3" t="str">
        <v>00</v>
      </c>
      <c r="AF3" t="str">
        <v>FC</v>
      </c>
      <c r="AG3" t="str">
        <v>00</v>
      </c>
      <c r="AH3" t="str">
        <v>00</v>
      </c>
      <c r="AJ3" t="str">
        <f t="shared" ref="AJ3:AJ5" si="13">LOWER("!byte $"&amp;AA3&amp;", $"&amp;AB3&amp;", $"&amp;AC3&amp;", $"&amp;AD3&amp;", $"&amp;AE3&amp;", $"&amp;AF3&amp;", $"&amp;AG3&amp;", $"&amp;AH3)</f>
        <v>!byte $00, $33, $00, $00, $00, $fc, $00, $00</v>
      </c>
    </row>
    <row r="4" spans="1:36" x14ac:dyDescent="0.3"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K4" s="2" t="str">
        <f t="shared" si="0"/>
        <v>00</v>
      </c>
      <c r="L4" s="2" t="str">
        <f t="shared" si="1"/>
        <v>00</v>
      </c>
      <c r="M4" s="2" t="str">
        <f t="shared" si="2"/>
        <v>00</v>
      </c>
      <c r="N4" s="2" t="str">
        <f t="shared" si="3"/>
        <v>00</v>
      </c>
      <c r="O4" s="2" t="str">
        <f t="shared" si="4"/>
        <v>00</v>
      </c>
      <c r="P4" s="2" t="str">
        <f t="shared" si="5"/>
        <v>00</v>
      </c>
      <c r="Q4" s="2" t="str">
        <f t="shared" si="6"/>
        <v>00</v>
      </c>
      <c r="R4" s="2" t="str">
        <f t="shared" si="7"/>
        <v>00</v>
      </c>
      <c r="T4" t="str">
        <f t="shared" si="8"/>
        <v>0000000000000000</v>
      </c>
      <c r="V4" s="9" t="str">
        <f t="shared" si="9"/>
        <v>00000000</v>
      </c>
      <c r="W4" s="9" t="str">
        <f t="shared" si="10"/>
        <v>00000000</v>
      </c>
      <c r="X4" s="9" t="str">
        <f t="shared" si="11"/>
        <v>00</v>
      </c>
      <c r="Y4" s="9" t="str">
        <f t="shared" si="12"/>
        <v>00</v>
      </c>
      <c r="AA4" t="str" cm="1">
        <f t="array" ref="AA4:AH4">TRANSPOSE(Y2:Y9)</f>
        <v>00</v>
      </c>
      <c r="AB4" t="str">
        <v>3C</v>
      </c>
      <c r="AC4" t="str">
        <v>00</v>
      </c>
      <c r="AD4" t="str">
        <v>00</v>
      </c>
      <c r="AE4" t="str">
        <v>00</v>
      </c>
      <c r="AF4" t="str">
        <v>CC</v>
      </c>
      <c r="AG4" t="str">
        <v>00</v>
      </c>
      <c r="AH4" t="str">
        <v>00</v>
      </c>
      <c r="AJ4" t="str">
        <f t="shared" si="13"/>
        <v>!byte $00, $3c, $00, $00, $00, $cc, $00, $00</v>
      </c>
    </row>
    <row r="5" spans="1:36" x14ac:dyDescent="0.3"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K5" s="2" t="str">
        <f t="shared" si="0"/>
        <v>00</v>
      </c>
      <c r="L5" s="2" t="str">
        <f t="shared" si="1"/>
        <v>00</v>
      </c>
      <c r="M5" s="2" t="str">
        <f t="shared" si="2"/>
        <v>00</v>
      </c>
      <c r="N5" s="2" t="str">
        <f t="shared" si="3"/>
        <v>00</v>
      </c>
      <c r="O5" s="2" t="str">
        <f t="shared" si="4"/>
        <v>00</v>
      </c>
      <c r="P5" s="2" t="str">
        <f t="shared" si="5"/>
        <v>00</v>
      </c>
      <c r="Q5" s="2" t="str">
        <f t="shared" si="6"/>
        <v>00</v>
      </c>
      <c r="R5" s="2" t="str">
        <f t="shared" si="7"/>
        <v>00</v>
      </c>
      <c r="T5" t="str">
        <f t="shared" si="8"/>
        <v>0000000000000000</v>
      </c>
      <c r="V5" s="9" t="str">
        <f t="shared" si="9"/>
        <v>00000000</v>
      </c>
      <c r="W5" s="9" t="str">
        <f t="shared" si="10"/>
        <v>00000000</v>
      </c>
      <c r="X5" s="9" t="str">
        <f t="shared" si="11"/>
        <v>00</v>
      </c>
      <c r="Y5" s="9" t="str">
        <f t="shared" si="12"/>
        <v>00</v>
      </c>
      <c r="AA5" t="str" cm="1">
        <f t="array" ref="AA5:AH5">TRANSPOSE(Y10:Y17)</f>
        <v>00</v>
      </c>
      <c r="AB5" t="str">
        <v>CF</v>
      </c>
      <c r="AC5" t="str">
        <v>00</v>
      </c>
      <c r="AD5" t="str">
        <v>00</v>
      </c>
      <c r="AE5" t="str">
        <v>00</v>
      </c>
      <c r="AF5" t="str">
        <v>C3</v>
      </c>
      <c r="AG5" t="str">
        <v>00</v>
      </c>
      <c r="AH5" t="str">
        <v>00</v>
      </c>
      <c r="AJ5" t="str">
        <f t="shared" si="13"/>
        <v>!byte $00, $cf, $00, $00, $00, $c3, $00, $00</v>
      </c>
    </row>
    <row r="6" spans="1:36" x14ac:dyDescent="0.3"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K6" s="2" t="str">
        <f t="shared" si="0"/>
        <v>00</v>
      </c>
      <c r="L6" s="2" t="str">
        <f t="shared" si="1"/>
        <v>00</v>
      </c>
      <c r="M6" s="2" t="str">
        <f t="shared" si="2"/>
        <v>00</v>
      </c>
      <c r="N6" s="2" t="str">
        <f t="shared" si="3"/>
        <v>00</v>
      </c>
      <c r="O6" s="2" t="str">
        <f t="shared" si="4"/>
        <v>00</v>
      </c>
      <c r="P6" s="2" t="str">
        <f t="shared" si="5"/>
        <v>00</v>
      </c>
      <c r="Q6" s="2" t="str">
        <f t="shared" si="6"/>
        <v>00</v>
      </c>
      <c r="R6" s="2" t="str">
        <f t="shared" si="7"/>
        <v>00</v>
      </c>
      <c r="T6" t="str">
        <f t="shared" si="8"/>
        <v>0000000000000000</v>
      </c>
      <c r="V6" s="9" t="str">
        <f t="shared" si="9"/>
        <v>00000000</v>
      </c>
      <c r="W6" s="9" t="str">
        <f t="shared" si="10"/>
        <v>00000000</v>
      </c>
      <c r="X6" s="9" t="str">
        <f t="shared" si="11"/>
        <v>00</v>
      </c>
      <c r="Y6" s="9" t="str">
        <f t="shared" si="12"/>
        <v>00</v>
      </c>
    </row>
    <row r="7" spans="1:36" x14ac:dyDescent="0.3">
      <c r="B7" s="2">
        <v>3</v>
      </c>
      <c r="C7" s="2">
        <v>3</v>
      </c>
      <c r="D7" s="2">
        <v>3</v>
      </c>
      <c r="E7" s="2">
        <v>0</v>
      </c>
      <c r="F7" s="2">
        <v>3</v>
      </c>
      <c r="G7" s="2">
        <v>0</v>
      </c>
      <c r="H7" s="2">
        <v>3</v>
      </c>
      <c r="I7" s="2">
        <v>0</v>
      </c>
      <c r="K7" s="2" t="str">
        <f t="shared" si="0"/>
        <v>11</v>
      </c>
      <c r="L7" s="2" t="str">
        <f t="shared" si="1"/>
        <v>11</v>
      </c>
      <c r="M7" s="2" t="str">
        <f t="shared" si="2"/>
        <v>11</v>
      </c>
      <c r="N7" s="2" t="str">
        <f t="shared" si="3"/>
        <v>00</v>
      </c>
      <c r="O7" s="2" t="str">
        <f t="shared" si="4"/>
        <v>11</v>
      </c>
      <c r="P7" s="2" t="str">
        <f t="shared" si="5"/>
        <v>00</v>
      </c>
      <c r="Q7" s="2" t="str">
        <f t="shared" si="6"/>
        <v>11</v>
      </c>
      <c r="R7" s="2" t="str">
        <f t="shared" si="7"/>
        <v>00</v>
      </c>
      <c r="T7" t="str">
        <f t="shared" si="8"/>
        <v>1111110011001100</v>
      </c>
      <c r="V7" s="9" t="str">
        <f t="shared" si="9"/>
        <v>11111100</v>
      </c>
      <c r="W7" s="9" t="str">
        <f t="shared" si="10"/>
        <v>11001100</v>
      </c>
      <c r="X7" s="9" t="str">
        <f t="shared" si="11"/>
        <v>FC</v>
      </c>
      <c r="Y7" s="9" t="str">
        <f t="shared" si="12"/>
        <v>CC</v>
      </c>
    </row>
    <row r="8" spans="1:36" x14ac:dyDescent="0.3"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K8" s="2" t="str">
        <f t="shared" si="0"/>
        <v>00</v>
      </c>
      <c r="L8" s="2" t="str">
        <f t="shared" si="1"/>
        <v>00</v>
      </c>
      <c r="M8" s="2" t="str">
        <f t="shared" si="2"/>
        <v>00</v>
      </c>
      <c r="N8" s="2" t="str">
        <f t="shared" si="3"/>
        <v>00</v>
      </c>
      <c r="O8" s="2" t="str">
        <f t="shared" si="4"/>
        <v>00</v>
      </c>
      <c r="P8" s="2" t="str">
        <f t="shared" si="5"/>
        <v>00</v>
      </c>
      <c r="Q8" s="2" t="str">
        <f t="shared" si="6"/>
        <v>00</v>
      </c>
      <c r="R8" s="2" t="str">
        <f t="shared" si="7"/>
        <v>00</v>
      </c>
      <c r="T8" t="str">
        <f t="shared" si="8"/>
        <v>0000000000000000</v>
      </c>
      <c r="V8" s="9" t="str">
        <f t="shared" si="9"/>
        <v>00000000</v>
      </c>
      <c r="W8" s="9" t="str">
        <f t="shared" si="10"/>
        <v>00000000</v>
      </c>
      <c r="X8" s="9" t="str">
        <f t="shared" si="11"/>
        <v>00</v>
      </c>
      <c r="Y8" s="9" t="str">
        <f t="shared" si="12"/>
        <v>00</v>
      </c>
    </row>
    <row r="9" spans="1:36" x14ac:dyDescent="0.3"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K9" s="2" t="str">
        <f t="shared" si="0"/>
        <v>00</v>
      </c>
      <c r="L9" s="2" t="str">
        <f t="shared" si="1"/>
        <v>00</v>
      </c>
      <c r="M9" s="2" t="str">
        <f t="shared" si="2"/>
        <v>00</v>
      </c>
      <c r="N9" s="2" t="str">
        <f t="shared" si="3"/>
        <v>00</v>
      </c>
      <c r="O9" s="2" t="str">
        <f t="shared" si="4"/>
        <v>00</v>
      </c>
      <c r="P9" s="2" t="str">
        <f t="shared" si="5"/>
        <v>00</v>
      </c>
      <c r="Q9" s="2" t="str">
        <f t="shared" si="6"/>
        <v>00</v>
      </c>
      <c r="R9" s="2" t="str">
        <f t="shared" si="7"/>
        <v>00</v>
      </c>
      <c r="T9" t="str">
        <f t="shared" si="8"/>
        <v>0000000000000000</v>
      </c>
      <c r="V9" s="10" t="str">
        <f t="shared" si="9"/>
        <v>00000000</v>
      </c>
      <c r="W9" s="10" t="str">
        <f t="shared" si="10"/>
        <v>00000000</v>
      </c>
      <c r="X9" s="10" t="str">
        <f t="shared" si="11"/>
        <v>00</v>
      </c>
      <c r="Y9" s="10" t="str">
        <f t="shared" si="12"/>
        <v>00</v>
      </c>
    </row>
    <row r="10" spans="1:36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K10" s="2" t="str">
        <f t="shared" si="0"/>
        <v>00</v>
      </c>
      <c r="L10" s="2" t="str">
        <f t="shared" si="1"/>
        <v>00</v>
      </c>
      <c r="M10" s="2" t="str">
        <f t="shared" si="2"/>
        <v>00</v>
      </c>
      <c r="N10" s="2" t="str">
        <f t="shared" si="3"/>
        <v>00</v>
      </c>
      <c r="O10" s="2" t="str">
        <f t="shared" si="4"/>
        <v>00</v>
      </c>
      <c r="P10" s="2" t="str">
        <f t="shared" si="5"/>
        <v>00</v>
      </c>
      <c r="Q10" s="2" t="str">
        <f t="shared" si="6"/>
        <v>00</v>
      </c>
      <c r="R10" s="2" t="str">
        <f t="shared" si="7"/>
        <v>00</v>
      </c>
      <c r="T10" t="str">
        <f t="shared" si="8"/>
        <v>0000000000000000</v>
      </c>
      <c r="V10" s="8" t="str">
        <f t="shared" si="9"/>
        <v>00000000</v>
      </c>
      <c r="W10" s="8" t="str">
        <f t="shared" si="10"/>
        <v>00000000</v>
      </c>
      <c r="X10" s="8" t="str">
        <f t="shared" si="11"/>
        <v>00</v>
      </c>
      <c r="Y10" s="8" t="str">
        <f t="shared" si="12"/>
        <v>00</v>
      </c>
    </row>
    <row r="11" spans="1:36" x14ac:dyDescent="0.3">
      <c r="B11" s="2">
        <v>0</v>
      </c>
      <c r="C11" s="2">
        <v>3</v>
      </c>
      <c r="D11" s="2">
        <v>0</v>
      </c>
      <c r="E11" s="2">
        <v>3</v>
      </c>
      <c r="F11" s="2">
        <v>3</v>
      </c>
      <c r="G11" s="2">
        <v>0</v>
      </c>
      <c r="H11" s="2">
        <v>3</v>
      </c>
      <c r="I11" s="2">
        <v>3</v>
      </c>
      <c r="K11" s="2" t="str">
        <f t="shared" si="0"/>
        <v>00</v>
      </c>
      <c r="L11" s="2" t="str">
        <f t="shared" si="1"/>
        <v>11</v>
      </c>
      <c r="M11" s="2" t="str">
        <f t="shared" si="2"/>
        <v>00</v>
      </c>
      <c r="N11" s="2" t="str">
        <f t="shared" si="3"/>
        <v>11</v>
      </c>
      <c r="O11" s="2" t="str">
        <f t="shared" si="4"/>
        <v>11</v>
      </c>
      <c r="P11" s="2" t="str">
        <f t="shared" si="5"/>
        <v>00</v>
      </c>
      <c r="Q11" s="2" t="str">
        <f t="shared" si="6"/>
        <v>11</v>
      </c>
      <c r="R11" s="2" t="str">
        <f t="shared" si="7"/>
        <v>11</v>
      </c>
      <c r="T11" t="str">
        <f t="shared" si="8"/>
        <v>0011001111001111</v>
      </c>
      <c r="V11" s="9" t="str">
        <f t="shared" si="9"/>
        <v>00110011</v>
      </c>
      <c r="W11" s="9" t="str">
        <f t="shared" si="10"/>
        <v>11001111</v>
      </c>
      <c r="X11" s="9" t="str">
        <f t="shared" si="11"/>
        <v>33</v>
      </c>
      <c r="Y11" s="9" t="str">
        <f t="shared" si="12"/>
        <v>CF</v>
      </c>
    </row>
    <row r="12" spans="1:36" x14ac:dyDescent="0.3"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K12" s="2" t="str">
        <f t="shared" si="0"/>
        <v>00</v>
      </c>
      <c r="L12" s="2" t="str">
        <f t="shared" si="1"/>
        <v>00</v>
      </c>
      <c r="M12" s="2" t="str">
        <f t="shared" si="2"/>
        <v>00</v>
      </c>
      <c r="N12" s="2" t="str">
        <f t="shared" si="3"/>
        <v>00</v>
      </c>
      <c r="O12" s="2" t="str">
        <f t="shared" si="4"/>
        <v>00</v>
      </c>
      <c r="P12" s="2" t="str">
        <f t="shared" si="5"/>
        <v>00</v>
      </c>
      <c r="Q12" s="2" t="str">
        <f t="shared" si="6"/>
        <v>00</v>
      </c>
      <c r="R12" s="2" t="str">
        <f t="shared" si="7"/>
        <v>00</v>
      </c>
      <c r="T12" t="str">
        <f t="shared" si="8"/>
        <v>0000000000000000</v>
      </c>
      <c r="V12" s="9" t="str">
        <f t="shared" si="9"/>
        <v>00000000</v>
      </c>
      <c r="W12" s="9" t="str">
        <f t="shared" si="10"/>
        <v>00000000</v>
      </c>
      <c r="X12" s="9" t="str">
        <f t="shared" si="11"/>
        <v>00</v>
      </c>
      <c r="Y12" s="9" t="str">
        <f t="shared" si="12"/>
        <v>00</v>
      </c>
    </row>
    <row r="13" spans="1:36" x14ac:dyDescent="0.3"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K13" s="2" t="str">
        <f t="shared" si="0"/>
        <v>00</v>
      </c>
      <c r="L13" s="2" t="str">
        <f t="shared" si="1"/>
        <v>00</v>
      </c>
      <c r="M13" s="2" t="str">
        <f t="shared" si="2"/>
        <v>00</v>
      </c>
      <c r="N13" s="2" t="str">
        <f t="shared" si="3"/>
        <v>00</v>
      </c>
      <c r="O13" s="2" t="str">
        <f t="shared" si="4"/>
        <v>00</v>
      </c>
      <c r="P13" s="2" t="str">
        <f t="shared" si="5"/>
        <v>00</v>
      </c>
      <c r="Q13" s="2" t="str">
        <f t="shared" si="6"/>
        <v>00</v>
      </c>
      <c r="R13" s="2" t="str">
        <f t="shared" si="7"/>
        <v>00</v>
      </c>
      <c r="T13" t="str">
        <f t="shared" si="8"/>
        <v>0000000000000000</v>
      </c>
      <c r="V13" s="9" t="str">
        <f t="shared" si="9"/>
        <v>00000000</v>
      </c>
      <c r="W13" s="9" t="str">
        <f t="shared" si="10"/>
        <v>00000000</v>
      </c>
      <c r="X13" s="9" t="str">
        <f t="shared" si="11"/>
        <v>00</v>
      </c>
      <c r="Y13" s="9" t="str">
        <f t="shared" si="12"/>
        <v>00</v>
      </c>
    </row>
    <row r="14" spans="1:36" x14ac:dyDescent="0.3"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K14" s="2" t="str">
        <f t="shared" si="0"/>
        <v>00</v>
      </c>
      <c r="L14" s="2" t="str">
        <f t="shared" si="1"/>
        <v>00</v>
      </c>
      <c r="M14" s="2" t="str">
        <f t="shared" si="2"/>
        <v>00</v>
      </c>
      <c r="N14" s="2" t="str">
        <f t="shared" si="3"/>
        <v>00</v>
      </c>
      <c r="O14" s="2" t="str">
        <f t="shared" si="4"/>
        <v>00</v>
      </c>
      <c r="P14" s="2" t="str">
        <f t="shared" si="5"/>
        <v>00</v>
      </c>
      <c r="Q14" s="2" t="str">
        <f t="shared" si="6"/>
        <v>00</v>
      </c>
      <c r="R14" s="2" t="str">
        <f t="shared" si="7"/>
        <v>00</v>
      </c>
      <c r="T14" t="str">
        <f t="shared" si="8"/>
        <v>0000000000000000</v>
      </c>
      <c r="V14" s="9" t="str">
        <f t="shared" si="9"/>
        <v>00000000</v>
      </c>
      <c r="W14" s="9" t="str">
        <f t="shared" si="10"/>
        <v>00000000</v>
      </c>
      <c r="X14" s="9" t="str">
        <f t="shared" si="11"/>
        <v>00</v>
      </c>
      <c r="Y14" s="9" t="str">
        <f t="shared" si="12"/>
        <v>00</v>
      </c>
    </row>
    <row r="15" spans="1:36" x14ac:dyDescent="0.3">
      <c r="B15" s="2">
        <v>3</v>
      </c>
      <c r="C15" s="2">
        <v>3</v>
      </c>
      <c r="D15" s="2">
        <v>3</v>
      </c>
      <c r="E15" s="2">
        <v>0</v>
      </c>
      <c r="F15" s="2">
        <v>3</v>
      </c>
      <c r="G15" s="2">
        <v>0</v>
      </c>
      <c r="H15" s="2">
        <v>0</v>
      </c>
      <c r="I15" s="2">
        <v>3</v>
      </c>
      <c r="K15" s="2" t="str">
        <f t="shared" si="0"/>
        <v>11</v>
      </c>
      <c r="L15" s="2" t="str">
        <f t="shared" si="1"/>
        <v>11</v>
      </c>
      <c r="M15" s="2" t="str">
        <f t="shared" si="2"/>
        <v>11</v>
      </c>
      <c r="N15" s="2" t="str">
        <f t="shared" si="3"/>
        <v>00</v>
      </c>
      <c r="O15" s="2" t="str">
        <f t="shared" si="4"/>
        <v>11</v>
      </c>
      <c r="P15" s="2" t="str">
        <f t="shared" si="5"/>
        <v>00</v>
      </c>
      <c r="Q15" s="2" t="str">
        <f t="shared" si="6"/>
        <v>00</v>
      </c>
      <c r="R15" s="2" t="str">
        <f t="shared" si="7"/>
        <v>11</v>
      </c>
      <c r="T15" t="str">
        <f t="shared" si="8"/>
        <v>1111110011000011</v>
      </c>
      <c r="V15" s="9" t="str">
        <f t="shared" si="9"/>
        <v>11111100</v>
      </c>
      <c r="W15" s="9" t="str">
        <f t="shared" si="10"/>
        <v>11000011</v>
      </c>
      <c r="X15" s="9" t="str">
        <f t="shared" si="11"/>
        <v>FC</v>
      </c>
      <c r="Y15" s="9" t="str">
        <f t="shared" si="12"/>
        <v>C3</v>
      </c>
    </row>
    <row r="16" spans="1:36" x14ac:dyDescent="0.3"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K16" s="2" t="str">
        <f t="shared" si="0"/>
        <v>00</v>
      </c>
      <c r="L16" s="2" t="str">
        <f t="shared" si="1"/>
        <v>00</v>
      </c>
      <c r="M16" s="2" t="str">
        <f t="shared" si="2"/>
        <v>00</v>
      </c>
      <c r="N16" s="2" t="str">
        <f t="shared" si="3"/>
        <v>00</v>
      </c>
      <c r="O16" s="2" t="str">
        <f t="shared" si="4"/>
        <v>00</v>
      </c>
      <c r="P16" s="2" t="str">
        <f t="shared" si="5"/>
        <v>00</v>
      </c>
      <c r="Q16" s="2" t="str">
        <f t="shared" si="6"/>
        <v>00</v>
      </c>
      <c r="R16" s="2" t="str">
        <f t="shared" si="7"/>
        <v>00</v>
      </c>
      <c r="T16" t="str">
        <f t="shared" si="8"/>
        <v>0000000000000000</v>
      </c>
      <c r="V16" s="9" t="str">
        <f t="shared" si="9"/>
        <v>00000000</v>
      </c>
      <c r="W16" s="9" t="str">
        <f t="shared" si="10"/>
        <v>00000000</v>
      </c>
      <c r="X16" s="9" t="str">
        <f t="shared" si="11"/>
        <v>00</v>
      </c>
      <c r="Y16" s="9" t="str">
        <f t="shared" si="12"/>
        <v>00</v>
      </c>
    </row>
    <row r="17" spans="1:36" x14ac:dyDescent="0.3"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K17" s="2" t="str">
        <f t="shared" si="0"/>
        <v>00</v>
      </c>
      <c r="L17" s="2" t="str">
        <f t="shared" si="1"/>
        <v>00</v>
      </c>
      <c r="M17" s="2" t="str">
        <f t="shared" si="2"/>
        <v>00</v>
      </c>
      <c r="N17" s="2" t="str">
        <f t="shared" si="3"/>
        <v>00</v>
      </c>
      <c r="O17" s="2" t="str">
        <f t="shared" si="4"/>
        <v>00</v>
      </c>
      <c r="P17" s="2" t="str">
        <f t="shared" si="5"/>
        <v>00</v>
      </c>
      <c r="Q17" s="2" t="str">
        <f t="shared" si="6"/>
        <v>00</v>
      </c>
      <c r="R17" s="2" t="str">
        <f t="shared" si="7"/>
        <v>00</v>
      </c>
      <c r="T17" t="str">
        <f t="shared" si="8"/>
        <v>0000000000000000</v>
      </c>
      <c r="V17" s="10" t="str">
        <f t="shared" si="9"/>
        <v>00000000</v>
      </c>
      <c r="W17" s="10" t="str">
        <f t="shared" si="10"/>
        <v>00000000</v>
      </c>
      <c r="X17" s="10" t="str">
        <f t="shared" si="11"/>
        <v>00</v>
      </c>
      <c r="Y17" s="10" t="str">
        <f t="shared" si="12"/>
        <v>00</v>
      </c>
    </row>
    <row r="18" spans="1:36" x14ac:dyDescent="0.3">
      <c r="A18" t="s">
        <v>219</v>
      </c>
      <c r="AJ18" t="str">
        <f>";"&amp;PROPER(A18)</f>
        <v>;Earth</v>
      </c>
    </row>
    <row r="19" spans="1:36" x14ac:dyDescent="0.3">
      <c r="B19" s="2">
        <v>0</v>
      </c>
      <c r="C19" s="2">
        <v>0</v>
      </c>
      <c r="D19" s="2">
        <v>2</v>
      </c>
      <c r="E19" s="2">
        <v>0</v>
      </c>
      <c r="F19" s="2">
        <v>0</v>
      </c>
      <c r="G19" s="2">
        <v>2</v>
      </c>
      <c r="H19" s="2">
        <v>0</v>
      </c>
      <c r="I19" s="2">
        <v>2</v>
      </c>
      <c r="K19" s="2" t="str">
        <f t="shared" ref="K19:K34" si="14">DEC2BIN(B19,2)</f>
        <v>00</v>
      </c>
      <c r="L19" s="2" t="str">
        <f t="shared" ref="L19:L34" si="15">DEC2BIN(C19,2)</f>
        <v>00</v>
      </c>
      <c r="M19" s="2" t="str">
        <f t="shared" ref="M19:M34" si="16">DEC2BIN(D19,2)</f>
        <v>10</v>
      </c>
      <c r="N19" s="2" t="str">
        <f t="shared" ref="N19:N34" si="17">DEC2BIN(E19,2)</f>
        <v>00</v>
      </c>
      <c r="O19" s="2" t="str">
        <f t="shared" ref="O19:O34" si="18">DEC2BIN(F19,2)</f>
        <v>00</v>
      </c>
      <c r="P19" s="2" t="str">
        <f t="shared" ref="P19:P34" si="19">DEC2BIN(G19,2)</f>
        <v>10</v>
      </c>
      <c r="Q19" s="2" t="str">
        <f t="shared" ref="Q19:Q34" si="20">DEC2BIN(H19,2)</f>
        <v>00</v>
      </c>
      <c r="R19" s="2" t="str">
        <f t="shared" ref="R19:R34" si="21">DEC2BIN(I19,2)</f>
        <v>10</v>
      </c>
      <c r="T19" t="str">
        <f t="shared" ref="T19:T34" si="22">_xlfn.CONCAT(K19:R19)</f>
        <v>0000100000100010</v>
      </c>
      <c r="V19" s="8" t="str">
        <f>LEFT(T19,8)</f>
        <v>00001000</v>
      </c>
      <c r="W19" s="8" t="str">
        <f>RIGHT(T19,8)</f>
        <v>00100010</v>
      </c>
      <c r="X19" s="8" t="str">
        <f>BIN2HEX(V19,2)</f>
        <v>08</v>
      </c>
      <c r="Y19" s="8" t="str">
        <f>BIN2HEX(W19,2)</f>
        <v>22</v>
      </c>
      <c r="AA19" t="str" cm="1">
        <f t="array" ref="AA19:AH19">TRANSPOSE(X19:X26)</f>
        <v>08</v>
      </c>
      <c r="AB19" t="str">
        <v>A0</v>
      </c>
      <c r="AC19" t="str">
        <v>2A</v>
      </c>
      <c r="AD19" t="str">
        <v>A2</v>
      </c>
      <c r="AE19" t="str">
        <v>8A</v>
      </c>
      <c r="AF19" t="str">
        <v>28</v>
      </c>
      <c r="AG19" t="str">
        <v>AA</v>
      </c>
      <c r="AH19" t="str">
        <v>8A</v>
      </c>
      <c r="AJ19" t="str">
        <f>LOWER("!byte $"&amp;AA19&amp;", $"&amp;AB19&amp;", $"&amp;AC19&amp;", $"&amp;AD19&amp;", $"&amp;AE19&amp;", $"&amp;AF19&amp;", $"&amp;AG19&amp;", $"&amp;AH19)</f>
        <v>!byte $08, $a0, $2a, $a2, $8a, $28, $aa, $8a</v>
      </c>
    </row>
    <row r="20" spans="1:36" x14ac:dyDescent="0.3">
      <c r="B20" s="2">
        <v>2</v>
      </c>
      <c r="C20" s="2">
        <v>2</v>
      </c>
      <c r="D20" s="2">
        <v>0</v>
      </c>
      <c r="E20" s="2">
        <v>0</v>
      </c>
      <c r="F20" s="2">
        <v>2</v>
      </c>
      <c r="G20" s="2">
        <v>0</v>
      </c>
      <c r="H20" s="2">
        <v>0</v>
      </c>
      <c r="I20" s="2">
        <v>2</v>
      </c>
      <c r="K20" s="2" t="str">
        <f t="shared" si="14"/>
        <v>10</v>
      </c>
      <c r="L20" s="2" t="str">
        <f t="shared" si="15"/>
        <v>10</v>
      </c>
      <c r="M20" s="2" t="str">
        <f t="shared" si="16"/>
        <v>00</v>
      </c>
      <c r="N20" s="2" t="str">
        <f t="shared" si="17"/>
        <v>00</v>
      </c>
      <c r="O20" s="2" t="str">
        <f t="shared" si="18"/>
        <v>10</v>
      </c>
      <c r="P20" s="2" t="str">
        <f t="shared" si="19"/>
        <v>00</v>
      </c>
      <c r="Q20" s="2" t="str">
        <f t="shared" si="20"/>
        <v>00</v>
      </c>
      <c r="R20" s="2" t="str">
        <f t="shared" si="21"/>
        <v>10</v>
      </c>
      <c r="T20" t="str">
        <f t="shared" si="22"/>
        <v>1010000010000010</v>
      </c>
      <c r="V20" s="9" t="str">
        <f t="shared" ref="V20:V34" si="23">LEFT(T20,8)</f>
        <v>10100000</v>
      </c>
      <c r="W20" s="9" t="str">
        <f t="shared" ref="W20:W34" si="24">RIGHT(T20,8)</f>
        <v>10000010</v>
      </c>
      <c r="X20" s="9" t="str">
        <f t="shared" ref="X20:X34" si="25">BIN2HEX(V20,2)</f>
        <v>A0</v>
      </c>
      <c r="Y20" s="9" t="str">
        <f t="shared" ref="Y20:Y34" si="26">BIN2HEX(W20,2)</f>
        <v>82</v>
      </c>
      <c r="AA20" t="str" cm="1">
        <f t="array" ref="AA20:AH20">TRANSPOSE(X27:X34)</f>
        <v>2A</v>
      </c>
      <c r="AB20" t="str">
        <v>A2</v>
      </c>
      <c r="AC20" t="str">
        <v>A8</v>
      </c>
      <c r="AD20" t="str">
        <v>2A</v>
      </c>
      <c r="AE20" t="str">
        <v>88</v>
      </c>
      <c r="AF20" t="str">
        <v>A0</v>
      </c>
      <c r="AG20" t="str">
        <v>8A</v>
      </c>
      <c r="AH20" t="str">
        <v>20</v>
      </c>
      <c r="AJ20" t="str">
        <f t="shared" ref="AJ20:AJ22" si="27">LOWER("!byte $"&amp;AA20&amp;", $"&amp;AB20&amp;", $"&amp;AC20&amp;", $"&amp;AD20&amp;", $"&amp;AE20&amp;", $"&amp;AF20&amp;", $"&amp;AG20&amp;", $"&amp;AH20)</f>
        <v>!byte $2a, $a2, $a8, $2a, $88, $a0, $8a, $20</v>
      </c>
    </row>
    <row r="21" spans="1:36" x14ac:dyDescent="0.3">
      <c r="B21" s="2">
        <v>0</v>
      </c>
      <c r="C21" s="2">
        <v>2</v>
      </c>
      <c r="D21" s="2">
        <v>2</v>
      </c>
      <c r="E21" s="2">
        <v>2</v>
      </c>
      <c r="F21" s="2">
        <v>0</v>
      </c>
      <c r="G21" s="2">
        <v>2</v>
      </c>
      <c r="H21" s="2">
        <v>2</v>
      </c>
      <c r="I21" s="2">
        <v>0</v>
      </c>
      <c r="K21" s="2" t="str">
        <f t="shared" si="14"/>
        <v>00</v>
      </c>
      <c r="L21" s="2" t="str">
        <f t="shared" si="15"/>
        <v>10</v>
      </c>
      <c r="M21" s="2" t="str">
        <f t="shared" si="16"/>
        <v>10</v>
      </c>
      <c r="N21" s="2" t="str">
        <f t="shared" si="17"/>
        <v>10</v>
      </c>
      <c r="O21" s="2" t="str">
        <f t="shared" si="18"/>
        <v>00</v>
      </c>
      <c r="P21" s="2" t="str">
        <f t="shared" si="19"/>
        <v>10</v>
      </c>
      <c r="Q21" s="2" t="str">
        <f t="shared" si="20"/>
        <v>10</v>
      </c>
      <c r="R21" s="2" t="str">
        <f t="shared" si="21"/>
        <v>00</v>
      </c>
      <c r="T21" t="str">
        <f t="shared" si="22"/>
        <v>0010101000101000</v>
      </c>
      <c r="V21" s="9" t="str">
        <f t="shared" si="23"/>
        <v>00101010</v>
      </c>
      <c r="W21" s="9" t="str">
        <f t="shared" si="24"/>
        <v>00101000</v>
      </c>
      <c r="X21" s="9" t="str">
        <f t="shared" si="25"/>
        <v>2A</v>
      </c>
      <c r="Y21" s="9" t="str">
        <f t="shared" si="26"/>
        <v>28</v>
      </c>
      <c r="AA21" t="str" cm="1">
        <f t="array" ref="AA21:AH21">TRANSPOSE(Y19:Y26)</f>
        <v>22</v>
      </c>
      <c r="AB21" t="str">
        <v>82</v>
      </c>
      <c r="AC21" t="str">
        <v>28</v>
      </c>
      <c r="AD21" t="str">
        <v>A2</v>
      </c>
      <c r="AE21" t="str">
        <v>8A</v>
      </c>
      <c r="AF21" t="str">
        <v>A8</v>
      </c>
      <c r="AG21" t="str">
        <v>8A</v>
      </c>
      <c r="AH21" t="str">
        <v>A8</v>
      </c>
      <c r="AJ21" t="str">
        <f t="shared" si="27"/>
        <v>!byte $22, $82, $28, $a2, $8a, $a8, $8a, $a8</v>
      </c>
    </row>
    <row r="22" spans="1:36" x14ac:dyDescent="0.3">
      <c r="B22" s="2">
        <v>2</v>
      </c>
      <c r="C22" s="2">
        <v>2</v>
      </c>
      <c r="D22" s="2">
        <v>0</v>
      </c>
      <c r="E22" s="2">
        <v>2</v>
      </c>
      <c r="F22" s="2">
        <v>2</v>
      </c>
      <c r="G22" s="2">
        <v>2</v>
      </c>
      <c r="H22" s="2">
        <v>0</v>
      </c>
      <c r="I22" s="2">
        <v>2</v>
      </c>
      <c r="K22" s="2" t="str">
        <f t="shared" si="14"/>
        <v>10</v>
      </c>
      <c r="L22" s="2" t="str">
        <f t="shared" si="15"/>
        <v>10</v>
      </c>
      <c r="M22" s="2" t="str">
        <f t="shared" si="16"/>
        <v>00</v>
      </c>
      <c r="N22" s="2" t="str">
        <f t="shared" si="17"/>
        <v>10</v>
      </c>
      <c r="O22" s="2" t="str">
        <f t="shared" si="18"/>
        <v>10</v>
      </c>
      <c r="P22" s="2" t="str">
        <f t="shared" si="19"/>
        <v>10</v>
      </c>
      <c r="Q22" s="2" t="str">
        <f t="shared" si="20"/>
        <v>00</v>
      </c>
      <c r="R22" s="2" t="str">
        <f t="shared" si="21"/>
        <v>10</v>
      </c>
      <c r="T22" t="str">
        <f t="shared" si="22"/>
        <v>1010001010100010</v>
      </c>
      <c r="V22" s="9" t="str">
        <f t="shared" si="23"/>
        <v>10100010</v>
      </c>
      <c r="W22" s="9" t="str">
        <f t="shared" si="24"/>
        <v>10100010</v>
      </c>
      <c r="X22" s="9" t="str">
        <f t="shared" si="25"/>
        <v>A2</v>
      </c>
      <c r="Y22" s="9" t="str">
        <f t="shared" si="26"/>
        <v>A2</v>
      </c>
      <c r="AA22" t="str" cm="1">
        <f t="array" ref="AA22:AH22">TRANSPOSE(Y27:Y34)</f>
        <v>AA</v>
      </c>
      <c r="AB22" t="str">
        <v>A8</v>
      </c>
      <c r="AC22" t="str">
        <v>A2</v>
      </c>
      <c r="AD22" t="str">
        <v>2A</v>
      </c>
      <c r="AE22" t="str">
        <v>88</v>
      </c>
      <c r="AF22" t="str">
        <v>A2</v>
      </c>
      <c r="AG22" t="str">
        <v>20</v>
      </c>
      <c r="AH22" t="str">
        <v>88</v>
      </c>
      <c r="AJ22" t="str">
        <f t="shared" si="27"/>
        <v>!byte $aa, $a8, $a2, $2a, $88, $a2, $20, $88</v>
      </c>
    </row>
    <row r="23" spans="1:36" x14ac:dyDescent="0.3">
      <c r="B23" s="2">
        <v>2</v>
      </c>
      <c r="C23" s="2">
        <v>0</v>
      </c>
      <c r="D23" s="2">
        <v>2</v>
      </c>
      <c r="E23" s="2">
        <v>2</v>
      </c>
      <c r="F23" s="2">
        <v>2</v>
      </c>
      <c r="G23" s="2">
        <v>0</v>
      </c>
      <c r="H23" s="2">
        <v>2</v>
      </c>
      <c r="I23" s="2">
        <v>2</v>
      </c>
      <c r="K23" s="2" t="str">
        <f t="shared" si="14"/>
        <v>10</v>
      </c>
      <c r="L23" s="2" t="str">
        <f t="shared" si="15"/>
        <v>00</v>
      </c>
      <c r="M23" s="2" t="str">
        <f t="shared" si="16"/>
        <v>10</v>
      </c>
      <c r="N23" s="2" t="str">
        <f t="shared" si="17"/>
        <v>10</v>
      </c>
      <c r="O23" s="2" t="str">
        <f t="shared" si="18"/>
        <v>10</v>
      </c>
      <c r="P23" s="2" t="str">
        <f t="shared" si="19"/>
        <v>00</v>
      </c>
      <c r="Q23" s="2" t="str">
        <f t="shared" si="20"/>
        <v>10</v>
      </c>
      <c r="R23" s="2" t="str">
        <f t="shared" si="21"/>
        <v>10</v>
      </c>
      <c r="T23" t="str">
        <f t="shared" si="22"/>
        <v>1000101010001010</v>
      </c>
      <c r="V23" s="9" t="str">
        <f t="shared" si="23"/>
        <v>10001010</v>
      </c>
      <c r="W23" s="9" t="str">
        <f t="shared" si="24"/>
        <v>10001010</v>
      </c>
      <c r="X23" s="9" t="str">
        <f t="shared" si="25"/>
        <v>8A</v>
      </c>
      <c r="Y23" s="9" t="str">
        <f t="shared" si="26"/>
        <v>8A</v>
      </c>
    </row>
    <row r="24" spans="1:36" x14ac:dyDescent="0.3">
      <c r="B24" s="2">
        <v>0</v>
      </c>
      <c r="C24" s="2">
        <v>2</v>
      </c>
      <c r="D24" s="2">
        <v>2</v>
      </c>
      <c r="E24" s="2">
        <v>0</v>
      </c>
      <c r="F24" s="2">
        <v>2</v>
      </c>
      <c r="G24" s="2">
        <v>2</v>
      </c>
      <c r="H24" s="2">
        <v>2</v>
      </c>
      <c r="I24" s="2">
        <v>0</v>
      </c>
      <c r="K24" s="2" t="str">
        <f t="shared" si="14"/>
        <v>00</v>
      </c>
      <c r="L24" s="2" t="str">
        <f t="shared" si="15"/>
        <v>10</v>
      </c>
      <c r="M24" s="2" t="str">
        <f t="shared" si="16"/>
        <v>10</v>
      </c>
      <c r="N24" s="2" t="str">
        <f t="shared" si="17"/>
        <v>00</v>
      </c>
      <c r="O24" s="2" t="str">
        <f t="shared" si="18"/>
        <v>10</v>
      </c>
      <c r="P24" s="2" t="str">
        <f t="shared" si="19"/>
        <v>10</v>
      </c>
      <c r="Q24" s="2" t="str">
        <f t="shared" si="20"/>
        <v>10</v>
      </c>
      <c r="R24" s="2" t="str">
        <f t="shared" si="21"/>
        <v>00</v>
      </c>
      <c r="T24" t="str">
        <f t="shared" si="22"/>
        <v>0010100010101000</v>
      </c>
      <c r="V24" s="9" t="str">
        <f t="shared" si="23"/>
        <v>00101000</v>
      </c>
      <c r="W24" s="9" t="str">
        <f t="shared" si="24"/>
        <v>10101000</v>
      </c>
      <c r="X24" s="9" t="str">
        <f t="shared" si="25"/>
        <v>28</v>
      </c>
      <c r="Y24" s="9" t="str">
        <f t="shared" si="26"/>
        <v>A8</v>
      </c>
    </row>
    <row r="25" spans="1:36" x14ac:dyDescent="0.3">
      <c r="B25" s="2">
        <v>2</v>
      </c>
      <c r="C25" s="2">
        <v>2</v>
      </c>
      <c r="D25" s="2">
        <v>2</v>
      </c>
      <c r="E25" s="2">
        <v>2</v>
      </c>
      <c r="F25" s="2">
        <v>2</v>
      </c>
      <c r="G25" s="2">
        <v>0</v>
      </c>
      <c r="H25" s="2">
        <v>2</v>
      </c>
      <c r="I25" s="2">
        <v>2</v>
      </c>
      <c r="K25" s="2" t="str">
        <f t="shared" si="14"/>
        <v>10</v>
      </c>
      <c r="L25" s="2" t="str">
        <f t="shared" si="15"/>
        <v>10</v>
      </c>
      <c r="M25" s="2" t="str">
        <f t="shared" si="16"/>
        <v>10</v>
      </c>
      <c r="N25" s="2" t="str">
        <f t="shared" si="17"/>
        <v>10</v>
      </c>
      <c r="O25" s="2" t="str">
        <f t="shared" si="18"/>
        <v>10</v>
      </c>
      <c r="P25" s="2" t="str">
        <f t="shared" si="19"/>
        <v>00</v>
      </c>
      <c r="Q25" s="2" t="str">
        <f t="shared" si="20"/>
        <v>10</v>
      </c>
      <c r="R25" s="2" t="str">
        <f t="shared" si="21"/>
        <v>10</v>
      </c>
      <c r="T25" t="str">
        <f t="shared" si="22"/>
        <v>1010101010001010</v>
      </c>
      <c r="V25" s="9" t="str">
        <f t="shared" si="23"/>
        <v>10101010</v>
      </c>
      <c r="W25" s="9" t="str">
        <f t="shared" si="24"/>
        <v>10001010</v>
      </c>
      <c r="X25" s="9" t="str">
        <f t="shared" si="25"/>
        <v>AA</v>
      </c>
      <c r="Y25" s="9" t="str">
        <f t="shared" si="26"/>
        <v>8A</v>
      </c>
    </row>
    <row r="26" spans="1:36" x14ac:dyDescent="0.3">
      <c r="B26" s="2">
        <v>2</v>
      </c>
      <c r="C26" s="2">
        <v>0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0</v>
      </c>
      <c r="K26" s="2" t="str">
        <f t="shared" si="14"/>
        <v>10</v>
      </c>
      <c r="L26" s="2" t="str">
        <f t="shared" si="15"/>
        <v>00</v>
      </c>
      <c r="M26" s="2" t="str">
        <f t="shared" si="16"/>
        <v>10</v>
      </c>
      <c r="N26" s="2" t="str">
        <f t="shared" si="17"/>
        <v>10</v>
      </c>
      <c r="O26" s="2" t="str">
        <f t="shared" si="18"/>
        <v>10</v>
      </c>
      <c r="P26" s="2" t="str">
        <f t="shared" si="19"/>
        <v>10</v>
      </c>
      <c r="Q26" s="2" t="str">
        <f t="shared" si="20"/>
        <v>10</v>
      </c>
      <c r="R26" s="2" t="str">
        <f t="shared" si="21"/>
        <v>00</v>
      </c>
      <c r="T26" t="str">
        <f t="shared" si="22"/>
        <v>1000101010101000</v>
      </c>
      <c r="V26" s="10" t="str">
        <f t="shared" si="23"/>
        <v>10001010</v>
      </c>
      <c r="W26" s="10" t="str">
        <f t="shared" si="24"/>
        <v>10101000</v>
      </c>
      <c r="X26" s="10" t="str">
        <f t="shared" si="25"/>
        <v>8A</v>
      </c>
      <c r="Y26" s="10" t="str">
        <f t="shared" si="26"/>
        <v>A8</v>
      </c>
    </row>
    <row r="27" spans="1:36" x14ac:dyDescent="0.3">
      <c r="B27" s="2">
        <v>0</v>
      </c>
      <c r="C27" s="2">
        <v>2</v>
      </c>
      <c r="D27" s="2">
        <v>2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K27" s="2" t="str">
        <f t="shared" si="14"/>
        <v>00</v>
      </c>
      <c r="L27" s="2" t="str">
        <f t="shared" si="15"/>
        <v>10</v>
      </c>
      <c r="M27" s="2" t="str">
        <f t="shared" si="16"/>
        <v>10</v>
      </c>
      <c r="N27" s="2" t="str">
        <f t="shared" si="17"/>
        <v>10</v>
      </c>
      <c r="O27" s="2" t="str">
        <f t="shared" si="18"/>
        <v>10</v>
      </c>
      <c r="P27" s="2" t="str">
        <f t="shared" si="19"/>
        <v>10</v>
      </c>
      <c r="Q27" s="2" t="str">
        <f t="shared" si="20"/>
        <v>10</v>
      </c>
      <c r="R27" s="2" t="str">
        <f t="shared" si="21"/>
        <v>10</v>
      </c>
      <c r="T27" t="str">
        <f t="shared" si="22"/>
        <v>0010101010101010</v>
      </c>
      <c r="V27" s="8" t="str">
        <f t="shared" si="23"/>
        <v>00101010</v>
      </c>
      <c r="W27" s="8" t="str">
        <f t="shared" si="24"/>
        <v>10101010</v>
      </c>
      <c r="X27" s="8" t="str">
        <f t="shared" si="25"/>
        <v>2A</v>
      </c>
      <c r="Y27" s="8" t="str">
        <f t="shared" si="26"/>
        <v>AA</v>
      </c>
    </row>
    <row r="28" spans="1:36" x14ac:dyDescent="0.3">
      <c r="B28" s="2">
        <v>2</v>
      </c>
      <c r="C28" s="2">
        <v>2</v>
      </c>
      <c r="D28" s="2">
        <v>0</v>
      </c>
      <c r="E28" s="2">
        <v>2</v>
      </c>
      <c r="F28" s="2">
        <v>2</v>
      </c>
      <c r="G28" s="2">
        <v>2</v>
      </c>
      <c r="H28" s="2">
        <v>2</v>
      </c>
      <c r="I28" s="2">
        <v>0</v>
      </c>
      <c r="K28" s="2" t="str">
        <f t="shared" si="14"/>
        <v>10</v>
      </c>
      <c r="L28" s="2" t="str">
        <f t="shared" si="15"/>
        <v>10</v>
      </c>
      <c r="M28" s="2" t="str">
        <f t="shared" si="16"/>
        <v>00</v>
      </c>
      <c r="N28" s="2" t="str">
        <f t="shared" si="17"/>
        <v>10</v>
      </c>
      <c r="O28" s="2" t="str">
        <f t="shared" si="18"/>
        <v>10</v>
      </c>
      <c r="P28" s="2" t="str">
        <f t="shared" si="19"/>
        <v>10</v>
      </c>
      <c r="Q28" s="2" t="str">
        <f t="shared" si="20"/>
        <v>10</v>
      </c>
      <c r="R28" s="2" t="str">
        <f t="shared" si="21"/>
        <v>00</v>
      </c>
      <c r="T28" t="str">
        <f t="shared" si="22"/>
        <v>1010001010101000</v>
      </c>
      <c r="V28" s="9" t="str">
        <f t="shared" si="23"/>
        <v>10100010</v>
      </c>
      <c r="W28" s="9" t="str">
        <f t="shared" si="24"/>
        <v>10101000</v>
      </c>
      <c r="X28" s="9" t="str">
        <f t="shared" si="25"/>
        <v>A2</v>
      </c>
      <c r="Y28" s="9" t="str">
        <f t="shared" si="26"/>
        <v>A8</v>
      </c>
    </row>
    <row r="29" spans="1:36" x14ac:dyDescent="0.3">
      <c r="B29" s="2">
        <v>2</v>
      </c>
      <c r="C29" s="2">
        <v>2</v>
      </c>
      <c r="D29" s="2">
        <v>2</v>
      </c>
      <c r="E29" s="2">
        <v>0</v>
      </c>
      <c r="F29" s="2">
        <v>2</v>
      </c>
      <c r="G29" s="2">
        <v>2</v>
      </c>
      <c r="H29" s="2">
        <v>0</v>
      </c>
      <c r="I29" s="2">
        <v>2</v>
      </c>
      <c r="K29" s="2" t="str">
        <f t="shared" si="14"/>
        <v>10</v>
      </c>
      <c r="L29" s="2" t="str">
        <f t="shared" si="15"/>
        <v>10</v>
      </c>
      <c r="M29" s="2" t="str">
        <f t="shared" si="16"/>
        <v>10</v>
      </c>
      <c r="N29" s="2" t="str">
        <f t="shared" si="17"/>
        <v>00</v>
      </c>
      <c r="O29" s="2" t="str">
        <f t="shared" si="18"/>
        <v>10</v>
      </c>
      <c r="P29" s="2" t="str">
        <f t="shared" si="19"/>
        <v>10</v>
      </c>
      <c r="Q29" s="2" t="str">
        <f t="shared" si="20"/>
        <v>00</v>
      </c>
      <c r="R29" s="2" t="str">
        <f t="shared" si="21"/>
        <v>10</v>
      </c>
      <c r="T29" t="str">
        <f t="shared" si="22"/>
        <v>1010100010100010</v>
      </c>
      <c r="V29" s="9" t="str">
        <f t="shared" si="23"/>
        <v>10101000</v>
      </c>
      <c r="W29" s="9" t="str">
        <f t="shared" si="24"/>
        <v>10100010</v>
      </c>
      <c r="X29" s="9" t="str">
        <f t="shared" si="25"/>
        <v>A8</v>
      </c>
      <c r="Y29" s="9" t="str">
        <f t="shared" si="26"/>
        <v>A2</v>
      </c>
    </row>
    <row r="30" spans="1:36" x14ac:dyDescent="0.3">
      <c r="B30" s="2">
        <v>0</v>
      </c>
      <c r="C30" s="2">
        <v>2</v>
      </c>
      <c r="D30" s="2">
        <v>2</v>
      </c>
      <c r="E30" s="2">
        <v>2</v>
      </c>
      <c r="F30" s="2">
        <v>0</v>
      </c>
      <c r="G30" s="2">
        <v>2</v>
      </c>
      <c r="H30" s="2">
        <v>2</v>
      </c>
      <c r="I30" s="2">
        <v>2</v>
      </c>
      <c r="K30" s="2" t="str">
        <f t="shared" si="14"/>
        <v>00</v>
      </c>
      <c r="L30" s="2" t="str">
        <f t="shared" si="15"/>
        <v>10</v>
      </c>
      <c r="M30" s="2" t="str">
        <f t="shared" si="16"/>
        <v>10</v>
      </c>
      <c r="N30" s="2" t="str">
        <f t="shared" si="17"/>
        <v>10</v>
      </c>
      <c r="O30" s="2" t="str">
        <f t="shared" si="18"/>
        <v>00</v>
      </c>
      <c r="P30" s="2" t="str">
        <f t="shared" si="19"/>
        <v>10</v>
      </c>
      <c r="Q30" s="2" t="str">
        <f t="shared" si="20"/>
        <v>10</v>
      </c>
      <c r="R30" s="2" t="str">
        <f t="shared" si="21"/>
        <v>10</v>
      </c>
      <c r="T30" t="str">
        <f t="shared" si="22"/>
        <v>0010101000101010</v>
      </c>
      <c r="V30" s="9" t="str">
        <f t="shared" si="23"/>
        <v>00101010</v>
      </c>
      <c r="W30" s="9" t="str">
        <f t="shared" si="24"/>
        <v>00101010</v>
      </c>
      <c r="X30" s="9" t="str">
        <f t="shared" si="25"/>
        <v>2A</v>
      </c>
      <c r="Y30" s="9" t="str">
        <f t="shared" si="26"/>
        <v>2A</v>
      </c>
    </row>
    <row r="31" spans="1:36" x14ac:dyDescent="0.3">
      <c r="B31" s="2">
        <v>2</v>
      </c>
      <c r="C31" s="2">
        <v>0</v>
      </c>
      <c r="D31" s="2">
        <v>2</v>
      </c>
      <c r="E31" s="2">
        <v>0</v>
      </c>
      <c r="F31" s="2">
        <v>2</v>
      </c>
      <c r="G31" s="2">
        <v>0</v>
      </c>
      <c r="H31" s="2">
        <v>2</v>
      </c>
      <c r="I31" s="2">
        <v>0</v>
      </c>
      <c r="K31" s="2" t="str">
        <f t="shared" si="14"/>
        <v>10</v>
      </c>
      <c r="L31" s="2" t="str">
        <f t="shared" si="15"/>
        <v>00</v>
      </c>
      <c r="M31" s="2" t="str">
        <f t="shared" si="16"/>
        <v>10</v>
      </c>
      <c r="N31" s="2" t="str">
        <f t="shared" si="17"/>
        <v>00</v>
      </c>
      <c r="O31" s="2" t="str">
        <f t="shared" si="18"/>
        <v>10</v>
      </c>
      <c r="P31" s="2" t="str">
        <f t="shared" si="19"/>
        <v>00</v>
      </c>
      <c r="Q31" s="2" t="str">
        <f t="shared" si="20"/>
        <v>10</v>
      </c>
      <c r="R31" s="2" t="str">
        <f t="shared" si="21"/>
        <v>00</v>
      </c>
      <c r="T31" t="str">
        <f t="shared" si="22"/>
        <v>1000100010001000</v>
      </c>
      <c r="V31" s="9" t="str">
        <f t="shared" si="23"/>
        <v>10001000</v>
      </c>
      <c r="W31" s="9" t="str">
        <f t="shared" si="24"/>
        <v>10001000</v>
      </c>
      <c r="X31" s="9" t="str">
        <f t="shared" si="25"/>
        <v>88</v>
      </c>
      <c r="Y31" s="9" t="str">
        <f t="shared" si="26"/>
        <v>88</v>
      </c>
    </row>
    <row r="32" spans="1:36" x14ac:dyDescent="0.3">
      <c r="B32" s="2">
        <v>2</v>
      </c>
      <c r="C32" s="2">
        <v>2</v>
      </c>
      <c r="D32" s="2">
        <v>0</v>
      </c>
      <c r="E32" s="2">
        <v>0</v>
      </c>
      <c r="F32" s="2">
        <v>2</v>
      </c>
      <c r="G32" s="2">
        <v>2</v>
      </c>
      <c r="H32" s="2">
        <v>0</v>
      </c>
      <c r="I32" s="2">
        <v>2</v>
      </c>
      <c r="K32" s="2" t="str">
        <f t="shared" si="14"/>
        <v>10</v>
      </c>
      <c r="L32" s="2" t="str">
        <f t="shared" si="15"/>
        <v>10</v>
      </c>
      <c r="M32" s="2" t="str">
        <f t="shared" si="16"/>
        <v>00</v>
      </c>
      <c r="N32" s="2" t="str">
        <f t="shared" si="17"/>
        <v>00</v>
      </c>
      <c r="O32" s="2" t="str">
        <f t="shared" si="18"/>
        <v>10</v>
      </c>
      <c r="P32" s="2" t="str">
        <f t="shared" si="19"/>
        <v>10</v>
      </c>
      <c r="Q32" s="2" t="str">
        <f t="shared" si="20"/>
        <v>00</v>
      </c>
      <c r="R32" s="2" t="str">
        <f t="shared" si="21"/>
        <v>10</v>
      </c>
      <c r="T32" t="str">
        <f t="shared" si="22"/>
        <v>1010000010100010</v>
      </c>
      <c r="V32" s="9" t="str">
        <f t="shared" si="23"/>
        <v>10100000</v>
      </c>
      <c r="W32" s="9" t="str">
        <f t="shared" si="24"/>
        <v>10100010</v>
      </c>
      <c r="X32" s="9" t="str">
        <f t="shared" si="25"/>
        <v>A0</v>
      </c>
      <c r="Y32" s="9" t="str">
        <f t="shared" si="26"/>
        <v>A2</v>
      </c>
    </row>
    <row r="33" spans="1:36" x14ac:dyDescent="0.3">
      <c r="B33" s="2">
        <v>2</v>
      </c>
      <c r="C33" s="2">
        <v>0</v>
      </c>
      <c r="D33" s="2">
        <v>2</v>
      </c>
      <c r="E33" s="2">
        <v>2</v>
      </c>
      <c r="F33" s="2">
        <v>0</v>
      </c>
      <c r="G33" s="2">
        <v>2</v>
      </c>
      <c r="H33" s="2">
        <v>0</v>
      </c>
      <c r="I33" s="2">
        <v>0</v>
      </c>
      <c r="K33" s="2" t="str">
        <f t="shared" si="14"/>
        <v>10</v>
      </c>
      <c r="L33" s="2" t="str">
        <f t="shared" si="15"/>
        <v>00</v>
      </c>
      <c r="M33" s="2" t="str">
        <f t="shared" si="16"/>
        <v>10</v>
      </c>
      <c r="N33" s="2" t="str">
        <f t="shared" si="17"/>
        <v>10</v>
      </c>
      <c r="O33" s="2" t="str">
        <f t="shared" si="18"/>
        <v>00</v>
      </c>
      <c r="P33" s="2" t="str">
        <f t="shared" si="19"/>
        <v>10</v>
      </c>
      <c r="Q33" s="2" t="str">
        <f t="shared" si="20"/>
        <v>00</v>
      </c>
      <c r="R33" s="2" t="str">
        <f t="shared" si="21"/>
        <v>00</v>
      </c>
      <c r="T33" t="str">
        <f t="shared" si="22"/>
        <v>1000101000100000</v>
      </c>
      <c r="V33" s="9" t="str">
        <f t="shared" si="23"/>
        <v>10001010</v>
      </c>
      <c r="W33" s="9" t="str">
        <f t="shared" si="24"/>
        <v>00100000</v>
      </c>
      <c r="X33" s="9" t="str">
        <f t="shared" si="25"/>
        <v>8A</v>
      </c>
      <c r="Y33" s="9" t="str">
        <f t="shared" si="26"/>
        <v>20</v>
      </c>
    </row>
    <row r="34" spans="1:36" x14ac:dyDescent="0.3">
      <c r="B34" s="2">
        <v>0</v>
      </c>
      <c r="C34" s="2">
        <v>2</v>
      </c>
      <c r="D34" s="2">
        <v>0</v>
      </c>
      <c r="E34" s="2">
        <v>0</v>
      </c>
      <c r="F34" s="2">
        <v>2</v>
      </c>
      <c r="G34" s="2">
        <v>0</v>
      </c>
      <c r="H34" s="2">
        <v>2</v>
      </c>
      <c r="I34" s="2">
        <v>0</v>
      </c>
      <c r="K34" s="2" t="str">
        <f t="shared" si="14"/>
        <v>00</v>
      </c>
      <c r="L34" s="2" t="str">
        <f t="shared" si="15"/>
        <v>10</v>
      </c>
      <c r="M34" s="2" t="str">
        <f t="shared" si="16"/>
        <v>00</v>
      </c>
      <c r="N34" s="2" t="str">
        <f t="shared" si="17"/>
        <v>00</v>
      </c>
      <c r="O34" s="2" t="str">
        <f t="shared" si="18"/>
        <v>10</v>
      </c>
      <c r="P34" s="2" t="str">
        <f t="shared" si="19"/>
        <v>00</v>
      </c>
      <c r="Q34" s="2" t="str">
        <f t="shared" si="20"/>
        <v>10</v>
      </c>
      <c r="R34" s="2" t="str">
        <f t="shared" si="21"/>
        <v>00</v>
      </c>
      <c r="T34" t="str">
        <f t="shared" si="22"/>
        <v>0010000010001000</v>
      </c>
      <c r="V34" s="10" t="str">
        <f t="shared" si="23"/>
        <v>00100000</v>
      </c>
      <c r="W34" s="10" t="str">
        <f t="shared" si="24"/>
        <v>10001000</v>
      </c>
      <c r="X34" s="10" t="str">
        <f t="shared" si="25"/>
        <v>20</v>
      </c>
      <c r="Y34" s="10" t="str">
        <f t="shared" si="26"/>
        <v>88</v>
      </c>
    </row>
    <row r="35" spans="1:36" x14ac:dyDescent="0.3">
      <c r="A35" t="s">
        <v>5</v>
      </c>
      <c r="AJ35" t="str">
        <f>";"&amp;PROPER(A35)</f>
        <v>;Boulder 1</v>
      </c>
    </row>
    <row r="36" spans="1:36" x14ac:dyDescent="0.3">
      <c r="B36" s="2">
        <v>0</v>
      </c>
      <c r="C36" s="2">
        <v>0</v>
      </c>
      <c r="D36" s="2">
        <v>3</v>
      </c>
      <c r="E36" s="2">
        <v>3</v>
      </c>
      <c r="F36" s="2">
        <v>3</v>
      </c>
      <c r="G36" s="2">
        <v>0</v>
      </c>
      <c r="H36" s="2">
        <v>0</v>
      </c>
      <c r="I36" s="2">
        <v>0</v>
      </c>
      <c r="K36" s="2" t="str">
        <f t="shared" ref="K36:R51" si="28">DEC2BIN(B36,2)</f>
        <v>00</v>
      </c>
      <c r="L36" s="2" t="str">
        <f t="shared" si="28"/>
        <v>00</v>
      </c>
      <c r="M36" s="2" t="str">
        <f t="shared" si="28"/>
        <v>11</v>
      </c>
      <c r="N36" s="2" t="str">
        <f t="shared" si="28"/>
        <v>11</v>
      </c>
      <c r="O36" s="2" t="str">
        <f t="shared" si="28"/>
        <v>11</v>
      </c>
      <c r="P36" s="2" t="str">
        <f t="shared" si="28"/>
        <v>00</v>
      </c>
      <c r="Q36" s="2" t="str">
        <f t="shared" si="28"/>
        <v>00</v>
      </c>
      <c r="R36" s="2" t="str">
        <f t="shared" si="28"/>
        <v>00</v>
      </c>
      <c r="T36" t="str">
        <f>_xlfn.CONCAT(K36:R36)</f>
        <v>0000111111000000</v>
      </c>
      <c r="V36" s="8" t="str">
        <f>LEFT(T36,8)</f>
        <v>00001111</v>
      </c>
      <c r="W36" s="8" t="str">
        <f>RIGHT(T36,8)</f>
        <v>11000000</v>
      </c>
      <c r="X36" s="8" t="str">
        <f>BIN2HEX(V36,2)</f>
        <v>0F</v>
      </c>
      <c r="Y36" s="8" t="str">
        <f>BIN2HEX(W36,2)</f>
        <v>C0</v>
      </c>
      <c r="AA36" t="str" cm="1">
        <f t="array" ref="AA36:AH36">TRANSPOSE(X36:X43)</f>
        <v>0F</v>
      </c>
      <c r="AB36" t="str">
        <v>37</v>
      </c>
      <c r="AC36" t="str">
        <v>ED</v>
      </c>
      <c r="AD36" t="str">
        <v>79</v>
      </c>
      <c r="AE36" t="str">
        <v>56</v>
      </c>
      <c r="AF36" t="str">
        <v>65</v>
      </c>
      <c r="AG36" t="str">
        <v>5A</v>
      </c>
      <c r="AH36" t="str">
        <v>55</v>
      </c>
      <c r="AJ36" t="str">
        <f>LOWER("!byte $"&amp;AA36&amp;", $"&amp;AB36&amp;", $"&amp;AC36&amp;", $"&amp;AD36&amp;", $"&amp;AE36&amp;", $"&amp;AF36&amp;", $"&amp;AG36&amp;", $"&amp;AH36)</f>
        <v>!byte $0f, $37, $ed, $79, $56, $65, $5a, $55</v>
      </c>
    </row>
    <row r="37" spans="1:36" x14ac:dyDescent="0.3">
      <c r="B37" s="2">
        <v>0</v>
      </c>
      <c r="C37" s="2">
        <v>3</v>
      </c>
      <c r="D37" s="2">
        <v>1</v>
      </c>
      <c r="E37" s="2">
        <v>3</v>
      </c>
      <c r="F37" s="2">
        <v>2</v>
      </c>
      <c r="G37" s="2">
        <v>3</v>
      </c>
      <c r="H37" s="2">
        <v>0</v>
      </c>
      <c r="I37" s="2">
        <v>0</v>
      </c>
      <c r="K37" s="2" t="str">
        <f t="shared" si="28"/>
        <v>00</v>
      </c>
      <c r="L37" s="2" t="str">
        <f t="shared" si="28"/>
        <v>11</v>
      </c>
      <c r="M37" s="2" t="str">
        <f t="shared" si="28"/>
        <v>01</v>
      </c>
      <c r="N37" s="2" t="str">
        <f t="shared" si="28"/>
        <v>11</v>
      </c>
      <c r="O37" s="2" t="str">
        <f t="shared" si="28"/>
        <v>10</v>
      </c>
      <c r="P37" s="2" t="str">
        <f t="shared" si="28"/>
        <v>11</v>
      </c>
      <c r="Q37" s="2" t="str">
        <f t="shared" si="28"/>
        <v>00</v>
      </c>
      <c r="R37" s="2" t="str">
        <f t="shared" si="28"/>
        <v>00</v>
      </c>
      <c r="T37" t="str">
        <f t="shared" ref="T37:T236" si="29">_xlfn.CONCAT(K37:R37)</f>
        <v>0011011110110000</v>
      </c>
      <c r="V37" s="9" t="str">
        <f t="shared" ref="V37:V51" si="30">LEFT(T37,8)</f>
        <v>00110111</v>
      </c>
      <c r="W37" s="9" t="str">
        <f t="shared" ref="W37:W51" si="31">RIGHT(T37,8)</f>
        <v>10110000</v>
      </c>
      <c r="X37" s="9" t="str">
        <f t="shared" ref="X37:X51" si="32">BIN2HEX(V37,2)</f>
        <v>37</v>
      </c>
      <c r="Y37" s="9" t="str">
        <f t="shared" ref="Y37:Y51" si="33">BIN2HEX(W37,2)</f>
        <v>B0</v>
      </c>
      <c r="AA37" t="str" cm="1">
        <f t="array" ref="AA37:AH37">TRANSPOSE(X44:X51)</f>
        <v>45</v>
      </c>
      <c r="AB37" t="str">
        <v>51</v>
      </c>
      <c r="AC37" t="str">
        <v>45</v>
      </c>
      <c r="AD37" t="str">
        <v>51</v>
      </c>
      <c r="AE37" t="str">
        <v>54</v>
      </c>
      <c r="AF37" t="str">
        <v>15</v>
      </c>
      <c r="AG37" t="str">
        <v>04</v>
      </c>
      <c r="AH37" t="str">
        <v>01</v>
      </c>
      <c r="AJ37" t="str">
        <f t="shared" ref="AJ37:AJ39" si="34">LOWER("!byte $"&amp;AA37&amp;", $"&amp;AB37&amp;", $"&amp;AC37&amp;", $"&amp;AD37&amp;", $"&amp;AE37&amp;", $"&amp;AF37&amp;", $"&amp;AG37&amp;", $"&amp;AH37)</f>
        <v>!byte $45, $51, $45, $51, $54, $15, $04, $01</v>
      </c>
    </row>
    <row r="38" spans="1:36" x14ac:dyDescent="0.3">
      <c r="B38" s="2">
        <v>3</v>
      </c>
      <c r="C38" s="2">
        <v>2</v>
      </c>
      <c r="D38" s="2">
        <v>3</v>
      </c>
      <c r="E38" s="2">
        <v>1</v>
      </c>
      <c r="F38" s="2">
        <v>3</v>
      </c>
      <c r="G38" s="2">
        <v>3</v>
      </c>
      <c r="H38" s="2">
        <v>3</v>
      </c>
      <c r="I38" s="2">
        <v>0</v>
      </c>
      <c r="K38" s="2" t="str">
        <f t="shared" si="28"/>
        <v>11</v>
      </c>
      <c r="L38" s="2" t="str">
        <f t="shared" si="28"/>
        <v>10</v>
      </c>
      <c r="M38" s="2" t="str">
        <f t="shared" si="28"/>
        <v>11</v>
      </c>
      <c r="N38" s="2" t="str">
        <f t="shared" si="28"/>
        <v>01</v>
      </c>
      <c r="O38" s="2" t="str">
        <f t="shared" si="28"/>
        <v>11</v>
      </c>
      <c r="P38" s="2" t="str">
        <f t="shared" si="28"/>
        <v>11</v>
      </c>
      <c r="Q38" s="2" t="str">
        <f t="shared" si="28"/>
        <v>11</v>
      </c>
      <c r="R38" s="2" t="str">
        <f t="shared" si="28"/>
        <v>00</v>
      </c>
      <c r="T38" t="str">
        <f t="shared" si="29"/>
        <v>1110110111111100</v>
      </c>
      <c r="V38" s="9" t="str">
        <f t="shared" si="30"/>
        <v>11101101</v>
      </c>
      <c r="W38" s="9" t="str">
        <f t="shared" si="31"/>
        <v>11111100</v>
      </c>
      <c r="X38" s="9" t="str">
        <f t="shared" si="32"/>
        <v>ED</v>
      </c>
      <c r="Y38" s="9" t="str">
        <f t="shared" si="33"/>
        <v>FC</v>
      </c>
      <c r="AA38" t="str" cm="1">
        <f t="array" ref="AA38:AH38">TRANSPOSE(Y36:Y43)</f>
        <v>C0</v>
      </c>
      <c r="AB38" t="str">
        <v>B0</v>
      </c>
      <c r="AC38" t="str">
        <v>FC</v>
      </c>
      <c r="AD38" t="str">
        <v>BF</v>
      </c>
      <c r="AE38" t="str">
        <v>7F</v>
      </c>
      <c r="AF38" t="str">
        <v>67</v>
      </c>
      <c r="AG38" t="str">
        <v>5F</v>
      </c>
      <c r="AH38" t="str">
        <v>67</v>
      </c>
      <c r="AJ38" t="str">
        <f t="shared" si="34"/>
        <v>!byte $c0, $b0, $fc, $bf, $7f, $67, $5f, $67</v>
      </c>
    </row>
    <row r="39" spans="1:36" x14ac:dyDescent="0.3">
      <c r="B39" s="2">
        <v>1</v>
      </c>
      <c r="C39" s="2">
        <v>3</v>
      </c>
      <c r="D39" s="2">
        <v>2</v>
      </c>
      <c r="E39" s="2">
        <v>1</v>
      </c>
      <c r="F39" s="2">
        <v>2</v>
      </c>
      <c r="G39" s="2">
        <v>3</v>
      </c>
      <c r="H39" s="2">
        <v>3</v>
      </c>
      <c r="I39" s="2">
        <v>3</v>
      </c>
      <c r="K39" s="2" t="str">
        <f t="shared" si="28"/>
        <v>01</v>
      </c>
      <c r="L39" s="2" t="str">
        <f t="shared" si="28"/>
        <v>11</v>
      </c>
      <c r="M39" s="2" t="str">
        <f t="shared" si="28"/>
        <v>10</v>
      </c>
      <c r="N39" s="2" t="str">
        <f t="shared" si="28"/>
        <v>01</v>
      </c>
      <c r="O39" s="2" t="str">
        <f t="shared" si="28"/>
        <v>10</v>
      </c>
      <c r="P39" s="2" t="str">
        <f t="shared" si="28"/>
        <v>11</v>
      </c>
      <c r="Q39" s="2" t="str">
        <f t="shared" si="28"/>
        <v>11</v>
      </c>
      <c r="R39" s="2" t="str">
        <f t="shared" si="28"/>
        <v>11</v>
      </c>
      <c r="T39" t="str">
        <f t="shared" si="29"/>
        <v>0111100110111111</v>
      </c>
      <c r="V39" s="9" t="str">
        <f t="shared" si="30"/>
        <v>01111001</v>
      </c>
      <c r="W39" s="9" t="str">
        <f t="shared" si="31"/>
        <v>10111111</v>
      </c>
      <c r="X39" s="9" t="str">
        <f t="shared" si="32"/>
        <v>79</v>
      </c>
      <c r="Y39" s="9" t="str">
        <f t="shared" si="33"/>
        <v>BF</v>
      </c>
      <c r="AA39" t="str" cm="1">
        <f t="array" ref="AA39:AH39">TRANSPOSE(Y44:Y51)</f>
        <v>56</v>
      </c>
      <c r="AB39" t="str">
        <v>66</v>
      </c>
      <c r="AC39" t="str">
        <v>55</v>
      </c>
      <c r="AD39" t="str">
        <v>55</v>
      </c>
      <c r="AE39" t="str">
        <v>54</v>
      </c>
      <c r="AF39" t="str">
        <v>54</v>
      </c>
      <c r="AG39" t="str">
        <v>90</v>
      </c>
      <c r="AH39" t="str">
        <v>40</v>
      </c>
      <c r="AJ39" t="str">
        <f t="shared" si="34"/>
        <v>!byte $56, $66, $55, $55, $54, $54, $90, $40</v>
      </c>
    </row>
    <row r="40" spans="1:36" x14ac:dyDescent="0.3">
      <c r="B40" s="2">
        <v>1</v>
      </c>
      <c r="C40" s="2">
        <v>1</v>
      </c>
      <c r="D40" s="2">
        <v>1</v>
      </c>
      <c r="E40" s="2">
        <v>2</v>
      </c>
      <c r="F40" s="2">
        <v>1</v>
      </c>
      <c r="G40" s="2">
        <v>3</v>
      </c>
      <c r="H40" s="2">
        <v>3</v>
      </c>
      <c r="I40" s="2">
        <v>3</v>
      </c>
      <c r="K40" s="2" t="str">
        <f t="shared" si="28"/>
        <v>01</v>
      </c>
      <c r="L40" s="2" t="str">
        <f t="shared" si="28"/>
        <v>01</v>
      </c>
      <c r="M40" s="2" t="str">
        <f t="shared" si="28"/>
        <v>01</v>
      </c>
      <c r="N40" s="2" t="str">
        <f t="shared" si="28"/>
        <v>10</v>
      </c>
      <c r="O40" s="2" t="str">
        <f t="shared" si="28"/>
        <v>01</v>
      </c>
      <c r="P40" s="2" t="str">
        <f t="shared" si="28"/>
        <v>11</v>
      </c>
      <c r="Q40" s="2" t="str">
        <f t="shared" si="28"/>
        <v>11</v>
      </c>
      <c r="R40" s="2" t="str">
        <f t="shared" si="28"/>
        <v>11</v>
      </c>
      <c r="T40" t="str">
        <f t="shared" si="29"/>
        <v>0101011001111111</v>
      </c>
      <c r="V40" s="9" t="str">
        <f t="shared" si="30"/>
        <v>01010110</v>
      </c>
      <c r="W40" s="9" t="str">
        <f t="shared" si="31"/>
        <v>01111111</v>
      </c>
      <c r="X40" s="9" t="str">
        <f t="shared" si="32"/>
        <v>56</v>
      </c>
      <c r="Y40" s="9" t="str">
        <f t="shared" si="33"/>
        <v>7F</v>
      </c>
    </row>
    <row r="41" spans="1:36" x14ac:dyDescent="0.3">
      <c r="B41" s="2">
        <v>1</v>
      </c>
      <c r="C41" s="2">
        <v>2</v>
      </c>
      <c r="D41" s="2">
        <v>1</v>
      </c>
      <c r="E41" s="2">
        <v>1</v>
      </c>
      <c r="F41" s="2">
        <v>1</v>
      </c>
      <c r="G41" s="2">
        <v>2</v>
      </c>
      <c r="H41" s="2">
        <v>1</v>
      </c>
      <c r="I41" s="2">
        <v>3</v>
      </c>
      <c r="K41" s="2" t="str">
        <f t="shared" si="28"/>
        <v>01</v>
      </c>
      <c r="L41" s="2" t="str">
        <f t="shared" si="28"/>
        <v>10</v>
      </c>
      <c r="M41" s="2" t="str">
        <f t="shared" si="28"/>
        <v>01</v>
      </c>
      <c r="N41" s="2" t="str">
        <f t="shared" si="28"/>
        <v>01</v>
      </c>
      <c r="O41" s="2" t="str">
        <f t="shared" si="28"/>
        <v>01</v>
      </c>
      <c r="P41" s="2" t="str">
        <f t="shared" si="28"/>
        <v>10</v>
      </c>
      <c r="Q41" s="2" t="str">
        <f t="shared" si="28"/>
        <v>01</v>
      </c>
      <c r="R41" s="2" t="str">
        <f t="shared" si="28"/>
        <v>11</v>
      </c>
      <c r="T41" t="str">
        <f t="shared" si="29"/>
        <v>0110010101100111</v>
      </c>
      <c r="V41" s="9" t="str">
        <f t="shared" si="30"/>
        <v>01100101</v>
      </c>
      <c r="W41" s="9" t="str">
        <f t="shared" si="31"/>
        <v>01100111</v>
      </c>
      <c r="X41" s="9" t="str">
        <f t="shared" si="32"/>
        <v>65</v>
      </c>
      <c r="Y41" s="9" t="str">
        <f t="shared" si="33"/>
        <v>67</v>
      </c>
    </row>
    <row r="42" spans="1:36" x14ac:dyDescent="0.3">
      <c r="B42" s="2">
        <v>1</v>
      </c>
      <c r="C42" s="2">
        <v>1</v>
      </c>
      <c r="D42" s="2">
        <v>2</v>
      </c>
      <c r="E42" s="2">
        <v>2</v>
      </c>
      <c r="F42" s="2">
        <v>1</v>
      </c>
      <c r="G42" s="2">
        <v>1</v>
      </c>
      <c r="H42" s="2">
        <v>3</v>
      </c>
      <c r="I42" s="2">
        <v>3</v>
      </c>
      <c r="K42" s="2" t="str">
        <f t="shared" si="28"/>
        <v>01</v>
      </c>
      <c r="L42" s="2" t="str">
        <f t="shared" si="28"/>
        <v>01</v>
      </c>
      <c r="M42" s="2" t="str">
        <f t="shared" si="28"/>
        <v>10</v>
      </c>
      <c r="N42" s="2" t="str">
        <f t="shared" si="28"/>
        <v>10</v>
      </c>
      <c r="O42" s="2" t="str">
        <f t="shared" si="28"/>
        <v>01</v>
      </c>
      <c r="P42" s="2" t="str">
        <f t="shared" si="28"/>
        <v>01</v>
      </c>
      <c r="Q42" s="2" t="str">
        <f t="shared" si="28"/>
        <v>11</v>
      </c>
      <c r="R42" s="2" t="str">
        <f t="shared" si="28"/>
        <v>11</v>
      </c>
      <c r="T42" t="str">
        <f t="shared" si="29"/>
        <v>0101101001011111</v>
      </c>
      <c r="V42" s="9" t="str">
        <f t="shared" si="30"/>
        <v>01011010</v>
      </c>
      <c r="W42" s="9" t="str">
        <f t="shared" si="31"/>
        <v>01011111</v>
      </c>
      <c r="X42" s="9" t="str">
        <f t="shared" si="32"/>
        <v>5A</v>
      </c>
      <c r="Y42" s="9" t="str">
        <f t="shared" si="33"/>
        <v>5F</v>
      </c>
    </row>
    <row r="43" spans="1:36" x14ac:dyDescent="0.3"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2</v>
      </c>
      <c r="H43" s="2">
        <v>1</v>
      </c>
      <c r="I43" s="2">
        <v>3</v>
      </c>
      <c r="K43" s="2" t="str">
        <f t="shared" si="28"/>
        <v>01</v>
      </c>
      <c r="L43" s="2" t="str">
        <f t="shared" si="28"/>
        <v>01</v>
      </c>
      <c r="M43" s="2" t="str">
        <f t="shared" si="28"/>
        <v>01</v>
      </c>
      <c r="N43" s="2" t="str">
        <f t="shared" si="28"/>
        <v>01</v>
      </c>
      <c r="O43" s="2" t="str">
        <f t="shared" si="28"/>
        <v>01</v>
      </c>
      <c r="P43" s="2" t="str">
        <f t="shared" si="28"/>
        <v>10</v>
      </c>
      <c r="Q43" s="2" t="str">
        <f t="shared" si="28"/>
        <v>01</v>
      </c>
      <c r="R43" s="2" t="str">
        <f t="shared" si="28"/>
        <v>11</v>
      </c>
      <c r="T43" t="str">
        <f t="shared" si="29"/>
        <v>0101010101100111</v>
      </c>
      <c r="V43" s="10" t="str">
        <f t="shared" si="30"/>
        <v>01010101</v>
      </c>
      <c r="W43" s="10" t="str">
        <f t="shared" si="31"/>
        <v>01100111</v>
      </c>
      <c r="X43" s="10" t="str">
        <f t="shared" si="32"/>
        <v>55</v>
      </c>
      <c r="Y43" s="10" t="str">
        <f t="shared" si="33"/>
        <v>67</v>
      </c>
    </row>
    <row r="44" spans="1:36" x14ac:dyDescent="0.3">
      <c r="B44" s="2">
        <v>1</v>
      </c>
      <c r="C44" s="2">
        <v>0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2</v>
      </c>
      <c r="K44" s="2" t="str">
        <f t="shared" si="28"/>
        <v>01</v>
      </c>
      <c r="L44" s="2" t="str">
        <f t="shared" si="28"/>
        <v>00</v>
      </c>
      <c r="M44" s="2" t="str">
        <f t="shared" si="28"/>
        <v>01</v>
      </c>
      <c r="N44" s="2" t="str">
        <f t="shared" si="28"/>
        <v>01</v>
      </c>
      <c r="O44" s="2" t="str">
        <f t="shared" si="28"/>
        <v>01</v>
      </c>
      <c r="P44" s="2" t="str">
        <f t="shared" si="28"/>
        <v>01</v>
      </c>
      <c r="Q44" s="2" t="str">
        <f t="shared" si="28"/>
        <v>01</v>
      </c>
      <c r="R44" s="2" t="str">
        <f t="shared" si="28"/>
        <v>10</v>
      </c>
      <c r="T44" t="str">
        <f t="shared" si="29"/>
        <v>0100010101010110</v>
      </c>
      <c r="V44" s="8" t="str">
        <f t="shared" si="30"/>
        <v>01000101</v>
      </c>
      <c r="W44" s="8" t="str">
        <f t="shared" si="31"/>
        <v>01010110</v>
      </c>
      <c r="X44" s="8" t="str">
        <f t="shared" si="32"/>
        <v>45</v>
      </c>
      <c r="Y44" s="8" t="str">
        <f t="shared" si="33"/>
        <v>56</v>
      </c>
    </row>
    <row r="45" spans="1:36" x14ac:dyDescent="0.3">
      <c r="B45" s="2">
        <v>1</v>
      </c>
      <c r="C45" s="2">
        <v>1</v>
      </c>
      <c r="D45" s="2">
        <v>0</v>
      </c>
      <c r="E45" s="2">
        <v>1</v>
      </c>
      <c r="F45" s="2">
        <v>1</v>
      </c>
      <c r="G45" s="2">
        <v>2</v>
      </c>
      <c r="H45" s="2">
        <v>1</v>
      </c>
      <c r="I45" s="2">
        <v>2</v>
      </c>
      <c r="K45" s="2" t="str">
        <f t="shared" si="28"/>
        <v>01</v>
      </c>
      <c r="L45" s="2" t="str">
        <f t="shared" si="28"/>
        <v>01</v>
      </c>
      <c r="M45" s="2" t="str">
        <f t="shared" si="28"/>
        <v>00</v>
      </c>
      <c r="N45" s="2" t="str">
        <f t="shared" si="28"/>
        <v>01</v>
      </c>
      <c r="O45" s="2" t="str">
        <f t="shared" si="28"/>
        <v>01</v>
      </c>
      <c r="P45" s="2" t="str">
        <f t="shared" si="28"/>
        <v>10</v>
      </c>
      <c r="Q45" s="2" t="str">
        <f t="shared" si="28"/>
        <v>01</v>
      </c>
      <c r="R45" s="2" t="str">
        <f t="shared" si="28"/>
        <v>10</v>
      </c>
      <c r="T45" t="str">
        <f t="shared" si="29"/>
        <v>0101000101100110</v>
      </c>
      <c r="V45" s="9" t="str">
        <f t="shared" si="30"/>
        <v>01010001</v>
      </c>
      <c r="W45" s="9" t="str">
        <f t="shared" si="31"/>
        <v>01100110</v>
      </c>
      <c r="X45" s="9" t="str">
        <f t="shared" si="32"/>
        <v>51</v>
      </c>
      <c r="Y45" s="9" t="str">
        <f t="shared" si="33"/>
        <v>66</v>
      </c>
    </row>
    <row r="46" spans="1:36" x14ac:dyDescent="0.3">
      <c r="B46" s="2">
        <v>1</v>
      </c>
      <c r="C46" s="2">
        <v>0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K46" s="2" t="str">
        <f t="shared" si="28"/>
        <v>01</v>
      </c>
      <c r="L46" s="2" t="str">
        <f t="shared" si="28"/>
        <v>00</v>
      </c>
      <c r="M46" s="2" t="str">
        <f t="shared" si="28"/>
        <v>01</v>
      </c>
      <c r="N46" s="2" t="str">
        <f t="shared" si="28"/>
        <v>01</v>
      </c>
      <c r="O46" s="2" t="str">
        <f t="shared" si="28"/>
        <v>01</v>
      </c>
      <c r="P46" s="2" t="str">
        <f t="shared" si="28"/>
        <v>01</v>
      </c>
      <c r="Q46" s="2" t="str">
        <f t="shared" si="28"/>
        <v>01</v>
      </c>
      <c r="R46" s="2" t="str">
        <f t="shared" si="28"/>
        <v>01</v>
      </c>
      <c r="T46" t="str">
        <f t="shared" si="29"/>
        <v>0100010101010101</v>
      </c>
      <c r="V46" s="9" t="str">
        <f t="shared" si="30"/>
        <v>01000101</v>
      </c>
      <c r="W46" s="9" t="str">
        <f t="shared" si="31"/>
        <v>01010101</v>
      </c>
      <c r="X46" s="9" t="str">
        <f t="shared" si="32"/>
        <v>45</v>
      </c>
      <c r="Y46" s="9" t="str">
        <f t="shared" si="33"/>
        <v>55</v>
      </c>
    </row>
    <row r="47" spans="1:36" x14ac:dyDescent="0.3">
      <c r="B47" s="2">
        <v>1</v>
      </c>
      <c r="C47" s="2">
        <v>1</v>
      </c>
      <c r="D47" s="2">
        <v>0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K47" s="2" t="str">
        <f t="shared" si="28"/>
        <v>01</v>
      </c>
      <c r="L47" s="2" t="str">
        <f t="shared" si="28"/>
        <v>01</v>
      </c>
      <c r="M47" s="2" t="str">
        <f t="shared" si="28"/>
        <v>00</v>
      </c>
      <c r="N47" s="2" t="str">
        <f t="shared" si="28"/>
        <v>01</v>
      </c>
      <c r="O47" s="2" t="str">
        <f t="shared" si="28"/>
        <v>01</v>
      </c>
      <c r="P47" s="2" t="str">
        <f t="shared" si="28"/>
        <v>01</v>
      </c>
      <c r="Q47" s="2" t="str">
        <f t="shared" si="28"/>
        <v>01</v>
      </c>
      <c r="R47" s="2" t="str">
        <f t="shared" si="28"/>
        <v>01</v>
      </c>
      <c r="T47" t="str">
        <f t="shared" si="29"/>
        <v>0101000101010101</v>
      </c>
      <c r="V47" s="9" t="str">
        <f t="shared" si="30"/>
        <v>01010001</v>
      </c>
      <c r="W47" s="9" t="str">
        <f t="shared" si="31"/>
        <v>01010101</v>
      </c>
      <c r="X47" s="9" t="str">
        <f t="shared" si="32"/>
        <v>51</v>
      </c>
      <c r="Y47" s="9" t="str">
        <f t="shared" si="33"/>
        <v>55</v>
      </c>
    </row>
    <row r="48" spans="1:36" x14ac:dyDescent="0.3">
      <c r="B48" s="2">
        <v>1</v>
      </c>
      <c r="C48" s="2">
        <v>1</v>
      </c>
      <c r="D48" s="2">
        <v>1</v>
      </c>
      <c r="E48" s="2">
        <v>0</v>
      </c>
      <c r="F48" s="2">
        <v>1</v>
      </c>
      <c r="G48" s="2">
        <v>1</v>
      </c>
      <c r="H48" s="2">
        <v>1</v>
      </c>
      <c r="I48" s="2">
        <v>0</v>
      </c>
      <c r="K48" s="2" t="str">
        <f t="shared" si="28"/>
        <v>01</v>
      </c>
      <c r="L48" s="2" t="str">
        <f t="shared" si="28"/>
        <v>01</v>
      </c>
      <c r="M48" s="2" t="str">
        <f t="shared" si="28"/>
        <v>01</v>
      </c>
      <c r="N48" s="2" t="str">
        <f t="shared" si="28"/>
        <v>00</v>
      </c>
      <c r="O48" s="2" t="str">
        <f t="shared" si="28"/>
        <v>01</v>
      </c>
      <c r="P48" s="2" t="str">
        <f t="shared" si="28"/>
        <v>01</v>
      </c>
      <c r="Q48" s="2" t="str">
        <f t="shared" si="28"/>
        <v>01</v>
      </c>
      <c r="R48" s="2" t="str">
        <f t="shared" si="28"/>
        <v>00</v>
      </c>
      <c r="T48" t="str">
        <f t="shared" si="29"/>
        <v>0101010001010100</v>
      </c>
      <c r="V48" s="9" t="str">
        <f t="shared" si="30"/>
        <v>01010100</v>
      </c>
      <c r="W48" s="9" t="str">
        <f t="shared" si="31"/>
        <v>01010100</v>
      </c>
      <c r="X48" s="9" t="str">
        <f t="shared" si="32"/>
        <v>54</v>
      </c>
      <c r="Y48" s="9" t="str">
        <f t="shared" si="33"/>
        <v>54</v>
      </c>
    </row>
    <row r="49" spans="1:36" x14ac:dyDescent="0.3">
      <c r="B49" s="2">
        <v>0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0</v>
      </c>
      <c r="K49" s="2" t="str">
        <f t="shared" si="28"/>
        <v>00</v>
      </c>
      <c r="L49" s="2" t="str">
        <f t="shared" si="28"/>
        <v>01</v>
      </c>
      <c r="M49" s="2" t="str">
        <f t="shared" si="28"/>
        <v>01</v>
      </c>
      <c r="N49" s="2" t="str">
        <f t="shared" si="28"/>
        <v>01</v>
      </c>
      <c r="O49" s="2" t="str">
        <f t="shared" si="28"/>
        <v>01</v>
      </c>
      <c r="P49" s="2" t="str">
        <f t="shared" si="28"/>
        <v>01</v>
      </c>
      <c r="Q49" s="2" t="str">
        <f t="shared" si="28"/>
        <v>01</v>
      </c>
      <c r="R49" s="2" t="str">
        <f t="shared" si="28"/>
        <v>00</v>
      </c>
      <c r="T49" t="str">
        <f t="shared" si="29"/>
        <v>0001010101010100</v>
      </c>
      <c r="V49" s="9" t="str">
        <f t="shared" si="30"/>
        <v>00010101</v>
      </c>
      <c r="W49" s="9" t="str">
        <f t="shared" si="31"/>
        <v>01010100</v>
      </c>
      <c r="X49" s="9" t="str">
        <f t="shared" si="32"/>
        <v>15</v>
      </c>
      <c r="Y49" s="9" t="str">
        <f t="shared" si="33"/>
        <v>54</v>
      </c>
    </row>
    <row r="50" spans="1:36" x14ac:dyDescent="0.3">
      <c r="B50" s="2">
        <v>0</v>
      </c>
      <c r="C50" s="2">
        <v>0</v>
      </c>
      <c r="D50" s="2">
        <v>1</v>
      </c>
      <c r="E50" s="2">
        <v>0</v>
      </c>
      <c r="F50" s="2">
        <v>2</v>
      </c>
      <c r="G50" s="2">
        <v>1</v>
      </c>
      <c r="H50" s="2">
        <v>0</v>
      </c>
      <c r="I50" s="2">
        <v>0</v>
      </c>
      <c r="K50" s="2" t="str">
        <f t="shared" si="28"/>
        <v>00</v>
      </c>
      <c r="L50" s="2" t="str">
        <f t="shared" si="28"/>
        <v>00</v>
      </c>
      <c r="M50" s="2" t="str">
        <f t="shared" si="28"/>
        <v>01</v>
      </c>
      <c r="N50" s="2" t="str">
        <f t="shared" si="28"/>
        <v>00</v>
      </c>
      <c r="O50" s="2" t="str">
        <f t="shared" si="28"/>
        <v>10</v>
      </c>
      <c r="P50" s="2" t="str">
        <f t="shared" si="28"/>
        <v>01</v>
      </c>
      <c r="Q50" s="2" t="str">
        <f t="shared" si="28"/>
        <v>00</v>
      </c>
      <c r="R50" s="2" t="str">
        <f t="shared" si="28"/>
        <v>00</v>
      </c>
      <c r="T50" t="str">
        <f t="shared" si="29"/>
        <v>0000010010010000</v>
      </c>
      <c r="V50" s="9" t="str">
        <f t="shared" si="30"/>
        <v>00000100</v>
      </c>
      <c r="W50" s="9" t="str">
        <f t="shared" si="31"/>
        <v>10010000</v>
      </c>
      <c r="X50" s="9" t="str">
        <f t="shared" si="32"/>
        <v>04</v>
      </c>
      <c r="Y50" s="9" t="str">
        <f t="shared" si="33"/>
        <v>90</v>
      </c>
    </row>
    <row r="51" spans="1:36" x14ac:dyDescent="0.3">
      <c r="B51" s="2">
        <v>0</v>
      </c>
      <c r="C51" s="2">
        <v>0</v>
      </c>
      <c r="D51" s="2">
        <v>0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K51" s="2" t="str">
        <f t="shared" si="28"/>
        <v>00</v>
      </c>
      <c r="L51" s="2" t="str">
        <f t="shared" si="28"/>
        <v>00</v>
      </c>
      <c r="M51" s="2" t="str">
        <f t="shared" si="28"/>
        <v>00</v>
      </c>
      <c r="N51" s="2" t="str">
        <f t="shared" si="28"/>
        <v>01</v>
      </c>
      <c r="O51" s="2" t="str">
        <f t="shared" si="28"/>
        <v>01</v>
      </c>
      <c r="P51" s="2" t="str">
        <f t="shared" si="28"/>
        <v>00</v>
      </c>
      <c r="Q51" s="2" t="str">
        <f t="shared" si="28"/>
        <v>00</v>
      </c>
      <c r="R51" s="2" t="str">
        <f t="shared" si="28"/>
        <v>00</v>
      </c>
      <c r="T51" t="str">
        <f t="shared" si="29"/>
        <v>0000000101000000</v>
      </c>
      <c r="V51" s="10" t="str">
        <f t="shared" si="30"/>
        <v>00000001</v>
      </c>
      <c r="W51" s="10" t="str">
        <f t="shared" si="31"/>
        <v>01000000</v>
      </c>
      <c r="X51" s="10" t="str">
        <f t="shared" si="32"/>
        <v>01</v>
      </c>
      <c r="Y51" s="10" t="str">
        <f t="shared" si="33"/>
        <v>40</v>
      </c>
    </row>
    <row r="52" spans="1:36" x14ac:dyDescent="0.3">
      <c r="A52" t="s">
        <v>6</v>
      </c>
      <c r="AJ52" t="str">
        <f>";"&amp;PROPER(A52)</f>
        <v>;Boulder 2</v>
      </c>
    </row>
    <row r="53" spans="1:36" x14ac:dyDescent="0.3">
      <c r="B53" s="2">
        <v>0</v>
      </c>
      <c r="C53" s="2">
        <v>0</v>
      </c>
      <c r="D53" s="2">
        <v>0</v>
      </c>
      <c r="E53" s="2">
        <v>3</v>
      </c>
      <c r="F53" s="2">
        <v>3</v>
      </c>
      <c r="G53" s="2">
        <v>0</v>
      </c>
      <c r="H53" s="2">
        <v>0</v>
      </c>
      <c r="I53" s="2">
        <v>0</v>
      </c>
      <c r="K53" s="2" t="str">
        <f t="shared" ref="K53:K68" si="35">DEC2BIN(B53,2)</f>
        <v>00</v>
      </c>
      <c r="L53" s="2" t="str">
        <f t="shared" ref="L53:L68" si="36">DEC2BIN(C53,2)</f>
        <v>00</v>
      </c>
      <c r="M53" s="2" t="str">
        <f t="shared" ref="M53:M68" si="37">DEC2BIN(D53,2)</f>
        <v>00</v>
      </c>
      <c r="N53" s="2" t="str">
        <f t="shared" ref="N53:N68" si="38">DEC2BIN(E53,2)</f>
        <v>11</v>
      </c>
      <c r="O53" s="2" t="str">
        <f t="shared" ref="O53:O68" si="39">DEC2BIN(F53,2)</f>
        <v>11</v>
      </c>
      <c r="P53" s="2" t="str">
        <f t="shared" ref="P53:P68" si="40">DEC2BIN(G53,2)</f>
        <v>00</v>
      </c>
      <c r="Q53" s="2" t="str">
        <f t="shared" ref="Q53:Q68" si="41">DEC2BIN(H53,2)</f>
        <v>00</v>
      </c>
      <c r="R53" s="2" t="str">
        <f t="shared" ref="R53:R68" si="42">DEC2BIN(I53,2)</f>
        <v>00</v>
      </c>
      <c r="T53" t="str">
        <f t="shared" ref="T53:T68" si="43">_xlfn.CONCAT(K53:R53)</f>
        <v>0000001111000000</v>
      </c>
      <c r="V53" s="8" t="str">
        <f>LEFT(T53,8)</f>
        <v>00000011</v>
      </c>
      <c r="W53" s="8" t="str">
        <f>RIGHT(T53,8)</f>
        <v>11000000</v>
      </c>
      <c r="X53" s="8" t="str">
        <f>BIN2HEX(V53,2)</f>
        <v>03</v>
      </c>
      <c r="Y53" s="8" t="str">
        <f>BIN2HEX(W53,2)</f>
        <v>C0</v>
      </c>
      <c r="AA53" t="str" cm="1">
        <f t="array" ref="AA53:AH53">TRANSPOSE(X53:X60)</f>
        <v>03</v>
      </c>
      <c r="AB53" t="str">
        <v>0E</v>
      </c>
      <c r="AC53" t="str">
        <v>31</v>
      </c>
      <c r="AD53" t="str">
        <v>32</v>
      </c>
      <c r="AE53" t="str">
        <v>C0</v>
      </c>
      <c r="AF53" t="str">
        <v>C0</v>
      </c>
      <c r="AG53" t="str">
        <v>01</v>
      </c>
      <c r="AH53" t="str">
        <v>C8</v>
      </c>
      <c r="AJ53" t="str">
        <f>LOWER("!byte $"&amp;AA53&amp;", $"&amp;AB53&amp;", $"&amp;AC53&amp;", $"&amp;AD53&amp;", $"&amp;AE53&amp;", $"&amp;AF53&amp;", $"&amp;AG53&amp;", $"&amp;AH53)</f>
        <v>!byte $03, $0e, $31, $32, $c0, $c0, $01, $c8</v>
      </c>
    </row>
    <row r="54" spans="1:36" x14ac:dyDescent="0.3">
      <c r="B54" s="2">
        <v>0</v>
      </c>
      <c r="C54" s="2">
        <v>0</v>
      </c>
      <c r="D54" s="2">
        <v>3</v>
      </c>
      <c r="E54" s="2">
        <v>2</v>
      </c>
      <c r="F54" s="2">
        <v>1</v>
      </c>
      <c r="G54" s="2">
        <v>3</v>
      </c>
      <c r="H54" s="2">
        <v>0</v>
      </c>
      <c r="I54" s="2">
        <v>0</v>
      </c>
      <c r="K54" s="2" t="str">
        <f t="shared" si="35"/>
        <v>00</v>
      </c>
      <c r="L54" s="2" t="str">
        <f t="shared" si="36"/>
        <v>00</v>
      </c>
      <c r="M54" s="2" t="str">
        <f t="shared" si="37"/>
        <v>11</v>
      </c>
      <c r="N54" s="2" t="str">
        <f t="shared" si="38"/>
        <v>10</v>
      </c>
      <c r="O54" s="2" t="str">
        <f t="shared" si="39"/>
        <v>01</v>
      </c>
      <c r="P54" s="2" t="str">
        <f t="shared" si="40"/>
        <v>11</v>
      </c>
      <c r="Q54" s="2" t="str">
        <f t="shared" si="41"/>
        <v>00</v>
      </c>
      <c r="R54" s="2" t="str">
        <f t="shared" si="42"/>
        <v>00</v>
      </c>
      <c r="T54" t="str">
        <f t="shared" si="43"/>
        <v>0000111001110000</v>
      </c>
      <c r="V54" s="9" t="str">
        <f t="shared" ref="V54:V68" si="44">LEFT(T54,8)</f>
        <v>00001110</v>
      </c>
      <c r="W54" s="9" t="str">
        <f t="shared" ref="W54:W68" si="45">RIGHT(T54,8)</f>
        <v>01110000</v>
      </c>
      <c r="X54" s="9" t="str">
        <f t="shared" ref="X54:X68" si="46">BIN2HEX(V54,2)</f>
        <v>0E</v>
      </c>
      <c r="Y54" s="9" t="str">
        <f t="shared" ref="Y54:Y68" si="47">BIN2HEX(W54,2)</f>
        <v>70</v>
      </c>
      <c r="AA54" t="str" cm="1">
        <f t="array" ref="AA54:AH54">TRANSPOSE(X61:X68)</f>
        <v>C1</v>
      </c>
      <c r="AB54" t="str">
        <v>11</v>
      </c>
      <c r="AC54" t="str">
        <v>C5</v>
      </c>
      <c r="AD54" t="str">
        <v>D1</v>
      </c>
      <c r="AE54" t="str">
        <v>D8</v>
      </c>
      <c r="AF54" t="str">
        <v>1A</v>
      </c>
      <c r="AG54" t="str">
        <v>34</v>
      </c>
      <c r="AH54" t="str">
        <v>0F</v>
      </c>
      <c r="AJ54" t="str">
        <f t="shared" ref="AJ54:AJ56" si="48">LOWER("!byte $"&amp;AA54&amp;", $"&amp;AB54&amp;", $"&amp;AC54&amp;", $"&amp;AD54&amp;", $"&amp;AE54&amp;", $"&amp;AF54&amp;", $"&amp;AG54&amp;", $"&amp;AH54)</f>
        <v>!byte $c1, $11, $c5, $d1, $d8, $1a, $34, $0f</v>
      </c>
    </row>
    <row r="55" spans="1:36" x14ac:dyDescent="0.3">
      <c r="B55" s="2">
        <v>0</v>
      </c>
      <c r="C55" s="2">
        <v>3</v>
      </c>
      <c r="D55" s="2">
        <v>0</v>
      </c>
      <c r="E55" s="2">
        <v>1</v>
      </c>
      <c r="F55" s="2">
        <v>2</v>
      </c>
      <c r="G55" s="2">
        <v>0</v>
      </c>
      <c r="H55" s="2">
        <v>3</v>
      </c>
      <c r="I55" s="2">
        <v>0</v>
      </c>
      <c r="K55" s="2" t="str">
        <f t="shared" si="35"/>
        <v>00</v>
      </c>
      <c r="L55" s="2" t="str">
        <f t="shared" si="36"/>
        <v>11</v>
      </c>
      <c r="M55" s="2" t="str">
        <f t="shared" si="37"/>
        <v>00</v>
      </c>
      <c r="N55" s="2" t="str">
        <f t="shared" si="38"/>
        <v>01</v>
      </c>
      <c r="O55" s="2" t="str">
        <f t="shared" si="39"/>
        <v>10</v>
      </c>
      <c r="P55" s="2" t="str">
        <f t="shared" si="40"/>
        <v>00</v>
      </c>
      <c r="Q55" s="2" t="str">
        <f t="shared" si="41"/>
        <v>11</v>
      </c>
      <c r="R55" s="2" t="str">
        <f t="shared" si="42"/>
        <v>00</v>
      </c>
      <c r="T55" t="str">
        <f t="shared" si="43"/>
        <v>0011000110001100</v>
      </c>
      <c r="V55" s="9" t="str">
        <f t="shared" si="44"/>
        <v>00110001</v>
      </c>
      <c r="W55" s="9" t="str">
        <f t="shared" si="45"/>
        <v>10001100</v>
      </c>
      <c r="X55" s="9" t="str">
        <f t="shared" si="46"/>
        <v>31</v>
      </c>
      <c r="Y55" s="9" t="str">
        <f t="shared" si="47"/>
        <v>8C</v>
      </c>
      <c r="AA55" t="str" cm="1">
        <f t="array" ref="AA55:AH55">TRANSPOSE(Y53:Y60)</f>
        <v>C0</v>
      </c>
      <c r="AB55" t="str">
        <v>70</v>
      </c>
      <c r="AC55" t="str">
        <v>8C</v>
      </c>
      <c r="AD55" t="str">
        <v>0C</v>
      </c>
      <c r="AE55" t="str">
        <v>03</v>
      </c>
      <c r="AF55" t="str">
        <v>03</v>
      </c>
      <c r="AG55" t="str">
        <v>83</v>
      </c>
      <c r="AH55" t="str">
        <v>60</v>
      </c>
      <c r="AJ55" t="str">
        <f t="shared" si="48"/>
        <v>!byte $c0, $70, $8c, $0c, $03, $03, $83, $60</v>
      </c>
    </row>
    <row r="56" spans="1:36" x14ac:dyDescent="0.3">
      <c r="B56" s="2">
        <v>0</v>
      </c>
      <c r="C56" s="2">
        <v>3</v>
      </c>
      <c r="D56" s="2">
        <v>0</v>
      </c>
      <c r="E56" s="2">
        <v>2</v>
      </c>
      <c r="F56" s="2">
        <v>0</v>
      </c>
      <c r="G56" s="2">
        <v>0</v>
      </c>
      <c r="H56" s="2">
        <v>3</v>
      </c>
      <c r="I56" s="2">
        <v>0</v>
      </c>
      <c r="K56" s="2" t="str">
        <f t="shared" si="35"/>
        <v>00</v>
      </c>
      <c r="L56" s="2" t="str">
        <f t="shared" si="36"/>
        <v>11</v>
      </c>
      <c r="M56" s="2" t="str">
        <f t="shared" si="37"/>
        <v>00</v>
      </c>
      <c r="N56" s="2" t="str">
        <f t="shared" si="38"/>
        <v>10</v>
      </c>
      <c r="O56" s="2" t="str">
        <f t="shared" si="39"/>
        <v>00</v>
      </c>
      <c r="P56" s="2" t="str">
        <f t="shared" si="40"/>
        <v>00</v>
      </c>
      <c r="Q56" s="2" t="str">
        <f t="shared" si="41"/>
        <v>11</v>
      </c>
      <c r="R56" s="2" t="str">
        <f t="shared" si="42"/>
        <v>00</v>
      </c>
      <c r="T56" t="str">
        <f t="shared" si="43"/>
        <v>0011001000001100</v>
      </c>
      <c r="V56" s="9" t="str">
        <f t="shared" si="44"/>
        <v>00110010</v>
      </c>
      <c r="W56" s="9" t="str">
        <f t="shared" si="45"/>
        <v>00001100</v>
      </c>
      <c r="X56" s="9" t="str">
        <f t="shared" si="46"/>
        <v>32</v>
      </c>
      <c r="Y56" s="9" t="str">
        <f t="shared" si="47"/>
        <v>0C</v>
      </c>
      <c r="AA56" t="str" cm="1">
        <f t="array" ref="AA56:AH56">TRANSPOSE(Y61:Y68)</f>
        <v>03</v>
      </c>
      <c r="AB56" t="str">
        <v>17</v>
      </c>
      <c r="AC56" t="str">
        <v>57</v>
      </c>
      <c r="AD56" t="str">
        <v>57</v>
      </c>
      <c r="AE56" t="str">
        <v>54</v>
      </c>
      <c r="AF56" t="str">
        <v>5C</v>
      </c>
      <c r="AG56" t="str">
        <v>70</v>
      </c>
      <c r="AH56" t="str">
        <v>C0</v>
      </c>
      <c r="AJ56" t="str">
        <f t="shared" si="48"/>
        <v>!byte $03, $17, $57, $57, $54, $5c, $70, $c0</v>
      </c>
    </row>
    <row r="57" spans="1:36" x14ac:dyDescent="0.3">
      <c r="B57" s="2">
        <v>3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3</v>
      </c>
      <c r="K57" s="2" t="str">
        <f t="shared" si="35"/>
        <v>11</v>
      </c>
      <c r="L57" s="2" t="str">
        <f t="shared" si="36"/>
        <v>00</v>
      </c>
      <c r="M57" s="2" t="str">
        <f t="shared" si="37"/>
        <v>00</v>
      </c>
      <c r="N57" s="2" t="str">
        <f t="shared" si="38"/>
        <v>00</v>
      </c>
      <c r="O57" s="2" t="str">
        <f t="shared" si="39"/>
        <v>00</v>
      </c>
      <c r="P57" s="2" t="str">
        <f t="shared" si="40"/>
        <v>00</v>
      </c>
      <c r="Q57" s="2" t="str">
        <f t="shared" si="41"/>
        <v>00</v>
      </c>
      <c r="R57" s="2" t="str">
        <f t="shared" si="42"/>
        <v>11</v>
      </c>
      <c r="T57" t="str">
        <f t="shared" si="43"/>
        <v>1100000000000011</v>
      </c>
      <c r="V57" s="9" t="str">
        <f t="shared" si="44"/>
        <v>11000000</v>
      </c>
      <c r="W57" s="9" t="str">
        <f t="shared" si="45"/>
        <v>00000011</v>
      </c>
      <c r="X57" s="9" t="str">
        <f t="shared" si="46"/>
        <v>C0</v>
      </c>
      <c r="Y57" s="9" t="str">
        <f t="shared" si="47"/>
        <v>03</v>
      </c>
    </row>
    <row r="58" spans="1:36" x14ac:dyDescent="0.3">
      <c r="B58" s="2">
        <v>3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3</v>
      </c>
      <c r="K58" s="2" t="str">
        <f t="shared" si="35"/>
        <v>11</v>
      </c>
      <c r="L58" s="2" t="str">
        <f t="shared" si="36"/>
        <v>00</v>
      </c>
      <c r="M58" s="2" t="str">
        <f t="shared" si="37"/>
        <v>00</v>
      </c>
      <c r="N58" s="2" t="str">
        <f t="shared" si="38"/>
        <v>00</v>
      </c>
      <c r="O58" s="2" t="str">
        <f t="shared" si="39"/>
        <v>00</v>
      </c>
      <c r="P58" s="2" t="str">
        <f t="shared" si="40"/>
        <v>00</v>
      </c>
      <c r="Q58" s="2" t="str">
        <f t="shared" si="41"/>
        <v>00</v>
      </c>
      <c r="R58" s="2" t="str">
        <f t="shared" si="42"/>
        <v>11</v>
      </c>
      <c r="T58" t="str">
        <f t="shared" si="43"/>
        <v>1100000000000011</v>
      </c>
      <c r="V58" s="9" t="str">
        <f t="shared" si="44"/>
        <v>11000000</v>
      </c>
      <c r="W58" s="9" t="str">
        <f t="shared" si="45"/>
        <v>00000011</v>
      </c>
      <c r="X58" s="9" t="str">
        <f t="shared" si="46"/>
        <v>C0</v>
      </c>
      <c r="Y58" s="9" t="str">
        <f t="shared" si="47"/>
        <v>03</v>
      </c>
    </row>
    <row r="59" spans="1:36" x14ac:dyDescent="0.3">
      <c r="B59" s="2">
        <v>0</v>
      </c>
      <c r="C59" s="2">
        <v>0</v>
      </c>
      <c r="D59" s="2">
        <v>0</v>
      </c>
      <c r="E59" s="2">
        <v>1</v>
      </c>
      <c r="F59" s="2">
        <v>2</v>
      </c>
      <c r="G59" s="2">
        <v>0</v>
      </c>
      <c r="H59" s="2">
        <v>0</v>
      </c>
      <c r="I59" s="2">
        <v>3</v>
      </c>
      <c r="K59" s="2" t="str">
        <f t="shared" si="35"/>
        <v>00</v>
      </c>
      <c r="L59" s="2" t="str">
        <f t="shared" si="36"/>
        <v>00</v>
      </c>
      <c r="M59" s="2" t="str">
        <f t="shared" si="37"/>
        <v>00</v>
      </c>
      <c r="N59" s="2" t="str">
        <f t="shared" si="38"/>
        <v>01</v>
      </c>
      <c r="O59" s="2" t="str">
        <f t="shared" si="39"/>
        <v>10</v>
      </c>
      <c r="P59" s="2" t="str">
        <f t="shared" si="40"/>
        <v>00</v>
      </c>
      <c r="Q59" s="2" t="str">
        <f t="shared" si="41"/>
        <v>00</v>
      </c>
      <c r="R59" s="2" t="str">
        <f t="shared" si="42"/>
        <v>11</v>
      </c>
      <c r="T59" t="str">
        <f t="shared" si="43"/>
        <v>0000000110000011</v>
      </c>
      <c r="V59" s="9" t="str">
        <f t="shared" si="44"/>
        <v>00000001</v>
      </c>
      <c r="W59" s="9" t="str">
        <f t="shared" si="45"/>
        <v>10000011</v>
      </c>
      <c r="X59" s="9" t="str">
        <f t="shared" si="46"/>
        <v>01</v>
      </c>
      <c r="Y59" s="9" t="str">
        <f t="shared" si="47"/>
        <v>83</v>
      </c>
    </row>
    <row r="60" spans="1:36" x14ac:dyDescent="0.3">
      <c r="B60" s="2">
        <v>3</v>
      </c>
      <c r="C60" s="2">
        <v>0</v>
      </c>
      <c r="D60" s="2">
        <v>2</v>
      </c>
      <c r="E60" s="2">
        <v>0</v>
      </c>
      <c r="F60" s="2">
        <v>1</v>
      </c>
      <c r="G60" s="2">
        <v>2</v>
      </c>
      <c r="H60" s="2">
        <v>0</v>
      </c>
      <c r="I60" s="2">
        <v>0</v>
      </c>
      <c r="K60" s="2" t="str">
        <f t="shared" si="35"/>
        <v>11</v>
      </c>
      <c r="L60" s="2" t="str">
        <f t="shared" si="36"/>
        <v>00</v>
      </c>
      <c r="M60" s="2" t="str">
        <f t="shared" si="37"/>
        <v>10</v>
      </c>
      <c r="N60" s="2" t="str">
        <f t="shared" si="38"/>
        <v>00</v>
      </c>
      <c r="O60" s="2" t="str">
        <f t="shared" si="39"/>
        <v>01</v>
      </c>
      <c r="P60" s="2" t="str">
        <f t="shared" si="40"/>
        <v>10</v>
      </c>
      <c r="Q60" s="2" t="str">
        <f t="shared" si="41"/>
        <v>00</v>
      </c>
      <c r="R60" s="2" t="str">
        <f t="shared" si="42"/>
        <v>00</v>
      </c>
      <c r="T60" t="str">
        <f t="shared" si="43"/>
        <v>1100100001100000</v>
      </c>
      <c r="V60" s="10" t="str">
        <f t="shared" si="44"/>
        <v>11001000</v>
      </c>
      <c r="W60" s="10" t="str">
        <f t="shared" si="45"/>
        <v>01100000</v>
      </c>
      <c r="X60" s="10" t="str">
        <f t="shared" si="46"/>
        <v>C8</v>
      </c>
      <c r="Y60" s="10" t="str">
        <f t="shared" si="47"/>
        <v>60</v>
      </c>
    </row>
    <row r="61" spans="1:36" x14ac:dyDescent="0.3">
      <c r="B61" s="2">
        <v>3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0</v>
      </c>
      <c r="I61" s="2">
        <v>3</v>
      </c>
      <c r="K61" s="2" t="str">
        <f t="shared" si="35"/>
        <v>11</v>
      </c>
      <c r="L61" s="2" t="str">
        <f t="shared" si="36"/>
        <v>00</v>
      </c>
      <c r="M61" s="2" t="str">
        <f t="shared" si="37"/>
        <v>00</v>
      </c>
      <c r="N61" s="2" t="str">
        <f t="shared" si="38"/>
        <v>01</v>
      </c>
      <c r="O61" s="2" t="str">
        <f t="shared" si="39"/>
        <v>00</v>
      </c>
      <c r="P61" s="2" t="str">
        <f t="shared" si="40"/>
        <v>00</v>
      </c>
      <c r="Q61" s="2" t="str">
        <f t="shared" si="41"/>
        <v>00</v>
      </c>
      <c r="R61" s="2" t="str">
        <f t="shared" si="42"/>
        <v>11</v>
      </c>
      <c r="T61" t="str">
        <f t="shared" si="43"/>
        <v>1100000100000011</v>
      </c>
      <c r="V61" s="8" t="str">
        <f t="shared" si="44"/>
        <v>11000001</v>
      </c>
      <c r="W61" s="8" t="str">
        <f t="shared" si="45"/>
        <v>00000011</v>
      </c>
      <c r="X61" s="8" t="str">
        <f t="shared" si="46"/>
        <v>C1</v>
      </c>
      <c r="Y61" s="8" t="str">
        <f t="shared" si="47"/>
        <v>03</v>
      </c>
    </row>
    <row r="62" spans="1:36" x14ac:dyDescent="0.3">
      <c r="B62" s="2">
        <v>0</v>
      </c>
      <c r="C62" s="2">
        <v>1</v>
      </c>
      <c r="D62" s="2">
        <v>0</v>
      </c>
      <c r="E62" s="2">
        <v>1</v>
      </c>
      <c r="F62" s="2">
        <v>0</v>
      </c>
      <c r="G62" s="2">
        <v>1</v>
      </c>
      <c r="H62" s="2">
        <v>1</v>
      </c>
      <c r="I62" s="2">
        <v>3</v>
      </c>
      <c r="K62" s="2" t="str">
        <f t="shared" si="35"/>
        <v>00</v>
      </c>
      <c r="L62" s="2" t="str">
        <f t="shared" si="36"/>
        <v>01</v>
      </c>
      <c r="M62" s="2" t="str">
        <f t="shared" si="37"/>
        <v>00</v>
      </c>
      <c r="N62" s="2" t="str">
        <f t="shared" si="38"/>
        <v>01</v>
      </c>
      <c r="O62" s="2" t="str">
        <f t="shared" si="39"/>
        <v>00</v>
      </c>
      <c r="P62" s="2" t="str">
        <f t="shared" si="40"/>
        <v>01</v>
      </c>
      <c r="Q62" s="2" t="str">
        <f t="shared" si="41"/>
        <v>01</v>
      </c>
      <c r="R62" s="2" t="str">
        <f t="shared" si="42"/>
        <v>11</v>
      </c>
      <c r="T62" t="str">
        <f t="shared" si="43"/>
        <v>0001000100010111</v>
      </c>
      <c r="V62" s="9" t="str">
        <f t="shared" si="44"/>
        <v>00010001</v>
      </c>
      <c r="W62" s="9" t="str">
        <f t="shared" si="45"/>
        <v>00010111</v>
      </c>
      <c r="X62" s="9" t="str">
        <f t="shared" si="46"/>
        <v>11</v>
      </c>
      <c r="Y62" s="9" t="str">
        <f t="shared" si="47"/>
        <v>17</v>
      </c>
    </row>
    <row r="63" spans="1:36" x14ac:dyDescent="0.3">
      <c r="B63" s="2">
        <v>3</v>
      </c>
      <c r="C63" s="2">
        <v>0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3</v>
      </c>
      <c r="K63" s="2" t="str">
        <f t="shared" si="35"/>
        <v>11</v>
      </c>
      <c r="L63" s="2" t="str">
        <f t="shared" si="36"/>
        <v>00</v>
      </c>
      <c r="M63" s="2" t="str">
        <f t="shared" si="37"/>
        <v>01</v>
      </c>
      <c r="N63" s="2" t="str">
        <f t="shared" si="38"/>
        <v>01</v>
      </c>
      <c r="O63" s="2" t="str">
        <f t="shared" si="39"/>
        <v>01</v>
      </c>
      <c r="P63" s="2" t="str">
        <f t="shared" si="40"/>
        <v>01</v>
      </c>
      <c r="Q63" s="2" t="str">
        <f t="shared" si="41"/>
        <v>01</v>
      </c>
      <c r="R63" s="2" t="str">
        <f t="shared" si="42"/>
        <v>11</v>
      </c>
      <c r="T63" t="str">
        <f t="shared" si="43"/>
        <v>1100010101010111</v>
      </c>
      <c r="V63" s="9" t="str">
        <f t="shared" si="44"/>
        <v>11000101</v>
      </c>
      <c r="W63" s="9" t="str">
        <f t="shared" si="45"/>
        <v>01010111</v>
      </c>
      <c r="X63" s="9" t="str">
        <f t="shared" si="46"/>
        <v>C5</v>
      </c>
      <c r="Y63" s="9" t="str">
        <f t="shared" si="47"/>
        <v>57</v>
      </c>
    </row>
    <row r="64" spans="1:36" x14ac:dyDescent="0.3">
      <c r="B64" s="2">
        <v>3</v>
      </c>
      <c r="C64" s="2">
        <v>1</v>
      </c>
      <c r="D64" s="2">
        <v>0</v>
      </c>
      <c r="E64" s="2">
        <v>1</v>
      </c>
      <c r="F64" s="2">
        <v>1</v>
      </c>
      <c r="G64" s="2">
        <v>1</v>
      </c>
      <c r="H64" s="2">
        <v>1</v>
      </c>
      <c r="I64" s="2">
        <v>3</v>
      </c>
      <c r="K64" s="2" t="str">
        <f t="shared" si="35"/>
        <v>11</v>
      </c>
      <c r="L64" s="2" t="str">
        <f t="shared" si="36"/>
        <v>01</v>
      </c>
      <c r="M64" s="2" t="str">
        <f t="shared" si="37"/>
        <v>00</v>
      </c>
      <c r="N64" s="2" t="str">
        <f t="shared" si="38"/>
        <v>01</v>
      </c>
      <c r="O64" s="2" t="str">
        <f t="shared" si="39"/>
        <v>01</v>
      </c>
      <c r="P64" s="2" t="str">
        <f t="shared" si="40"/>
        <v>01</v>
      </c>
      <c r="Q64" s="2" t="str">
        <f t="shared" si="41"/>
        <v>01</v>
      </c>
      <c r="R64" s="2" t="str">
        <f t="shared" si="42"/>
        <v>11</v>
      </c>
      <c r="T64" t="str">
        <f t="shared" si="43"/>
        <v>1101000101010111</v>
      </c>
      <c r="V64" s="9" t="str">
        <f t="shared" si="44"/>
        <v>11010001</v>
      </c>
      <c r="W64" s="9" t="str">
        <f t="shared" si="45"/>
        <v>01010111</v>
      </c>
      <c r="X64" s="9" t="str">
        <f t="shared" si="46"/>
        <v>D1</v>
      </c>
      <c r="Y64" s="9" t="str">
        <f t="shared" si="47"/>
        <v>57</v>
      </c>
    </row>
    <row r="65" spans="1:36" x14ac:dyDescent="0.3">
      <c r="B65" s="2">
        <v>3</v>
      </c>
      <c r="C65" s="2">
        <v>1</v>
      </c>
      <c r="D65" s="2">
        <v>2</v>
      </c>
      <c r="E65" s="2">
        <v>0</v>
      </c>
      <c r="F65" s="2">
        <v>1</v>
      </c>
      <c r="G65" s="2">
        <v>1</v>
      </c>
      <c r="H65" s="2">
        <v>1</v>
      </c>
      <c r="I65" s="2">
        <v>0</v>
      </c>
      <c r="K65" s="2" t="str">
        <f t="shared" si="35"/>
        <v>11</v>
      </c>
      <c r="L65" s="2" t="str">
        <f t="shared" si="36"/>
        <v>01</v>
      </c>
      <c r="M65" s="2" t="str">
        <f t="shared" si="37"/>
        <v>10</v>
      </c>
      <c r="N65" s="2" t="str">
        <f t="shared" si="38"/>
        <v>00</v>
      </c>
      <c r="O65" s="2" t="str">
        <f t="shared" si="39"/>
        <v>01</v>
      </c>
      <c r="P65" s="2" t="str">
        <f t="shared" si="40"/>
        <v>01</v>
      </c>
      <c r="Q65" s="2" t="str">
        <f t="shared" si="41"/>
        <v>01</v>
      </c>
      <c r="R65" s="2" t="str">
        <f t="shared" si="42"/>
        <v>00</v>
      </c>
      <c r="T65" t="str">
        <f t="shared" si="43"/>
        <v>1101100001010100</v>
      </c>
      <c r="V65" s="9" t="str">
        <f t="shared" si="44"/>
        <v>11011000</v>
      </c>
      <c r="W65" s="9" t="str">
        <f t="shared" si="45"/>
        <v>01010100</v>
      </c>
      <c r="X65" s="9" t="str">
        <f t="shared" si="46"/>
        <v>D8</v>
      </c>
      <c r="Y65" s="9" t="str">
        <f t="shared" si="47"/>
        <v>54</v>
      </c>
    </row>
    <row r="66" spans="1:36" x14ac:dyDescent="0.3">
      <c r="B66" s="2">
        <v>0</v>
      </c>
      <c r="C66" s="2">
        <v>1</v>
      </c>
      <c r="D66" s="2">
        <v>2</v>
      </c>
      <c r="E66" s="2">
        <v>2</v>
      </c>
      <c r="F66" s="2">
        <v>1</v>
      </c>
      <c r="G66" s="2">
        <v>1</v>
      </c>
      <c r="H66" s="2">
        <v>3</v>
      </c>
      <c r="I66" s="2">
        <v>0</v>
      </c>
      <c r="K66" s="2" t="str">
        <f t="shared" si="35"/>
        <v>00</v>
      </c>
      <c r="L66" s="2" t="str">
        <f t="shared" si="36"/>
        <v>01</v>
      </c>
      <c r="M66" s="2" t="str">
        <f t="shared" si="37"/>
        <v>10</v>
      </c>
      <c r="N66" s="2" t="str">
        <f t="shared" si="38"/>
        <v>10</v>
      </c>
      <c r="O66" s="2" t="str">
        <f t="shared" si="39"/>
        <v>01</v>
      </c>
      <c r="P66" s="2" t="str">
        <f t="shared" si="40"/>
        <v>01</v>
      </c>
      <c r="Q66" s="2" t="str">
        <f t="shared" si="41"/>
        <v>11</v>
      </c>
      <c r="R66" s="2" t="str">
        <f t="shared" si="42"/>
        <v>00</v>
      </c>
      <c r="T66" t="str">
        <f t="shared" si="43"/>
        <v>0001101001011100</v>
      </c>
      <c r="V66" s="9" t="str">
        <f t="shared" si="44"/>
        <v>00011010</v>
      </c>
      <c r="W66" s="9" t="str">
        <f t="shared" si="45"/>
        <v>01011100</v>
      </c>
      <c r="X66" s="9" t="str">
        <f t="shared" si="46"/>
        <v>1A</v>
      </c>
      <c r="Y66" s="9" t="str">
        <f t="shared" si="47"/>
        <v>5C</v>
      </c>
    </row>
    <row r="67" spans="1:36" x14ac:dyDescent="0.3">
      <c r="B67" s="2">
        <v>0</v>
      </c>
      <c r="C67" s="2">
        <v>3</v>
      </c>
      <c r="D67" s="2">
        <v>1</v>
      </c>
      <c r="E67" s="2">
        <v>0</v>
      </c>
      <c r="F67" s="2">
        <v>1</v>
      </c>
      <c r="G67" s="2">
        <v>3</v>
      </c>
      <c r="H67" s="2">
        <v>0</v>
      </c>
      <c r="I67" s="2">
        <v>0</v>
      </c>
      <c r="K67" s="2" t="str">
        <f t="shared" si="35"/>
        <v>00</v>
      </c>
      <c r="L67" s="2" t="str">
        <f t="shared" si="36"/>
        <v>11</v>
      </c>
      <c r="M67" s="2" t="str">
        <f t="shared" si="37"/>
        <v>01</v>
      </c>
      <c r="N67" s="2" t="str">
        <f t="shared" si="38"/>
        <v>00</v>
      </c>
      <c r="O67" s="2" t="str">
        <f t="shared" si="39"/>
        <v>01</v>
      </c>
      <c r="P67" s="2" t="str">
        <f t="shared" si="40"/>
        <v>11</v>
      </c>
      <c r="Q67" s="2" t="str">
        <f t="shared" si="41"/>
        <v>00</v>
      </c>
      <c r="R67" s="2" t="str">
        <f t="shared" si="42"/>
        <v>00</v>
      </c>
      <c r="T67" t="str">
        <f t="shared" si="43"/>
        <v>0011010001110000</v>
      </c>
      <c r="V67" s="9" t="str">
        <f t="shared" si="44"/>
        <v>00110100</v>
      </c>
      <c r="W67" s="9" t="str">
        <f t="shared" si="45"/>
        <v>01110000</v>
      </c>
      <c r="X67" s="9" t="str">
        <f t="shared" si="46"/>
        <v>34</v>
      </c>
      <c r="Y67" s="9" t="str">
        <f t="shared" si="47"/>
        <v>70</v>
      </c>
    </row>
    <row r="68" spans="1:36" x14ac:dyDescent="0.3">
      <c r="B68" s="2">
        <v>0</v>
      </c>
      <c r="C68" s="2">
        <v>0</v>
      </c>
      <c r="D68" s="2">
        <v>3</v>
      </c>
      <c r="E68" s="2">
        <v>3</v>
      </c>
      <c r="F68" s="2">
        <v>3</v>
      </c>
      <c r="G68" s="2">
        <v>0</v>
      </c>
      <c r="H68" s="2">
        <v>0</v>
      </c>
      <c r="I68" s="2">
        <v>0</v>
      </c>
      <c r="K68" s="2" t="str">
        <f t="shared" si="35"/>
        <v>00</v>
      </c>
      <c r="L68" s="2" t="str">
        <f t="shared" si="36"/>
        <v>00</v>
      </c>
      <c r="M68" s="2" t="str">
        <f t="shared" si="37"/>
        <v>11</v>
      </c>
      <c r="N68" s="2" t="str">
        <f t="shared" si="38"/>
        <v>11</v>
      </c>
      <c r="O68" s="2" t="str">
        <f t="shared" si="39"/>
        <v>11</v>
      </c>
      <c r="P68" s="2" t="str">
        <f t="shared" si="40"/>
        <v>00</v>
      </c>
      <c r="Q68" s="2" t="str">
        <f t="shared" si="41"/>
        <v>00</v>
      </c>
      <c r="R68" s="2" t="str">
        <f t="shared" si="42"/>
        <v>00</v>
      </c>
      <c r="T68" t="str">
        <f t="shared" si="43"/>
        <v>0000111111000000</v>
      </c>
      <c r="V68" s="10" t="str">
        <f t="shared" si="44"/>
        <v>00001111</v>
      </c>
      <c r="W68" s="10" t="str">
        <f t="shared" si="45"/>
        <v>11000000</v>
      </c>
      <c r="X68" s="10" t="str">
        <f t="shared" si="46"/>
        <v>0F</v>
      </c>
      <c r="Y68" s="10" t="str">
        <f t="shared" si="47"/>
        <v>C0</v>
      </c>
    </row>
    <row r="69" spans="1:36" x14ac:dyDescent="0.3">
      <c r="A69" t="s">
        <v>114</v>
      </c>
      <c r="T69" t="str">
        <f t="shared" si="29"/>
        <v/>
      </c>
      <c r="AJ69" t="str">
        <f>";"&amp;PROPER(A69)</f>
        <v>;Bubble</v>
      </c>
    </row>
    <row r="70" spans="1:36" x14ac:dyDescent="0.3">
      <c r="B70" s="2">
        <v>0</v>
      </c>
      <c r="C70" s="2">
        <v>0</v>
      </c>
      <c r="D70" s="2">
        <v>0</v>
      </c>
      <c r="E70" s="2">
        <v>3</v>
      </c>
      <c r="F70" s="2">
        <v>3</v>
      </c>
      <c r="G70" s="2">
        <v>0</v>
      </c>
      <c r="H70" s="2">
        <v>0</v>
      </c>
      <c r="I70" s="2">
        <v>0</v>
      </c>
      <c r="K70" s="2" t="str">
        <f t="shared" ref="K70:R85" si="49">DEC2BIN(B70,2)</f>
        <v>00</v>
      </c>
      <c r="L70" s="2" t="str">
        <f t="shared" si="49"/>
        <v>00</v>
      </c>
      <c r="M70" s="2" t="str">
        <f t="shared" si="49"/>
        <v>00</v>
      </c>
      <c r="N70" s="2" t="str">
        <f t="shared" si="49"/>
        <v>11</v>
      </c>
      <c r="O70" s="2" t="str">
        <f t="shared" si="49"/>
        <v>11</v>
      </c>
      <c r="P70" s="2" t="str">
        <f t="shared" si="49"/>
        <v>00</v>
      </c>
      <c r="Q70" s="2" t="str">
        <f t="shared" si="49"/>
        <v>00</v>
      </c>
      <c r="R70" s="2" t="str">
        <f t="shared" si="49"/>
        <v>00</v>
      </c>
      <c r="T70" t="str">
        <f t="shared" si="29"/>
        <v>0000001111000000</v>
      </c>
      <c r="V70" s="8" t="str">
        <f>LEFT(T70,8)</f>
        <v>00000011</v>
      </c>
      <c r="W70" s="8" t="str">
        <f>RIGHT(T70,8)</f>
        <v>11000000</v>
      </c>
      <c r="X70" s="8" t="str">
        <f>BIN2HEX(V70,2)</f>
        <v>03</v>
      </c>
      <c r="Y70" s="8" t="str">
        <f>BIN2HEX(W70,2)</f>
        <v>C0</v>
      </c>
      <c r="AA70" t="str" cm="1">
        <f t="array" ref="AA70:AH70">TRANSPOSE(X70:X77)</f>
        <v>03</v>
      </c>
      <c r="AB70" t="str">
        <v>0D</v>
      </c>
      <c r="AC70" t="str">
        <v>30</v>
      </c>
      <c r="AD70" t="str">
        <v>30</v>
      </c>
      <c r="AE70" t="str">
        <v>C0</v>
      </c>
      <c r="AF70" t="str">
        <v>C0</v>
      </c>
      <c r="AG70" t="str">
        <v>00</v>
      </c>
      <c r="AH70" t="str">
        <v>C0</v>
      </c>
      <c r="AJ70" t="str">
        <f>LOWER("!byte $"&amp;AA70&amp;", $"&amp;AB70&amp;", $"&amp;AC70&amp;", $"&amp;AD70&amp;", $"&amp;AE70&amp;", $"&amp;AF70&amp;", $"&amp;AG70&amp;", $"&amp;AH70)</f>
        <v>!byte $03, $0d, $30, $30, $c0, $c0, $00, $c0</v>
      </c>
    </row>
    <row r="71" spans="1:36" x14ac:dyDescent="0.3">
      <c r="B71" s="2">
        <v>0</v>
      </c>
      <c r="C71" s="2">
        <v>0</v>
      </c>
      <c r="D71" s="2">
        <v>3</v>
      </c>
      <c r="E71" s="2">
        <v>1</v>
      </c>
      <c r="F71" s="2">
        <v>0</v>
      </c>
      <c r="G71" s="2">
        <v>3</v>
      </c>
      <c r="H71" s="2">
        <v>0</v>
      </c>
      <c r="I71" s="2">
        <v>0</v>
      </c>
      <c r="K71" s="2" t="str">
        <f t="shared" si="49"/>
        <v>00</v>
      </c>
      <c r="L71" s="2" t="str">
        <f t="shared" si="49"/>
        <v>00</v>
      </c>
      <c r="M71" s="2" t="str">
        <f t="shared" si="49"/>
        <v>11</v>
      </c>
      <c r="N71" s="2" t="str">
        <f t="shared" si="49"/>
        <v>01</v>
      </c>
      <c r="O71" s="2" t="str">
        <f t="shared" si="49"/>
        <v>00</v>
      </c>
      <c r="P71" s="2" t="str">
        <f t="shared" si="49"/>
        <v>11</v>
      </c>
      <c r="Q71" s="2" t="str">
        <f t="shared" si="49"/>
        <v>00</v>
      </c>
      <c r="R71" s="2" t="str">
        <f t="shared" si="49"/>
        <v>00</v>
      </c>
      <c r="T71" t="str">
        <f t="shared" si="29"/>
        <v>0000110100110000</v>
      </c>
      <c r="V71" s="9" t="str">
        <f t="shared" ref="V71:V85" si="50">LEFT(T71,8)</f>
        <v>00001101</v>
      </c>
      <c r="W71" s="9" t="str">
        <f t="shared" ref="W71:W85" si="51">RIGHT(T71,8)</f>
        <v>00110000</v>
      </c>
      <c r="X71" s="9" t="str">
        <f t="shared" ref="X71:X85" si="52">BIN2HEX(V71,2)</f>
        <v>0D</v>
      </c>
      <c r="Y71" s="9" t="str">
        <f t="shared" ref="Y71:Y85" si="53">BIN2HEX(W71,2)</f>
        <v>30</v>
      </c>
      <c r="AA71" t="str" cm="1">
        <f t="array" ref="AA71:AH71">TRANSPOSE(X78:X85)</f>
        <v>C0</v>
      </c>
      <c r="AB71" t="str">
        <v>00</v>
      </c>
      <c r="AC71" t="str">
        <v>C0</v>
      </c>
      <c r="AD71" t="str">
        <v>C0</v>
      </c>
      <c r="AE71" t="str">
        <v>34</v>
      </c>
      <c r="AF71" t="str">
        <v>32</v>
      </c>
      <c r="AG71" t="str">
        <v>0D</v>
      </c>
      <c r="AH71" t="str">
        <v>03</v>
      </c>
      <c r="AJ71" t="str">
        <f t="shared" ref="AJ71:AJ73" si="54">LOWER("!byte $"&amp;AA71&amp;", $"&amp;AB71&amp;", $"&amp;AC71&amp;", $"&amp;AD71&amp;", $"&amp;AE71&amp;", $"&amp;AF71&amp;", $"&amp;AG71&amp;", $"&amp;AH71)</f>
        <v>!byte $c0, $00, $c0, $c0, $34, $32, $0d, $03</v>
      </c>
    </row>
    <row r="72" spans="1:36" x14ac:dyDescent="0.3">
      <c r="B72" s="2">
        <v>0</v>
      </c>
      <c r="C72" s="2">
        <v>3</v>
      </c>
      <c r="D72" s="2">
        <v>0</v>
      </c>
      <c r="E72" s="2">
        <v>0</v>
      </c>
      <c r="F72" s="2">
        <v>1</v>
      </c>
      <c r="G72" s="2">
        <v>0</v>
      </c>
      <c r="H72" s="2">
        <v>3</v>
      </c>
      <c r="I72" s="2">
        <v>0</v>
      </c>
      <c r="K72" s="2" t="str">
        <f t="shared" si="49"/>
        <v>00</v>
      </c>
      <c r="L72" s="2" t="str">
        <f t="shared" si="49"/>
        <v>11</v>
      </c>
      <c r="M72" s="2" t="str">
        <f t="shared" si="49"/>
        <v>00</v>
      </c>
      <c r="N72" s="2" t="str">
        <f t="shared" si="49"/>
        <v>00</v>
      </c>
      <c r="O72" s="2" t="str">
        <f t="shared" si="49"/>
        <v>01</v>
      </c>
      <c r="P72" s="2" t="str">
        <f t="shared" si="49"/>
        <v>00</v>
      </c>
      <c r="Q72" s="2" t="str">
        <f t="shared" si="49"/>
        <v>11</v>
      </c>
      <c r="R72" s="2" t="str">
        <f t="shared" si="49"/>
        <v>00</v>
      </c>
      <c r="T72" t="str">
        <f t="shared" si="29"/>
        <v>0011000001001100</v>
      </c>
      <c r="V72" s="9" t="str">
        <f t="shared" si="50"/>
        <v>00110000</v>
      </c>
      <c r="W72" s="9" t="str">
        <f t="shared" si="51"/>
        <v>01001100</v>
      </c>
      <c r="X72" s="9" t="str">
        <f t="shared" si="52"/>
        <v>30</v>
      </c>
      <c r="Y72" s="9" t="str">
        <f t="shared" si="53"/>
        <v>4C</v>
      </c>
      <c r="AA72" t="str" cm="1">
        <f t="array" ref="AA72:AH72">TRANSPOSE(Y70:Y77)</f>
        <v>C0</v>
      </c>
      <c r="AB72" t="str">
        <v>30</v>
      </c>
      <c r="AC72" t="str">
        <v>4C</v>
      </c>
      <c r="AD72" t="str">
        <v>0C</v>
      </c>
      <c r="AE72" t="str">
        <v>03</v>
      </c>
      <c r="AF72" t="str">
        <v>03</v>
      </c>
      <c r="AG72" t="str">
        <v>03</v>
      </c>
      <c r="AH72" t="str">
        <v>00</v>
      </c>
      <c r="AJ72" t="str">
        <f t="shared" si="54"/>
        <v>!byte $c0, $30, $4c, $0c, $03, $03, $03, $00</v>
      </c>
    </row>
    <row r="73" spans="1:36" x14ac:dyDescent="0.3">
      <c r="B73" s="2">
        <v>0</v>
      </c>
      <c r="C73" s="2">
        <v>3</v>
      </c>
      <c r="D73" s="2">
        <v>0</v>
      </c>
      <c r="E73" s="2">
        <v>0</v>
      </c>
      <c r="F73" s="2">
        <v>0</v>
      </c>
      <c r="G73" s="2">
        <v>0</v>
      </c>
      <c r="H73" s="2">
        <v>3</v>
      </c>
      <c r="I73" s="2">
        <v>0</v>
      </c>
      <c r="K73" s="2" t="str">
        <f t="shared" si="49"/>
        <v>00</v>
      </c>
      <c r="L73" s="2" t="str">
        <f t="shared" si="49"/>
        <v>11</v>
      </c>
      <c r="M73" s="2" t="str">
        <f t="shared" si="49"/>
        <v>00</v>
      </c>
      <c r="N73" s="2" t="str">
        <f t="shared" si="49"/>
        <v>00</v>
      </c>
      <c r="O73" s="2" t="str">
        <f t="shared" si="49"/>
        <v>00</v>
      </c>
      <c r="P73" s="2" t="str">
        <f t="shared" si="49"/>
        <v>00</v>
      </c>
      <c r="Q73" s="2" t="str">
        <f t="shared" si="49"/>
        <v>11</v>
      </c>
      <c r="R73" s="2" t="str">
        <f t="shared" si="49"/>
        <v>00</v>
      </c>
      <c r="T73" t="str">
        <f t="shared" si="29"/>
        <v>0011000000001100</v>
      </c>
      <c r="V73" s="9" t="str">
        <f t="shared" si="50"/>
        <v>00110000</v>
      </c>
      <c r="W73" s="9" t="str">
        <f t="shared" si="51"/>
        <v>00001100</v>
      </c>
      <c r="X73" s="9" t="str">
        <f t="shared" si="52"/>
        <v>30</v>
      </c>
      <c r="Y73" s="9" t="str">
        <f t="shared" si="53"/>
        <v>0C</v>
      </c>
      <c r="AA73" t="str" cm="1">
        <f t="array" ref="AA73:AH73">TRANSPOSE(Y78:Y85)</f>
        <v>03</v>
      </c>
      <c r="AB73" t="str">
        <v>13</v>
      </c>
      <c r="AC73" t="str">
        <v>03</v>
      </c>
      <c r="AD73" t="str">
        <v>43</v>
      </c>
      <c r="AE73" t="str">
        <v>0C</v>
      </c>
      <c r="AF73" t="str">
        <v>1C</v>
      </c>
      <c r="AG73" t="str">
        <v>B0</v>
      </c>
      <c r="AH73" t="str">
        <v>C0</v>
      </c>
      <c r="AJ73" t="str">
        <f t="shared" si="54"/>
        <v>!byte $03, $13, $03, $43, $0c, $1c, $b0, $c0</v>
      </c>
    </row>
    <row r="74" spans="1:36" x14ac:dyDescent="0.3">
      <c r="B74" s="2">
        <v>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3</v>
      </c>
      <c r="K74" s="2" t="str">
        <f t="shared" si="49"/>
        <v>11</v>
      </c>
      <c r="L74" s="2" t="str">
        <f t="shared" si="49"/>
        <v>00</v>
      </c>
      <c r="M74" s="2" t="str">
        <f t="shared" si="49"/>
        <v>00</v>
      </c>
      <c r="N74" s="2" t="str">
        <f t="shared" si="49"/>
        <v>00</v>
      </c>
      <c r="O74" s="2" t="str">
        <f t="shared" si="49"/>
        <v>00</v>
      </c>
      <c r="P74" s="2" t="str">
        <f t="shared" si="49"/>
        <v>00</v>
      </c>
      <c r="Q74" s="2" t="str">
        <f t="shared" si="49"/>
        <v>00</v>
      </c>
      <c r="R74" s="2" t="str">
        <f t="shared" si="49"/>
        <v>11</v>
      </c>
      <c r="T74" t="str">
        <f t="shared" si="29"/>
        <v>1100000000000011</v>
      </c>
      <c r="V74" s="9" t="str">
        <f t="shared" si="50"/>
        <v>11000000</v>
      </c>
      <c r="W74" s="9" t="str">
        <f t="shared" si="51"/>
        <v>00000011</v>
      </c>
      <c r="X74" s="9" t="str">
        <f t="shared" si="52"/>
        <v>C0</v>
      </c>
      <c r="Y74" s="9" t="str">
        <f t="shared" si="53"/>
        <v>03</v>
      </c>
    </row>
    <row r="75" spans="1:36" x14ac:dyDescent="0.3">
      <c r="B75" s="2">
        <v>3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3</v>
      </c>
      <c r="K75" s="2" t="str">
        <f t="shared" si="49"/>
        <v>11</v>
      </c>
      <c r="L75" s="2" t="str">
        <f t="shared" si="49"/>
        <v>00</v>
      </c>
      <c r="M75" s="2" t="str">
        <f t="shared" si="49"/>
        <v>00</v>
      </c>
      <c r="N75" s="2" t="str">
        <f t="shared" si="49"/>
        <v>00</v>
      </c>
      <c r="O75" s="2" t="str">
        <f t="shared" si="49"/>
        <v>00</v>
      </c>
      <c r="P75" s="2" t="str">
        <f t="shared" si="49"/>
        <v>00</v>
      </c>
      <c r="Q75" s="2" t="str">
        <f t="shared" si="49"/>
        <v>00</v>
      </c>
      <c r="R75" s="2" t="str">
        <f t="shared" si="49"/>
        <v>11</v>
      </c>
      <c r="T75" t="str">
        <f t="shared" si="29"/>
        <v>1100000000000011</v>
      </c>
      <c r="V75" s="9" t="str">
        <f t="shared" si="50"/>
        <v>11000000</v>
      </c>
      <c r="W75" s="9" t="str">
        <f t="shared" si="51"/>
        <v>00000011</v>
      </c>
      <c r="X75" s="9" t="str">
        <f t="shared" si="52"/>
        <v>C0</v>
      </c>
      <c r="Y75" s="9" t="str">
        <f t="shared" si="53"/>
        <v>03</v>
      </c>
    </row>
    <row r="76" spans="1:36" x14ac:dyDescent="0.3"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3</v>
      </c>
      <c r="K76" s="2" t="str">
        <f t="shared" si="49"/>
        <v>00</v>
      </c>
      <c r="L76" s="2" t="str">
        <f t="shared" si="49"/>
        <v>00</v>
      </c>
      <c r="M76" s="2" t="str">
        <f t="shared" si="49"/>
        <v>00</v>
      </c>
      <c r="N76" s="2" t="str">
        <f t="shared" si="49"/>
        <v>00</v>
      </c>
      <c r="O76" s="2" t="str">
        <f t="shared" si="49"/>
        <v>00</v>
      </c>
      <c r="P76" s="2" t="str">
        <f t="shared" si="49"/>
        <v>00</v>
      </c>
      <c r="Q76" s="2" t="str">
        <f t="shared" si="49"/>
        <v>00</v>
      </c>
      <c r="R76" s="2" t="str">
        <f t="shared" si="49"/>
        <v>11</v>
      </c>
      <c r="T76" t="str">
        <f t="shared" si="29"/>
        <v>0000000000000011</v>
      </c>
      <c r="V76" s="9" t="str">
        <f t="shared" si="50"/>
        <v>00000000</v>
      </c>
      <c r="W76" s="9" t="str">
        <f t="shared" si="51"/>
        <v>00000011</v>
      </c>
      <c r="X76" s="9" t="str">
        <f t="shared" si="52"/>
        <v>00</v>
      </c>
      <c r="Y76" s="9" t="str">
        <f t="shared" si="53"/>
        <v>03</v>
      </c>
    </row>
    <row r="77" spans="1:36" x14ac:dyDescent="0.3">
      <c r="B77" s="2">
        <v>3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K77" s="2" t="str">
        <f t="shared" si="49"/>
        <v>11</v>
      </c>
      <c r="L77" s="2" t="str">
        <f t="shared" si="49"/>
        <v>00</v>
      </c>
      <c r="M77" s="2" t="str">
        <f t="shared" si="49"/>
        <v>00</v>
      </c>
      <c r="N77" s="2" t="str">
        <f t="shared" si="49"/>
        <v>00</v>
      </c>
      <c r="O77" s="2" t="str">
        <f t="shared" si="49"/>
        <v>00</v>
      </c>
      <c r="P77" s="2" t="str">
        <f t="shared" si="49"/>
        <v>00</v>
      </c>
      <c r="Q77" s="2" t="str">
        <f t="shared" si="49"/>
        <v>00</v>
      </c>
      <c r="R77" s="2" t="str">
        <f t="shared" si="49"/>
        <v>00</v>
      </c>
      <c r="T77" t="str">
        <f t="shared" si="29"/>
        <v>1100000000000000</v>
      </c>
      <c r="V77" s="10" t="str">
        <f t="shared" si="50"/>
        <v>11000000</v>
      </c>
      <c r="W77" s="10" t="str">
        <f t="shared" si="51"/>
        <v>00000000</v>
      </c>
      <c r="X77" s="10" t="str">
        <f t="shared" si="52"/>
        <v>C0</v>
      </c>
      <c r="Y77" s="10" t="str">
        <f t="shared" si="53"/>
        <v>00</v>
      </c>
    </row>
    <row r="78" spans="1:36" x14ac:dyDescent="0.3">
      <c r="B78" s="2">
        <v>3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3</v>
      </c>
      <c r="K78" s="2" t="str">
        <f t="shared" si="49"/>
        <v>11</v>
      </c>
      <c r="L78" s="2" t="str">
        <f t="shared" si="49"/>
        <v>00</v>
      </c>
      <c r="M78" s="2" t="str">
        <f t="shared" si="49"/>
        <v>00</v>
      </c>
      <c r="N78" s="2" t="str">
        <f t="shared" si="49"/>
        <v>00</v>
      </c>
      <c r="O78" s="2" t="str">
        <f t="shared" si="49"/>
        <v>00</v>
      </c>
      <c r="P78" s="2" t="str">
        <f t="shared" si="49"/>
        <v>00</v>
      </c>
      <c r="Q78" s="2" t="str">
        <f t="shared" si="49"/>
        <v>00</v>
      </c>
      <c r="R78" s="2" t="str">
        <f t="shared" si="49"/>
        <v>11</v>
      </c>
      <c r="T78" t="str">
        <f t="shared" si="29"/>
        <v>1100000000000011</v>
      </c>
      <c r="V78" s="8" t="str">
        <f t="shared" si="50"/>
        <v>11000000</v>
      </c>
      <c r="W78" s="8" t="str">
        <f t="shared" si="51"/>
        <v>00000011</v>
      </c>
      <c r="X78" s="8" t="str">
        <f t="shared" si="52"/>
        <v>C0</v>
      </c>
      <c r="Y78" s="8" t="str">
        <f t="shared" si="53"/>
        <v>03</v>
      </c>
    </row>
    <row r="79" spans="1:36" x14ac:dyDescent="0.3"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3</v>
      </c>
      <c r="K79" s="2" t="str">
        <f t="shared" si="49"/>
        <v>00</v>
      </c>
      <c r="L79" s="2" t="str">
        <f t="shared" si="49"/>
        <v>00</v>
      </c>
      <c r="M79" s="2" t="str">
        <f t="shared" si="49"/>
        <v>00</v>
      </c>
      <c r="N79" s="2" t="str">
        <f t="shared" si="49"/>
        <v>00</v>
      </c>
      <c r="O79" s="2" t="str">
        <f t="shared" si="49"/>
        <v>00</v>
      </c>
      <c r="P79" s="2" t="str">
        <f t="shared" si="49"/>
        <v>01</v>
      </c>
      <c r="Q79" s="2" t="str">
        <f t="shared" si="49"/>
        <v>00</v>
      </c>
      <c r="R79" s="2" t="str">
        <f t="shared" si="49"/>
        <v>11</v>
      </c>
      <c r="T79" t="str">
        <f t="shared" si="29"/>
        <v>0000000000010011</v>
      </c>
      <c r="V79" s="9" t="str">
        <f t="shared" si="50"/>
        <v>00000000</v>
      </c>
      <c r="W79" s="9" t="str">
        <f t="shared" si="51"/>
        <v>00010011</v>
      </c>
      <c r="X79" s="9" t="str">
        <f t="shared" si="52"/>
        <v>00</v>
      </c>
      <c r="Y79" s="9" t="str">
        <f t="shared" si="53"/>
        <v>13</v>
      </c>
    </row>
    <row r="80" spans="1:36" x14ac:dyDescent="0.3">
      <c r="B80" s="2">
        <v>3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3</v>
      </c>
      <c r="K80" s="2" t="str">
        <f t="shared" si="49"/>
        <v>11</v>
      </c>
      <c r="L80" s="2" t="str">
        <f t="shared" si="49"/>
        <v>00</v>
      </c>
      <c r="M80" s="2" t="str">
        <f t="shared" si="49"/>
        <v>00</v>
      </c>
      <c r="N80" s="2" t="str">
        <f t="shared" si="49"/>
        <v>00</v>
      </c>
      <c r="O80" s="2" t="str">
        <f t="shared" si="49"/>
        <v>00</v>
      </c>
      <c r="P80" s="2" t="str">
        <f t="shared" si="49"/>
        <v>00</v>
      </c>
      <c r="Q80" s="2" t="str">
        <f t="shared" si="49"/>
        <v>00</v>
      </c>
      <c r="R80" s="2" t="str">
        <f t="shared" si="49"/>
        <v>11</v>
      </c>
      <c r="T80" t="str">
        <f t="shared" si="29"/>
        <v>1100000000000011</v>
      </c>
      <c r="V80" s="9" t="str">
        <f t="shared" si="50"/>
        <v>11000000</v>
      </c>
      <c r="W80" s="9" t="str">
        <f t="shared" si="51"/>
        <v>00000011</v>
      </c>
      <c r="X80" s="9" t="str">
        <f t="shared" si="52"/>
        <v>C0</v>
      </c>
      <c r="Y80" s="9" t="str">
        <f t="shared" si="53"/>
        <v>03</v>
      </c>
    </row>
    <row r="81" spans="1:36" x14ac:dyDescent="0.3">
      <c r="B81" s="2">
        <v>3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3</v>
      </c>
      <c r="K81" s="2" t="str">
        <f t="shared" si="49"/>
        <v>11</v>
      </c>
      <c r="L81" s="2" t="str">
        <f t="shared" si="49"/>
        <v>00</v>
      </c>
      <c r="M81" s="2" t="str">
        <f t="shared" si="49"/>
        <v>00</v>
      </c>
      <c r="N81" s="2" t="str">
        <f t="shared" si="49"/>
        <v>00</v>
      </c>
      <c r="O81" s="2" t="str">
        <f t="shared" si="49"/>
        <v>01</v>
      </c>
      <c r="P81" s="2" t="str">
        <f t="shared" si="49"/>
        <v>00</v>
      </c>
      <c r="Q81" s="2" t="str">
        <f t="shared" si="49"/>
        <v>00</v>
      </c>
      <c r="R81" s="2" t="str">
        <f t="shared" si="49"/>
        <v>11</v>
      </c>
      <c r="T81" t="str">
        <f t="shared" si="29"/>
        <v>1100000001000011</v>
      </c>
      <c r="V81" s="9" t="str">
        <f t="shared" si="50"/>
        <v>11000000</v>
      </c>
      <c r="W81" s="9" t="str">
        <f t="shared" si="51"/>
        <v>01000011</v>
      </c>
      <c r="X81" s="9" t="str">
        <f t="shared" si="52"/>
        <v>C0</v>
      </c>
      <c r="Y81" s="9" t="str">
        <f t="shared" si="53"/>
        <v>43</v>
      </c>
    </row>
    <row r="82" spans="1:36" x14ac:dyDescent="0.3">
      <c r="B82" s="2">
        <v>0</v>
      </c>
      <c r="C82" s="2">
        <v>3</v>
      </c>
      <c r="D82" s="2">
        <v>1</v>
      </c>
      <c r="E82" s="2">
        <v>0</v>
      </c>
      <c r="F82" s="2">
        <v>0</v>
      </c>
      <c r="G82" s="2">
        <v>0</v>
      </c>
      <c r="H82" s="2">
        <v>3</v>
      </c>
      <c r="I82" s="2">
        <v>0</v>
      </c>
      <c r="K82" s="2" t="str">
        <f t="shared" si="49"/>
        <v>00</v>
      </c>
      <c r="L82" s="2" t="str">
        <f t="shared" si="49"/>
        <v>11</v>
      </c>
      <c r="M82" s="2" t="str">
        <f t="shared" si="49"/>
        <v>01</v>
      </c>
      <c r="N82" s="2" t="str">
        <f t="shared" si="49"/>
        <v>00</v>
      </c>
      <c r="O82" s="2" t="str">
        <f t="shared" si="49"/>
        <v>00</v>
      </c>
      <c r="P82" s="2" t="str">
        <f t="shared" si="49"/>
        <v>00</v>
      </c>
      <c r="Q82" s="2" t="str">
        <f t="shared" si="49"/>
        <v>11</v>
      </c>
      <c r="R82" s="2" t="str">
        <f t="shared" si="49"/>
        <v>00</v>
      </c>
      <c r="T82" t="str">
        <f t="shared" si="29"/>
        <v>0011010000001100</v>
      </c>
      <c r="V82" s="9" t="str">
        <f t="shared" si="50"/>
        <v>00110100</v>
      </c>
      <c r="W82" s="9" t="str">
        <f t="shared" si="51"/>
        <v>00001100</v>
      </c>
      <c r="X82" s="9" t="str">
        <f t="shared" si="52"/>
        <v>34</v>
      </c>
      <c r="Y82" s="9" t="str">
        <f t="shared" si="53"/>
        <v>0C</v>
      </c>
    </row>
    <row r="83" spans="1:36" x14ac:dyDescent="0.3">
      <c r="B83" s="2">
        <v>0</v>
      </c>
      <c r="C83" s="2">
        <v>3</v>
      </c>
      <c r="D83" s="2">
        <v>0</v>
      </c>
      <c r="E83" s="2">
        <v>2</v>
      </c>
      <c r="F83" s="2">
        <v>0</v>
      </c>
      <c r="G83" s="2">
        <v>1</v>
      </c>
      <c r="H83" s="2">
        <v>3</v>
      </c>
      <c r="I83" s="2">
        <v>0</v>
      </c>
      <c r="K83" s="2" t="str">
        <f t="shared" si="49"/>
        <v>00</v>
      </c>
      <c r="L83" s="2" t="str">
        <f t="shared" si="49"/>
        <v>11</v>
      </c>
      <c r="M83" s="2" t="str">
        <f t="shared" si="49"/>
        <v>00</v>
      </c>
      <c r="N83" s="2" t="str">
        <f t="shared" si="49"/>
        <v>10</v>
      </c>
      <c r="O83" s="2" t="str">
        <f t="shared" si="49"/>
        <v>00</v>
      </c>
      <c r="P83" s="2" t="str">
        <f t="shared" si="49"/>
        <v>01</v>
      </c>
      <c r="Q83" s="2" t="str">
        <f t="shared" si="49"/>
        <v>11</v>
      </c>
      <c r="R83" s="2" t="str">
        <f t="shared" si="49"/>
        <v>00</v>
      </c>
      <c r="T83" t="str">
        <f t="shared" si="29"/>
        <v>0011001000011100</v>
      </c>
      <c r="V83" s="9" t="str">
        <f t="shared" si="50"/>
        <v>00110010</v>
      </c>
      <c r="W83" s="9" t="str">
        <f t="shared" si="51"/>
        <v>00011100</v>
      </c>
      <c r="X83" s="9" t="str">
        <f t="shared" si="52"/>
        <v>32</v>
      </c>
      <c r="Y83" s="9" t="str">
        <f t="shared" si="53"/>
        <v>1C</v>
      </c>
    </row>
    <row r="84" spans="1:36" x14ac:dyDescent="0.3">
      <c r="B84" s="2">
        <v>0</v>
      </c>
      <c r="C84" s="2">
        <v>0</v>
      </c>
      <c r="D84" s="2">
        <v>3</v>
      </c>
      <c r="E84" s="2">
        <v>1</v>
      </c>
      <c r="F84" s="2">
        <v>2</v>
      </c>
      <c r="G84" s="2">
        <v>3</v>
      </c>
      <c r="H84" s="2">
        <v>0</v>
      </c>
      <c r="I84" s="2">
        <v>0</v>
      </c>
      <c r="K84" s="2" t="str">
        <f t="shared" si="49"/>
        <v>00</v>
      </c>
      <c r="L84" s="2" t="str">
        <f t="shared" si="49"/>
        <v>00</v>
      </c>
      <c r="M84" s="2" t="str">
        <f t="shared" si="49"/>
        <v>11</v>
      </c>
      <c r="N84" s="2" t="str">
        <f t="shared" si="49"/>
        <v>01</v>
      </c>
      <c r="O84" s="2" t="str">
        <f t="shared" si="49"/>
        <v>10</v>
      </c>
      <c r="P84" s="2" t="str">
        <f t="shared" si="49"/>
        <v>11</v>
      </c>
      <c r="Q84" s="2" t="str">
        <f t="shared" si="49"/>
        <v>00</v>
      </c>
      <c r="R84" s="2" t="str">
        <f t="shared" si="49"/>
        <v>00</v>
      </c>
      <c r="T84" t="str">
        <f t="shared" si="29"/>
        <v>0000110110110000</v>
      </c>
      <c r="V84" s="9" t="str">
        <f t="shared" si="50"/>
        <v>00001101</v>
      </c>
      <c r="W84" s="9" t="str">
        <f t="shared" si="51"/>
        <v>10110000</v>
      </c>
      <c r="X84" s="9" t="str">
        <f t="shared" si="52"/>
        <v>0D</v>
      </c>
      <c r="Y84" s="9" t="str">
        <f t="shared" si="53"/>
        <v>B0</v>
      </c>
    </row>
    <row r="85" spans="1:36" x14ac:dyDescent="0.3">
      <c r="B85" s="2">
        <v>0</v>
      </c>
      <c r="C85" s="2">
        <v>0</v>
      </c>
      <c r="D85" s="2">
        <v>0</v>
      </c>
      <c r="E85" s="2">
        <v>3</v>
      </c>
      <c r="F85" s="2">
        <v>3</v>
      </c>
      <c r="G85" s="2">
        <v>0</v>
      </c>
      <c r="H85" s="2">
        <v>0</v>
      </c>
      <c r="I85" s="2">
        <v>0</v>
      </c>
      <c r="K85" s="2" t="str">
        <f t="shared" si="49"/>
        <v>00</v>
      </c>
      <c r="L85" s="2" t="str">
        <f t="shared" si="49"/>
        <v>00</v>
      </c>
      <c r="M85" s="2" t="str">
        <f t="shared" si="49"/>
        <v>00</v>
      </c>
      <c r="N85" s="2" t="str">
        <f t="shared" si="49"/>
        <v>11</v>
      </c>
      <c r="O85" s="2" t="str">
        <f t="shared" si="49"/>
        <v>11</v>
      </c>
      <c r="P85" s="2" t="str">
        <f t="shared" si="49"/>
        <v>00</v>
      </c>
      <c r="Q85" s="2" t="str">
        <f t="shared" si="49"/>
        <v>00</v>
      </c>
      <c r="R85" s="2" t="str">
        <f t="shared" si="49"/>
        <v>00</v>
      </c>
      <c r="T85" t="str">
        <f t="shared" si="29"/>
        <v>0000001111000000</v>
      </c>
      <c r="V85" s="10" t="str">
        <f t="shared" si="50"/>
        <v>00000011</v>
      </c>
      <c r="W85" s="10" t="str">
        <f t="shared" si="51"/>
        <v>11000000</v>
      </c>
      <c r="X85" s="10" t="str">
        <f t="shared" si="52"/>
        <v>03</v>
      </c>
      <c r="Y85" s="10" t="str">
        <f t="shared" si="53"/>
        <v>C0</v>
      </c>
    </row>
    <row r="86" spans="1:36" x14ac:dyDescent="0.3">
      <c r="A86" t="s">
        <v>4</v>
      </c>
      <c r="AJ86" t="str">
        <f>";"&amp;PROPER(A86)</f>
        <v>;Wall</v>
      </c>
    </row>
    <row r="87" spans="1:36" x14ac:dyDescent="0.3">
      <c r="B87" s="2">
        <v>0</v>
      </c>
      <c r="C87" s="2">
        <v>3</v>
      </c>
      <c r="D87" s="2">
        <v>3</v>
      </c>
      <c r="E87" s="2">
        <v>3</v>
      </c>
      <c r="F87" s="2">
        <v>0</v>
      </c>
      <c r="G87" s="2">
        <v>3</v>
      </c>
      <c r="H87" s="2">
        <v>3</v>
      </c>
      <c r="I87" s="2">
        <v>3</v>
      </c>
      <c r="K87" s="2" t="str">
        <f t="shared" ref="K87:K102" si="55">DEC2BIN(B87,2)</f>
        <v>00</v>
      </c>
      <c r="L87" s="2" t="str">
        <f t="shared" ref="L87:L102" si="56">DEC2BIN(C87,2)</f>
        <v>11</v>
      </c>
      <c r="M87" s="2" t="str">
        <f t="shared" ref="M87:M102" si="57">DEC2BIN(D87,2)</f>
        <v>11</v>
      </c>
      <c r="N87" s="2" t="str">
        <f t="shared" ref="N87:N102" si="58">DEC2BIN(E87,2)</f>
        <v>11</v>
      </c>
      <c r="O87" s="2" t="str">
        <f t="shared" ref="O87:O102" si="59">DEC2BIN(F87,2)</f>
        <v>00</v>
      </c>
      <c r="P87" s="2" t="str">
        <f t="shared" ref="P87:P102" si="60">DEC2BIN(G87,2)</f>
        <v>11</v>
      </c>
      <c r="Q87" s="2" t="str">
        <f t="shared" ref="Q87:Q102" si="61">DEC2BIN(H87,2)</f>
        <v>11</v>
      </c>
      <c r="R87" s="2" t="str">
        <f t="shared" ref="R87:R102" si="62">DEC2BIN(I87,2)</f>
        <v>11</v>
      </c>
      <c r="T87" t="str">
        <f t="shared" ref="T87:T102" si="63">_xlfn.CONCAT(K87:R87)</f>
        <v>0011111100111111</v>
      </c>
      <c r="V87" s="8" t="str">
        <f>LEFT(T87,8)</f>
        <v>00111111</v>
      </c>
      <c r="W87" s="8" t="str">
        <f>RIGHT(T87,8)</f>
        <v>00111111</v>
      </c>
      <c r="X87" s="8" t="str">
        <f>BIN2HEX(V87,2)</f>
        <v>3F</v>
      </c>
      <c r="Y87" s="8" t="str">
        <f>BIN2HEX(W87,2)</f>
        <v>3F</v>
      </c>
      <c r="AA87" t="str" cm="1">
        <f t="array" ref="AA87:AH87">TRANSPOSE(X87:X94)</f>
        <v>3F</v>
      </c>
      <c r="AB87" t="str">
        <v>1F</v>
      </c>
      <c r="AC87" t="str">
        <v>15</v>
      </c>
      <c r="AD87" t="str">
        <v>00</v>
      </c>
      <c r="AE87" t="str">
        <v>F3</v>
      </c>
      <c r="AF87" t="str">
        <v>F1</v>
      </c>
      <c r="AG87" t="str">
        <v>51</v>
      </c>
      <c r="AH87" t="str">
        <v>00</v>
      </c>
      <c r="AJ87" t="str">
        <f>LOWER("!byte $"&amp;AA87&amp;", $"&amp;AB87&amp;", $"&amp;AC87&amp;", $"&amp;AD87&amp;", $"&amp;AE87&amp;", $"&amp;AF87&amp;", $"&amp;AG87&amp;", $"&amp;AH87)</f>
        <v>!byte $3f, $1f, $15, $00, $f3, $f1, $51, $00</v>
      </c>
    </row>
    <row r="88" spans="1:36" x14ac:dyDescent="0.3">
      <c r="B88" s="2">
        <v>0</v>
      </c>
      <c r="C88" s="2">
        <v>1</v>
      </c>
      <c r="D88" s="2">
        <v>3</v>
      </c>
      <c r="E88" s="2">
        <v>3</v>
      </c>
      <c r="F88" s="2">
        <v>0</v>
      </c>
      <c r="G88" s="2">
        <v>1</v>
      </c>
      <c r="H88" s="2">
        <v>3</v>
      </c>
      <c r="I88" s="2">
        <v>3</v>
      </c>
      <c r="K88" s="2" t="str">
        <f t="shared" si="55"/>
        <v>00</v>
      </c>
      <c r="L88" s="2" t="str">
        <f t="shared" si="56"/>
        <v>01</v>
      </c>
      <c r="M88" s="2" t="str">
        <f t="shared" si="57"/>
        <v>11</v>
      </c>
      <c r="N88" s="2" t="str">
        <f t="shared" si="58"/>
        <v>11</v>
      </c>
      <c r="O88" s="2" t="str">
        <f t="shared" si="59"/>
        <v>00</v>
      </c>
      <c r="P88" s="2" t="str">
        <f t="shared" si="60"/>
        <v>01</v>
      </c>
      <c r="Q88" s="2" t="str">
        <f t="shared" si="61"/>
        <v>11</v>
      </c>
      <c r="R88" s="2" t="str">
        <f t="shared" si="62"/>
        <v>11</v>
      </c>
      <c r="T88" t="str">
        <f t="shared" si="63"/>
        <v>0001111100011111</v>
      </c>
      <c r="V88" s="9" t="str">
        <f t="shared" ref="V88:V102" si="64">LEFT(T88,8)</f>
        <v>00011111</v>
      </c>
      <c r="W88" s="9" t="str">
        <f t="shared" ref="W88:W102" si="65">RIGHT(T88,8)</f>
        <v>00011111</v>
      </c>
      <c r="X88" s="9" t="str">
        <f t="shared" ref="X88:X102" si="66">BIN2HEX(V88,2)</f>
        <v>1F</v>
      </c>
      <c r="Y88" s="9" t="str">
        <f t="shared" ref="Y88:Y102" si="67">BIN2HEX(W88,2)</f>
        <v>1F</v>
      </c>
      <c r="AA88" t="str" cm="1">
        <f t="array" ref="AA88:AH88">TRANSPOSE(X95:X102)</f>
        <v>3F</v>
      </c>
      <c r="AB88" t="str">
        <v>1F</v>
      </c>
      <c r="AC88" t="str">
        <v>15</v>
      </c>
      <c r="AD88" t="str">
        <v>00</v>
      </c>
      <c r="AE88" t="str">
        <v>F3</v>
      </c>
      <c r="AF88" t="str">
        <v>F1</v>
      </c>
      <c r="AG88" t="str">
        <v>51</v>
      </c>
      <c r="AH88" t="str">
        <v>00</v>
      </c>
      <c r="AJ88" t="str">
        <f t="shared" ref="AJ88:AJ90" si="68">LOWER("!byte $"&amp;AA88&amp;", $"&amp;AB88&amp;", $"&amp;AC88&amp;", $"&amp;AD88&amp;", $"&amp;AE88&amp;", $"&amp;AF88&amp;", $"&amp;AG88&amp;", $"&amp;AH88)</f>
        <v>!byte $3f, $1f, $15, $00, $f3, $f1, $51, $00</v>
      </c>
    </row>
    <row r="89" spans="1:36" x14ac:dyDescent="0.3">
      <c r="B89" s="2">
        <v>0</v>
      </c>
      <c r="C89" s="2">
        <v>1</v>
      </c>
      <c r="D89" s="2">
        <v>1</v>
      </c>
      <c r="E89" s="2">
        <v>1</v>
      </c>
      <c r="F89" s="2">
        <v>0</v>
      </c>
      <c r="G89" s="2">
        <v>1</v>
      </c>
      <c r="H89" s="2">
        <v>1</v>
      </c>
      <c r="I89" s="2">
        <v>1</v>
      </c>
      <c r="K89" s="2" t="str">
        <f t="shared" si="55"/>
        <v>00</v>
      </c>
      <c r="L89" s="2" t="str">
        <f t="shared" si="56"/>
        <v>01</v>
      </c>
      <c r="M89" s="2" t="str">
        <f t="shared" si="57"/>
        <v>01</v>
      </c>
      <c r="N89" s="2" t="str">
        <f t="shared" si="58"/>
        <v>01</v>
      </c>
      <c r="O89" s="2" t="str">
        <f t="shared" si="59"/>
        <v>00</v>
      </c>
      <c r="P89" s="2" t="str">
        <f t="shared" si="60"/>
        <v>01</v>
      </c>
      <c r="Q89" s="2" t="str">
        <f t="shared" si="61"/>
        <v>01</v>
      </c>
      <c r="R89" s="2" t="str">
        <f t="shared" si="62"/>
        <v>01</v>
      </c>
      <c r="T89" t="str">
        <f t="shared" si="63"/>
        <v>0001010100010101</v>
      </c>
      <c r="V89" s="9" t="str">
        <f t="shared" si="64"/>
        <v>00010101</v>
      </c>
      <c r="W89" s="9" t="str">
        <f t="shared" si="65"/>
        <v>00010101</v>
      </c>
      <c r="X89" s="9" t="str">
        <f t="shared" si="66"/>
        <v>15</v>
      </c>
      <c r="Y89" s="9" t="str">
        <f t="shared" si="67"/>
        <v>15</v>
      </c>
      <c r="AA89" t="str" cm="1">
        <f t="array" ref="AA89:AH89">TRANSPOSE(Y87:Y94)</f>
        <v>3F</v>
      </c>
      <c r="AB89" t="str">
        <v>1F</v>
      </c>
      <c r="AC89" t="str">
        <v>15</v>
      </c>
      <c r="AD89" t="str">
        <v>00</v>
      </c>
      <c r="AE89" t="str">
        <v>F3</v>
      </c>
      <c r="AF89" t="str">
        <v>F1</v>
      </c>
      <c r="AG89" t="str">
        <v>51</v>
      </c>
      <c r="AH89" t="str">
        <v>00</v>
      </c>
      <c r="AJ89" t="str">
        <f t="shared" si="68"/>
        <v>!byte $3f, $1f, $15, $00, $f3, $f1, $51, $00</v>
      </c>
    </row>
    <row r="90" spans="1:36" x14ac:dyDescent="0.3"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K90" s="2" t="str">
        <f t="shared" si="55"/>
        <v>00</v>
      </c>
      <c r="L90" s="2" t="str">
        <f t="shared" si="56"/>
        <v>00</v>
      </c>
      <c r="M90" s="2" t="str">
        <f t="shared" si="57"/>
        <v>00</v>
      </c>
      <c r="N90" s="2" t="str">
        <f t="shared" si="58"/>
        <v>00</v>
      </c>
      <c r="O90" s="2" t="str">
        <f t="shared" si="59"/>
        <v>00</v>
      </c>
      <c r="P90" s="2" t="str">
        <f t="shared" si="60"/>
        <v>00</v>
      </c>
      <c r="Q90" s="2" t="str">
        <f t="shared" si="61"/>
        <v>00</v>
      </c>
      <c r="R90" s="2" t="str">
        <f t="shared" si="62"/>
        <v>00</v>
      </c>
      <c r="T90" t="str">
        <f t="shared" si="63"/>
        <v>0000000000000000</v>
      </c>
      <c r="V90" s="9" t="str">
        <f t="shared" si="64"/>
        <v>00000000</v>
      </c>
      <c r="W90" s="9" t="str">
        <f t="shared" si="65"/>
        <v>00000000</v>
      </c>
      <c r="X90" s="9" t="str">
        <f t="shared" si="66"/>
        <v>00</v>
      </c>
      <c r="Y90" s="9" t="str">
        <f t="shared" si="67"/>
        <v>00</v>
      </c>
      <c r="AA90" t="str" cm="1">
        <f t="array" ref="AA90:AH90">TRANSPOSE(Y95:Y102)</f>
        <v>3F</v>
      </c>
      <c r="AB90" t="str">
        <v>1F</v>
      </c>
      <c r="AC90" t="str">
        <v>15</v>
      </c>
      <c r="AD90" t="str">
        <v>00</v>
      </c>
      <c r="AE90" t="str">
        <v>F3</v>
      </c>
      <c r="AF90" t="str">
        <v>F1</v>
      </c>
      <c r="AG90" t="str">
        <v>51</v>
      </c>
      <c r="AH90" t="str">
        <v>00</v>
      </c>
      <c r="AJ90" t="str">
        <f t="shared" si="68"/>
        <v>!byte $3f, $1f, $15, $00, $f3, $f1, $51, $00</v>
      </c>
    </row>
    <row r="91" spans="1:36" x14ac:dyDescent="0.3">
      <c r="B91" s="2">
        <v>3</v>
      </c>
      <c r="C91" s="2">
        <v>3</v>
      </c>
      <c r="D91" s="2">
        <v>0</v>
      </c>
      <c r="E91" s="2">
        <v>3</v>
      </c>
      <c r="F91" s="2">
        <v>3</v>
      </c>
      <c r="G91" s="2">
        <v>3</v>
      </c>
      <c r="H91" s="2">
        <v>0</v>
      </c>
      <c r="I91" s="2">
        <v>3</v>
      </c>
      <c r="K91" s="2" t="str">
        <f t="shared" si="55"/>
        <v>11</v>
      </c>
      <c r="L91" s="2" t="str">
        <f t="shared" si="56"/>
        <v>11</v>
      </c>
      <c r="M91" s="2" t="str">
        <f t="shared" si="57"/>
        <v>00</v>
      </c>
      <c r="N91" s="2" t="str">
        <f t="shared" si="58"/>
        <v>11</v>
      </c>
      <c r="O91" s="2" t="str">
        <f t="shared" si="59"/>
        <v>11</v>
      </c>
      <c r="P91" s="2" t="str">
        <f t="shared" si="60"/>
        <v>11</v>
      </c>
      <c r="Q91" s="2" t="str">
        <f t="shared" si="61"/>
        <v>00</v>
      </c>
      <c r="R91" s="2" t="str">
        <f t="shared" si="62"/>
        <v>11</v>
      </c>
      <c r="T91" t="str">
        <f t="shared" si="63"/>
        <v>1111001111110011</v>
      </c>
      <c r="V91" s="9" t="str">
        <f t="shared" si="64"/>
        <v>11110011</v>
      </c>
      <c r="W91" s="9" t="str">
        <f t="shared" si="65"/>
        <v>11110011</v>
      </c>
      <c r="X91" s="9" t="str">
        <f t="shared" si="66"/>
        <v>F3</v>
      </c>
      <c r="Y91" s="9" t="str">
        <f t="shared" si="67"/>
        <v>F3</v>
      </c>
    </row>
    <row r="92" spans="1:36" x14ac:dyDescent="0.3">
      <c r="B92" s="2">
        <v>3</v>
      </c>
      <c r="C92" s="2">
        <v>3</v>
      </c>
      <c r="D92" s="2">
        <v>0</v>
      </c>
      <c r="E92" s="2">
        <v>1</v>
      </c>
      <c r="F92" s="2">
        <v>3</v>
      </c>
      <c r="G92" s="2">
        <v>3</v>
      </c>
      <c r="H92" s="2">
        <v>0</v>
      </c>
      <c r="I92" s="2">
        <v>1</v>
      </c>
      <c r="K92" s="2" t="str">
        <f t="shared" si="55"/>
        <v>11</v>
      </c>
      <c r="L92" s="2" t="str">
        <f t="shared" si="56"/>
        <v>11</v>
      </c>
      <c r="M92" s="2" t="str">
        <f t="shared" si="57"/>
        <v>00</v>
      </c>
      <c r="N92" s="2" t="str">
        <f t="shared" si="58"/>
        <v>01</v>
      </c>
      <c r="O92" s="2" t="str">
        <f t="shared" si="59"/>
        <v>11</v>
      </c>
      <c r="P92" s="2" t="str">
        <f t="shared" si="60"/>
        <v>11</v>
      </c>
      <c r="Q92" s="2" t="str">
        <f t="shared" si="61"/>
        <v>00</v>
      </c>
      <c r="R92" s="2" t="str">
        <f t="shared" si="62"/>
        <v>01</v>
      </c>
      <c r="T92" t="str">
        <f t="shared" si="63"/>
        <v>1111000111110001</v>
      </c>
      <c r="V92" s="9" t="str">
        <f t="shared" si="64"/>
        <v>11110001</v>
      </c>
      <c r="W92" s="9" t="str">
        <f t="shared" si="65"/>
        <v>11110001</v>
      </c>
      <c r="X92" s="9" t="str">
        <f t="shared" si="66"/>
        <v>F1</v>
      </c>
      <c r="Y92" s="9" t="str">
        <f t="shared" si="67"/>
        <v>F1</v>
      </c>
    </row>
    <row r="93" spans="1:36" x14ac:dyDescent="0.3">
      <c r="B93" s="2">
        <v>1</v>
      </c>
      <c r="C93" s="2">
        <v>1</v>
      </c>
      <c r="D93" s="2">
        <v>0</v>
      </c>
      <c r="E93" s="2">
        <v>1</v>
      </c>
      <c r="F93" s="2">
        <v>1</v>
      </c>
      <c r="G93" s="2">
        <v>1</v>
      </c>
      <c r="H93" s="2">
        <v>0</v>
      </c>
      <c r="I93" s="2">
        <v>1</v>
      </c>
      <c r="K93" s="2" t="str">
        <f t="shared" si="55"/>
        <v>01</v>
      </c>
      <c r="L93" s="2" t="str">
        <f t="shared" si="56"/>
        <v>01</v>
      </c>
      <c r="M93" s="2" t="str">
        <f t="shared" si="57"/>
        <v>00</v>
      </c>
      <c r="N93" s="2" t="str">
        <f t="shared" si="58"/>
        <v>01</v>
      </c>
      <c r="O93" s="2" t="str">
        <f t="shared" si="59"/>
        <v>01</v>
      </c>
      <c r="P93" s="2" t="str">
        <f t="shared" si="60"/>
        <v>01</v>
      </c>
      <c r="Q93" s="2" t="str">
        <f t="shared" si="61"/>
        <v>00</v>
      </c>
      <c r="R93" s="2" t="str">
        <f t="shared" si="62"/>
        <v>01</v>
      </c>
      <c r="T93" t="str">
        <f t="shared" si="63"/>
        <v>0101000101010001</v>
      </c>
      <c r="V93" s="9" t="str">
        <f t="shared" si="64"/>
        <v>01010001</v>
      </c>
      <c r="W93" s="9" t="str">
        <f t="shared" si="65"/>
        <v>01010001</v>
      </c>
      <c r="X93" s="9" t="str">
        <f t="shared" si="66"/>
        <v>51</v>
      </c>
      <c r="Y93" s="9" t="str">
        <f t="shared" si="67"/>
        <v>51</v>
      </c>
    </row>
    <row r="94" spans="1:36" x14ac:dyDescent="0.3"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K94" s="2" t="str">
        <f t="shared" si="55"/>
        <v>00</v>
      </c>
      <c r="L94" s="2" t="str">
        <f t="shared" si="56"/>
        <v>00</v>
      </c>
      <c r="M94" s="2" t="str">
        <f t="shared" si="57"/>
        <v>00</v>
      </c>
      <c r="N94" s="2" t="str">
        <f t="shared" si="58"/>
        <v>00</v>
      </c>
      <c r="O94" s="2" t="str">
        <f t="shared" si="59"/>
        <v>00</v>
      </c>
      <c r="P94" s="2" t="str">
        <f t="shared" si="60"/>
        <v>00</v>
      </c>
      <c r="Q94" s="2" t="str">
        <f t="shared" si="61"/>
        <v>00</v>
      </c>
      <c r="R94" s="2" t="str">
        <f t="shared" si="62"/>
        <v>00</v>
      </c>
      <c r="T94" t="str">
        <f t="shared" si="63"/>
        <v>0000000000000000</v>
      </c>
      <c r="V94" s="10" t="str">
        <f t="shared" si="64"/>
        <v>00000000</v>
      </c>
      <c r="W94" s="10" t="str">
        <f t="shared" si="65"/>
        <v>00000000</v>
      </c>
      <c r="X94" s="10" t="str">
        <f t="shared" si="66"/>
        <v>00</v>
      </c>
      <c r="Y94" s="10" t="str">
        <f t="shared" si="67"/>
        <v>00</v>
      </c>
    </row>
    <row r="95" spans="1:36" x14ac:dyDescent="0.3">
      <c r="B95" s="2">
        <v>0</v>
      </c>
      <c r="C95" s="2">
        <v>3</v>
      </c>
      <c r="D95" s="2">
        <v>3</v>
      </c>
      <c r="E95" s="2">
        <v>3</v>
      </c>
      <c r="F95" s="2">
        <v>0</v>
      </c>
      <c r="G95" s="2">
        <v>3</v>
      </c>
      <c r="H95" s="2">
        <v>3</v>
      </c>
      <c r="I95" s="2">
        <v>3</v>
      </c>
      <c r="K95" s="2" t="str">
        <f t="shared" si="55"/>
        <v>00</v>
      </c>
      <c r="L95" s="2" t="str">
        <f t="shared" si="56"/>
        <v>11</v>
      </c>
      <c r="M95" s="2" t="str">
        <f t="shared" si="57"/>
        <v>11</v>
      </c>
      <c r="N95" s="2" t="str">
        <f t="shared" si="58"/>
        <v>11</v>
      </c>
      <c r="O95" s="2" t="str">
        <f t="shared" si="59"/>
        <v>00</v>
      </c>
      <c r="P95" s="2" t="str">
        <f t="shared" si="60"/>
        <v>11</v>
      </c>
      <c r="Q95" s="2" t="str">
        <f t="shared" si="61"/>
        <v>11</v>
      </c>
      <c r="R95" s="2" t="str">
        <f t="shared" si="62"/>
        <v>11</v>
      </c>
      <c r="T95" t="str">
        <f t="shared" si="63"/>
        <v>0011111100111111</v>
      </c>
      <c r="V95" s="8" t="str">
        <f t="shared" si="64"/>
        <v>00111111</v>
      </c>
      <c r="W95" s="8" t="str">
        <f t="shared" si="65"/>
        <v>00111111</v>
      </c>
      <c r="X95" s="8" t="str">
        <f t="shared" si="66"/>
        <v>3F</v>
      </c>
      <c r="Y95" s="8" t="str">
        <f t="shared" si="67"/>
        <v>3F</v>
      </c>
    </row>
    <row r="96" spans="1:36" x14ac:dyDescent="0.3">
      <c r="B96" s="2">
        <v>0</v>
      </c>
      <c r="C96" s="2">
        <v>1</v>
      </c>
      <c r="D96" s="2">
        <v>3</v>
      </c>
      <c r="E96" s="2">
        <v>3</v>
      </c>
      <c r="F96" s="2">
        <v>0</v>
      </c>
      <c r="G96" s="2">
        <v>1</v>
      </c>
      <c r="H96" s="2">
        <v>3</v>
      </c>
      <c r="I96" s="2">
        <v>3</v>
      </c>
      <c r="K96" s="2" t="str">
        <f t="shared" si="55"/>
        <v>00</v>
      </c>
      <c r="L96" s="2" t="str">
        <f t="shared" si="56"/>
        <v>01</v>
      </c>
      <c r="M96" s="2" t="str">
        <f t="shared" si="57"/>
        <v>11</v>
      </c>
      <c r="N96" s="2" t="str">
        <f t="shared" si="58"/>
        <v>11</v>
      </c>
      <c r="O96" s="2" t="str">
        <f t="shared" si="59"/>
        <v>00</v>
      </c>
      <c r="P96" s="2" t="str">
        <f t="shared" si="60"/>
        <v>01</v>
      </c>
      <c r="Q96" s="2" t="str">
        <f t="shared" si="61"/>
        <v>11</v>
      </c>
      <c r="R96" s="2" t="str">
        <f t="shared" si="62"/>
        <v>11</v>
      </c>
      <c r="T96" t="str">
        <f t="shared" si="63"/>
        <v>0001111100011111</v>
      </c>
      <c r="V96" s="9" t="str">
        <f t="shared" si="64"/>
        <v>00011111</v>
      </c>
      <c r="W96" s="9" t="str">
        <f t="shared" si="65"/>
        <v>00011111</v>
      </c>
      <c r="X96" s="9" t="str">
        <f t="shared" si="66"/>
        <v>1F</v>
      </c>
      <c r="Y96" s="9" t="str">
        <f t="shared" si="67"/>
        <v>1F</v>
      </c>
    </row>
    <row r="97" spans="1:36" x14ac:dyDescent="0.3">
      <c r="B97" s="2">
        <v>0</v>
      </c>
      <c r="C97" s="2">
        <v>1</v>
      </c>
      <c r="D97" s="2">
        <v>1</v>
      </c>
      <c r="E97" s="2">
        <v>1</v>
      </c>
      <c r="F97" s="2">
        <v>0</v>
      </c>
      <c r="G97" s="2">
        <v>1</v>
      </c>
      <c r="H97" s="2">
        <v>1</v>
      </c>
      <c r="I97" s="2">
        <v>1</v>
      </c>
      <c r="K97" s="2" t="str">
        <f t="shared" si="55"/>
        <v>00</v>
      </c>
      <c r="L97" s="2" t="str">
        <f t="shared" si="56"/>
        <v>01</v>
      </c>
      <c r="M97" s="2" t="str">
        <f t="shared" si="57"/>
        <v>01</v>
      </c>
      <c r="N97" s="2" t="str">
        <f t="shared" si="58"/>
        <v>01</v>
      </c>
      <c r="O97" s="2" t="str">
        <f t="shared" si="59"/>
        <v>00</v>
      </c>
      <c r="P97" s="2" t="str">
        <f t="shared" si="60"/>
        <v>01</v>
      </c>
      <c r="Q97" s="2" t="str">
        <f t="shared" si="61"/>
        <v>01</v>
      </c>
      <c r="R97" s="2" t="str">
        <f t="shared" si="62"/>
        <v>01</v>
      </c>
      <c r="T97" t="str">
        <f t="shared" si="63"/>
        <v>0001010100010101</v>
      </c>
      <c r="V97" s="9" t="str">
        <f t="shared" si="64"/>
        <v>00010101</v>
      </c>
      <c r="W97" s="9" t="str">
        <f t="shared" si="65"/>
        <v>00010101</v>
      </c>
      <c r="X97" s="9" t="str">
        <f t="shared" si="66"/>
        <v>15</v>
      </c>
      <c r="Y97" s="9" t="str">
        <f t="shared" si="67"/>
        <v>15</v>
      </c>
    </row>
    <row r="98" spans="1:36" x14ac:dyDescent="0.3"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K98" s="2" t="str">
        <f t="shared" si="55"/>
        <v>00</v>
      </c>
      <c r="L98" s="2" t="str">
        <f t="shared" si="56"/>
        <v>00</v>
      </c>
      <c r="M98" s="2" t="str">
        <f t="shared" si="57"/>
        <v>00</v>
      </c>
      <c r="N98" s="2" t="str">
        <f t="shared" si="58"/>
        <v>00</v>
      </c>
      <c r="O98" s="2" t="str">
        <f t="shared" si="59"/>
        <v>00</v>
      </c>
      <c r="P98" s="2" t="str">
        <f t="shared" si="60"/>
        <v>00</v>
      </c>
      <c r="Q98" s="2" t="str">
        <f t="shared" si="61"/>
        <v>00</v>
      </c>
      <c r="R98" s="2" t="str">
        <f t="shared" si="62"/>
        <v>00</v>
      </c>
      <c r="T98" t="str">
        <f t="shared" si="63"/>
        <v>0000000000000000</v>
      </c>
      <c r="V98" s="9" t="str">
        <f t="shared" si="64"/>
        <v>00000000</v>
      </c>
      <c r="W98" s="9" t="str">
        <f t="shared" si="65"/>
        <v>00000000</v>
      </c>
      <c r="X98" s="9" t="str">
        <f t="shared" si="66"/>
        <v>00</v>
      </c>
      <c r="Y98" s="9" t="str">
        <f t="shared" si="67"/>
        <v>00</v>
      </c>
    </row>
    <row r="99" spans="1:36" x14ac:dyDescent="0.3">
      <c r="B99" s="2">
        <v>3</v>
      </c>
      <c r="C99" s="2">
        <v>3</v>
      </c>
      <c r="D99" s="2">
        <v>0</v>
      </c>
      <c r="E99" s="2">
        <v>3</v>
      </c>
      <c r="F99" s="2">
        <v>3</v>
      </c>
      <c r="G99" s="2">
        <v>3</v>
      </c>
      <c r="H99" s="2">
        <v>0</v>
      </c>
      <c r="I99" s="2">
        <v>3</v>
      </c>
      <c r="K99" s="2" t="str">
        <f t="shared" si="55"/>
        <v>11</v>
      </c>
      <c r="L99" s="2" t="str">
        <f t="shared" si="56"/>
        <v>11</v>
      </c>
      <c r="M99" s="2" t="str">
        <f t="shared" si="57"/>
        <v>00</v>
      </c>
      <c r="N99" s="2" t="str">
        <f t="shared" si="58"/>
        <v>11</v>
      </c>
      <c r="O99" s="2" t="str">
        <f t="shared" si="59"/>
        <v>11</v>
      </c>
      <c r="P99" s="2" t="str">
        <f t="shared" si="60"/>
        <v>11</v>
      </c>
      <c r="Q99" s="2" t="str">
        <f t="shared" si="61"/>
        <v>00</v>
      </c>
      <c r="R99" s="2" t="str">
        <f t="shared" si="62"/>
        <v>11</v>
      </c>
      <c r="T99" t="str">
        <f t="shared" si="63"/>
        <v>1111001111110011</v>
      </c>
      <c r="V99" s="9" t="str">
        <f t="shared" si="64"/>
        <v>11110011</v>
      </c>
      <c r="W99" s="9" t="str">
        <f t="shared" si="65"/>
        <v>11110011</v>
      </c>
      <c r="X99" s="9" t="str">
        <f t="shared" si="66"/>
        <v>F3</v>
      </c>
      <c r="Y99" s="9" t="str">
        <f t="shared" si="67"/>
        <v>F3</v>
      </c>
    </row>
    <row r="100" spans="1:36" x14ac:dyDescent="0.3">
      <c r="B100" s="2">
        <v>3</v>
      </c>
      <c r="C100" s="2">
        <v>3</v>
      </c>
      <c r="D100" s="2">
        <v>0</v>
      </c>
      <c r="E100" s="2">
        <v>1</v>
      </c>
      <c r="F100" s="2">
        <v>3</v>
      </c>
      <c r="G100" s="2">
        <v>3</v>
      </c>
      <c r="H100" s="2">
        <v>0</v>
      </c>
      <c r="I100" s="2">
        <v>1</v>
      </c>
      <c r="K100" s="2" t="str">
        <f t="shared" si="55"/>
        <v>11</v>
      </c>
      <c r="L100" s="2" t="str">
        <f t="shared" si="56"/>
        <v>11</v>
      </c>
      <c r="M100" s="2" t="str">
        <f t="shared" si="57"/>
        <v>00</v>
      </c>
      <c r="N100" s="2" t="str">
        <f t="shared" si="58"/>
        <v>01</v>
      </c>
      <c r="O100" s="2" t="str">
        <f t="shared" si="59"/>
        <v>11</v>
      </c>
      <c r="P100" s="2" t="str">
        <f t="shared" si="60"/>
        <v>11</v>
      </c>
      <c r="Q100" s="2" t="str">
        <f t="shared" si="61"/>
        <v>00</v>
      </c>
      <c r="R100" s="2" t="str">
        <f t="shared" si="62"/>
        <v>01</v>
      </c>
      <c r="T100" t="str">
        <f t="shared" si="63"/>
        <v>1111000111110001</v>
      </c>
      <c r="V100" s="9" t="str">
        <f t="shared" si="64"/>
        <v>11110001</v>
      </c>
      <c r="W100" s="9" t="str">
        <f t="shared" si="65"/>
        <v>11110001</v>
      </c>
      <c r="X100" s="9" t="str">
        <f t="shared" si="66"/>
        <v>F1</v>
      </c>
      <c r="Y100" s="9" t="str">
        <f t="shared" si="67"/>
        <v>F1</v>
      </c>
    </row>
    <row r="101" spans="1:36" x14ac:dyDescent="0.3">
      <c r="B101" s="2">
        <v>1</v>
      </c>
      <c r="C101" s="2">
        <v>1</v>
      </c>
      <c r="D101" s="2">
        <v>0</v>
      </c>
      <c r="E101" s="2">
        <v>1</v>
      </c>
      <c r="F101" s="2">
        <v>1</v>
      </c>
      <c r="G101" s="2">
        <v>1</v>
      </c>
      <c r="H101" s="2">
        <v>0</v>
      </c>
      <c r="I101" s="2">
        <v>1</v>
      </c>
      <c r="K101" s="2" t="str">
        <f t="shared" si="55"/>
        <v>01</v>
      </c>
      <c r="L101" s="2" t="str">
        <f t="shared" si="56"/>
        <v>01</v>
      </c>
      <c r="M101" s="2" t="str">
        <f t="shared" si="57"/>
        <v>00</v>
      </c>
      <c r="N101" s="2" t="str">
        <f t="shared" si="58"/>
        <v>01</v>
      </c>
      <c r="O101" s="2" t="str">
        <f t="shared" si="59"/>
        <v>01</v>
      </c>
      <c r="P101" s="2" t="str">
        <f t="shared" si="60"/>
        <v>01</v>
      </c>
      <c r="Q101" s="2" t="str">
        <f t="shared" si="61"/>
        <v>00</v>
      </c>
      <c r="R101" s="2" t="str">
        <f t="shared" si="62"/>
        <v>01</v>
      </c>
      <c r="T101" t="str">
        <f t="shared" si="63"/>
        <v>0101000101010001</v>
      </c>
      <c r="V101" s="9" t="str">
        <f t="shared" si="64"/>
        <v>01010001</v>
      </c>
      <c r="W101" s="9" t="str">
        <f t="shared" si="65"/>
        <v>01010001</v>
      </c>
      <c r="X101" s="9" t="str">
        <f t="shared" si="66"/>
        <v>51</v>
      </c>
      <c r="Y101" s="9" t="str">
        <f t="shared" si="67"/>
        <v>51</v>
      </c>
    </row>
    <row r="102" spans="1:36" x14ac:dyDescent="0.3"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K102" s="2" t="str">
        <f t="shared" si="55"/>
        <v>00</v>
      </c>
      <c r="L102" s="2" t="str">
        <f t="shared" si="56"/>
        <v>00</v>
      </c>
      <c r="M102" s="2" t="str">
        <f t="shared" si="57"/>
        <v>00</v>
      </c>
      <c r="N102" s="2" t="str">
        <f t="shared" si="58"/>
        <v>00</v>
      </c>
      <c r="O102" s="2" t="str">
        <f t="shared" si="59"/>
        <v>00</v>
      </c>
      <c r="P102" s="2" t="str">
        <f t="shared" si="60"/>
        <v>00</v>
      </c>
      <c r="Q102" s="2" t="str">
        <f t="shared" si="61"/>
        <v>00</v>
      </c>
      <c r="R102" s="2" t="str">
        <f t="shared" si="62"/>
        <v>00</v>
      </c>
      <c r="T102" t="str">
        <f t="shared" si="63"/>
        <v>0000000000000000</v>
      </c>
      <c r="V102" s="10" t="str">
        <f t="shared" si="64"/>
        <v>00000000</v>
      </c>
      <c r="W102" s="10" t="str">
        <f t="shared" si="65"/>
        <v>00000000</v>
      </c>
      <c r="X102" s="10" t="str">
        <f t="shared" si="66"/>
        <v>00</v>
      </c>
      <c r="Y102" s="10" t="str">
        <f t="shared" si="67"/>
        <v>00</v>
      </c>
    </row>
    <row r="103" spans="1:36" x14ac:dyDescent="0.3">
      <c r="A103" t="s">
        <v>2</v>
      </c>
      <c r="AJ103" t="str">
        <f>";"&amp;PROPER(A103)</f>
        <v>;Steel Wall</v>
      </c>
    </row>
    <row r="104" spans="1:36" x14ac:dyDescent="0.3">
      <c r="B104" s="2">
        <v>1</v>
      </c>
      <c r="C104" s="2">
        <v>1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K104" s="2" t="str">
        <f t="shared" ref="K104:K119" si="69">DEC2BIN(B104,2)</f>
        <v>01</v>
      </c>
      <c r="L104" s="2" t="str">
        <f t="shared" ref="L104:L119" si="70">DEC2BIN(C104,2)</f>
        <v>01</v>
      </c>
      <c r="M104" s="2" t="str">
        <f t="shared" ref="M104:M119" si="71">DEC2BIN(D104,2)</f>
        <v>01</v>
      </c>
      <c r="N104" s="2" t="str">
        <f t="shared" ref="N104:N119" si="72">DEC2BIN(E104,2)</f>
        <v>01</v>
      </c>
      <c r="O104" s="2" t="str">
        <f t="shared" ref="O104:O119" si="73">DEC2BIN(F104,2)</f>
        <v>01</v>
      </c>
      <c r="P104" s="2" t="str">
        <f t="shared" ref="P104:P119" si="74">DEC2BIN(G104,2)</f>
        <v>01</v>
      </c>
      <c r="Q104" s="2" t="str">
        <f t="shared" ref="Q104:Q119" si="75">DEC2BIN(H104,2)</f>
        <v>01</v>
      </c>
      <c r="R104" s="2" t="str">
        <f t="shared" ref="R104:R119" si="76">DEC2BIN(I104,2)</f>
        <v>01</v>
      </c>
      <c r="T104" t="str">
        <f t="shared" ref="T104:T119" si="77">_xlfn.CONCAT(K104:R104)</f>
        <v>0101010101010101</v>
      </c>
      <c r="V104" s="8" t="str">
        <f>LEFT(T104,8)</f>
        <v>01010101</v>
      </c>
      <c r="W104" s="8" t="str">
        <f>RIGHT(T104,8)</f>
        <v>01010101</v>
      </c>
      <c r="X104" s="8" t="str">
        <f>BIN2HEX(V104,2)</f>
        <v>55</v>
      </c>
      <c r="Y104" s="8" t="str">
        <f>BIN2HEX(W104,2)</f>
        <v>55</v>
      </c>
      <c r="AA104" t="str" cm="1">
        <f t="array" ref="AA104:AH104">TRANSPOSE(X104:X111)</f>
        <v>55</v>
      </c>
      <c r="AB104" t="str">
        <v>55</v>
      </c>
      <c r="AC104" t="str">
        <v>41</v>
      </c>
      <c r="AD104" t="str">
        <v>51</v>
      </c>
      <c r="AE104" t="str">
        <v>71</v>
      </c>
      <c r="AF104" t="str">
        <v>55</v>
      </c>
      <c r="AG104" t="str">
        <v>55</v>
      </c>
      <c r="AH104" t="str">
        <v>55</v>
      </c>
      <c r="AJ104" t="str">
        <f>LOWER("!byte $"&amp;AA104&amp;", $"&amp;AB104&amp;", $"&amp;AC104&amp;", $"&amp;AD104&amp;", $"&amp;AE104&amp;", $"&amp;AF104&amp;", $"&amp;AG104&amp;", $"&amp;AH104)</f>
        <v>!byte $55, $55, $41, $51, $71, $55, $55, $55</v>
      </c>
    </row>
    <row r="105" spans="1:36" x14ac:dyDescent="0.3">
      <c r="B105" s="2">
        <v>1</v>
      </c>
      <c r="C105" s="2">
        <v>1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K105" s="2" t="str">
        <f t="shared" si="69"/>
        <v>01</v>
      </c>
      <c r="L105" s="2" t="str">
        <f t="shared" si="70"/>
        <v>01</v>
      </c>
      <c r="M105" s="2" t="str">
        <f t="shared" si="71"/>
        <v>01</v>
      </c>
      <c r="N105" s="2" t="str">
        <f t="shared" si="72"/>
        <v>01</v>
      </c>
      <c r="O105" s="2" t="str">
        <f t="shared" si="73"/>
        <v>01</v>
      </c>
      <c r="P105" s="2" t="str">
        <f t="shared" si="74"/>
        <v>01</v>
      </c>
      <c r="Q105" s="2" t="str">
        <f t="shared" si="75"/>
        <v>01</v>
      </c>
      <c r="R105" s="2" t="str">
        <f t="shared" si="76"/>
        <v>01</v>
      </c>
      <c r="T105" t="str">
        <f t="shared" si="77"/>
        <v>0101010101010101</v>
      </c>
      <c r="V105" s="9" t="str">
        <f t="shared" ref="V105:V119" si="78">LEFT(T105,8)</f>
        <v>01010101</v>
      </c>
      <c r="W105" s="9" t="str">
        <f t="shared" ref="W105:W119" si="79">RIGHT(T105,8)</f>
        <v>01010101</v>
      </c>
      <c r="X105" s="9" t="str">
        <f t="shared" ref="X105:X119" si="80">BIN2HEX(V105,2)</f>
        <v>55</v>
      </c>
      <c r="Y105" s="9" t="str">
        <f t="shared" ref="Y105:Y119" si="81">BIN2HEX(W105,2)</f>
        <v>55</v>
      </c>
      <c r="AA105" t="str" cm="1">
        <f t="array" ref="AA105:AH105">TRANSPOSE(X112:X119)</f>
        <v>55</v>
      </c>
      <c r="AB105" t="str">
        <v>55</v>
      </c>
      <c r="AC105" t="str">
        <v>41</v>
      </c>
      <c r="AD105" t="str">
        <v>51</v>
      </c>
      <c r="AE105" t="str">
        <v>71</v>
      </c>
      <c r="AF105" t="str">
        <v>55</v>
      </c>
      <c r="AG105" t="str">
        <v>55</v>
      </c>
      <c r="AH105" t="str">
        <v>55</v>
      </c>
      <c r="AJ105" t="str">
        <f t="shared" ref="AJ105:AJ107" si="82">LOWER("!byte $"&amp;AA105&amp;", $"&amp;AB105&amp;", $"&amp;AC105&amp;", $"&amp;AD105&amp;", $"&amp;AE105&amp;", $"&amp;AF105&amp;", $"&amp;AG105&amp;", $"&amp;AH105)</f>
        <v>!byte $55, $55, $41, $51, $71, $55, $55, $55</v>
      </c>
    </row>
    <row r="106" spans="1:36" x14ac:dyDescent="0.3">
      <c r="B106" s="2">
        <v>1</v>
      </c>
      <c r="C106" s="2">
        <v>0</v>
      </c>
      <c r="D106" s="2">
        <v>0</v>
      </c>
      <c r="E106" s="2">
        <v>1</v>
      </c>
      <c r="F106" s="2">
        <v>1</v>
      </c>
      <c r="G106" s="2">
        <v>0</v>
      </c>
      <c r="H106" s="2">
        <v>0</v>
      </c>
      <c r="I106" s="2">
        <v>1</v>
      </c>
      <c r="K106" s="2" t="str">
        <f t="shared" si="69"/>
        <v>01</v>
      </c>
      <c r="L106" s="2" t="str">
        <f t="shared" si="70"/>
        <v>00</v>
      </c>
      <c r="M106" s="2" t="str">
        <f t="shared" si="71"/>
        <v>00</v>
      </c>
      <c r="N106" s="2" t="str">
        <f t="shared" si="72"/>
        <v>01</v>
      </c>
      <c r="O106" s="2" t="str">
        <f t="shared" si="73"/>
        <v>01</v>
      </c>
      <c r="P106" s="2" t="str">
        <f t="shared" si="74"/>
        <v>00</v>
      </c>
      <c r="Q106" s="2" t="str">
        <f t="shared" si="75"/>
        <v>00</v>
      </c>
      <c r="R106" s="2" t="str">
        <f t="shared" si="76"/>
        <v>01</v>
      </c>
      <c r="T106" t="str">
        <f t="shared" si="77"/>
        <v>0100000101000001</v>
      </c>
      <c r="V106" s="9" t="str">
        <f t="shared" si="78"/>
        <v>01000001</v>
      </c>
      <c r="W106" s="9" t="str">
        <f t="shared" si="79"/>
        <v>01000001</v>
      </c>
      <c r="X106" s="9" t="str">
        <f t="shared" si="80"/>
        <v>41</v>
      </c>
      <c r="Y106" s="9" t="str">
        <f t="shared" si="81"/>
        <v>41</v>
      </c>
      <c r="AA106" t="str" cm="1">
        <f t="array" ref="AA106:AH106">TRANSPOSE(Y104:Y111)</f>
        <v>55</v>
      </c>
      <c r="AB106" t="str">
        <v>55</v>
      </c>
      <c r="AC106" t="str">
        <v>41</v>
      </c>
      <c r="AD106" t="str">
        <v>51</v>
      </c>
      <c r="AE106" t="str">
        <v>71</v>
      </c>
      <c r="AF106" t="str">
        <v>55</v>
      </c>
      <c r="AG106" t="str">
        <v>55</v>
      </c>
      <c r="AH106" t="str">
        <v>55</v>
      </c>
      <c r="AJ106" t="str">
        <f t="shared" si="82"/>
        <v>!byte $55, $55, $41, $51, $71, $55, $55, $55</v>
      </c>
    </row>
    <row r="107" spans="1:36" x14ac:dyDescent="0.3">
      <c r="B107" s="2">
        <v>1</v>
      </c>
      <c r="C107" s="2">
        <v>1</v>
      </c>
      <c r="D107" s="2">
        <v>0</v>
      </c>
      <c r="E107" s="2">
        <v>1</v>
      </c>
      <c r="F107" s="2">
        <v>1</v>
      </c>
      <c r="G107" s="2">
        <v>1</v>
      </c>
      <c r="H107" s="2">
        <v>0</v>
      </c>
      <c r="I107" s="2">
        <v>1</v>
      </c>
      <c r="K107" s="2" t="str">
        <f t="shared" si="69"/>
        <v>01</v>
      </c>
      <c r="L107" s="2" t="str">
        <f t="shared" si="70"/>
        <v>01</v>
      </c>
      <c r="M107" s="2" t="str">
        <f t="shared" si="71"/>
        <v>00</v>
      </c>
      <c r="N107" s="2" t="str">
        <f t="shared" si="72"/>
        <v>01</v>
      </c>
      <c r="O107" s="2" t="str">
        <f t="shared" si="73"/>
        <v>01</v>
      </c>
      <c r="P107" s="2" t="str">
        <f t="shared" si="74"/>
        <v>01</v>
      </c>
      <c r="Q107" s="2" t="str">
        <f t="shared" si="75"/>
        <v>00</v>
      </c>
      <c r="R107" s="2" t="str">
        <f t="shared" si="76"/>
        <v>01</v>
      </c>
      <c r="T107" t="str">
        <f t="shared" si="77"/>
        <v>0101000101010001</v>
      </c>
      <c r="V107" s="9" t="str">
        <f t="shared" si="78"/>
        <v>01010001</v>
      </c>
      <c r="W107" s="9" t="str">
        <f t="shared" si="79"/>
        <v>01010001</v>
      </c>
      <c r="X107" s="9" t="str">
        <f t="shared" si="80"/>
        <v>51</v>
      </c>
      <c r="Y107" s="9" t="str">
        <f t="shared" si="81"/>
        <v>51</v>
      </c>
      <c r="AA107" t="str" cm="1">
        <f t="array" ref="AA107:AH107">TRANSPOSE(Y112:Y119)</f>
        <v>55</v>
      </c>
      <c r="AB107" t="str">
        <v>55</v>
      </c>
      <c r="AC107" t="str">
        <v>41</v>
      </c>
      <c r="AD107" t="str">
        <v>51</v>
      </c>
      <c r="AE107" t="str">
        <v>71</v>
      </c>
      <c r="AF107" t="str">
        <v>55</v>
      </c>
      <c r="AG107" t="str">
        <v>55</v>
      </c>
      <c r="AH107" t="str">
        <v>55</v>
      </c>
      <c r="AJ107" t="str">
        <f t="shared" si="82"/>
        <v>!byte $55, $55, $41, $51, $71, $55, $55, $55</v>
      </c>
    </row>
    <row r="108" spans="1:36" x14ac:dyDescent="0.3">
      <c r="B108" s="2">
        <v>1</v>
      </c>
      <c r="C108" s="2">
        <v>3</v>
      </c>
      <c r="D108" s="2">
        <v>0</v>
      </c>
      <c r="E108" s="2">
        <v>1</v>
      </c>
      <c r="F108" s="2">
        <v>1</v>
      </c>
      <c r="G108" s="2">
        <v>3</v>
      </c>
      <c r="H108" s="2">
        <v>0</v>
      </c>
      <c r="I108" s="2">
        <v>1</v>
      </c>
      <c r="K108" s="2" t="str">
        <f t="shared" si="69"/>
        <v>01</v>
      </c>
      <c r="L108" s="2" t="str">
        <f t="shared" si="70"/>
        <v>11</v>
      </c>
      <c r="M108" s="2" t="str">
        <f t="shared" si="71"/>
        <v>00</v>
      </c>
      <c r="N108" s="2" t="str">
        <f t="shared" si="72"/>
        <v>01</v>
      </c>
      <c r="O108" s="2" t="str">
        <f t="shared" si="73"/>
        <v>01</v>
      </c>
      <c r="P108" s="2" t="str">
        <f t="shared" si="74"/>
        <v>11</v>
      </c>
      <c r="Q108" s="2" t="str">
        <f t="shared" si="75"/>
        <v>00</v>
      </c>
      <c r="R108" s="2" t="str">
        <f t="shared" si="76"/>
        <v>01</v>
      </c>
      <c r="T108" t="str">
        <f t="shared" si="77"/>
        <v>0111000101110001</v>
      </c>
      <c r="V108" s="9" t="str">
        <f t="shared" si="78"/>
        <v>01110001</v>
      </c>
      <c r="W108" s="9" t="str">
        <f t="shared" si="79"/>
        <v>01110001</v>
      </c>
      <c r="X108" s="9" t="str">
        <f t="shared" si="80"/>
        <v>71</v>
      </c>
      <c r="Y108" s="9" t="str">
        <f t="shared" si="81"/>
        <v>71</v>
      </c>
    </row>
    <row r="109" spans="1:36" x14ac:dyDescent="0.3">
      <c r="B109" s="2">
        <v>1</v>
      </c>
      <c r="C109" s="2">
        <v>1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K109" s="2" t="str">
        <f t="shared" si="69"/>
        <v>01</v>
      </c>
      <c r="L109" s="2" t="str">
        <f t="shared" si="70"/>
        <v>01</v>
      </c>
      <c r="M109" s="2" t="str">
        <f t="shared" si="71"/>
        <v>01</v>
      </c>
      <c r="N109" s="2" t="str">
        <f t="shared" si="72"/>
        <v>01</v>
      </c>
      <c r="O109" s="2" t="str">
        <f t="shared" si="73"/>
        <v>01</v>
      </c>
      <c r="P109" s="2" t="str">
        <f t="shared" si="74"/>
        <v>01</v>
      </c>
      <c r="Q109" s="2" t="str">
        <f t="shared" si="75"/>
        <v>01</v>
      </c>
      <c r="R109" s="2" t="str">
        <f t="shared" si="76"/>
        <v>01</v>
      </c>
      <c r="T109" t="str">
        <f t="shared" si="77"/>
        <v>0101010101010101</v>
      </c>
      <c r="V109" s="9" t="str">
        <f t="shared" si="78"/>
        <v>01010101</v>
      </c>
      <c r="W109" s="9" t="str">
        <f t="shared" si="79"/>
        <v>01010101</v>
      </c>
      <c r="X109" s="9" t="str">
        <f t="shared" si="80"/>
        <v>55</v>
      </c>
      <c r="Y109" s="9" t="str">
        <f t="shared" si="81"/>
        <v>55</v>
      </c>
    </row>
    <row r="110" spans="1:36" x14ac:dyDescent="0.3">
      <c r="B110" s="2">
        <v>1</v>
      </c>
      <c r="C110" s="2">
        <v>1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K110" s="2" t="str">
        <f t="shared" si="69"/>
        <v>01</v>
      </c>
      <c r="L110" s="2" t="str">
        <f t="shared" si="70"/>
        <v>01</v>
      </c>
      <c r="M110" s="2" t="str">
        <f t="shared" si="71"/>
        <v>01</v>
      </c>
      <c r="N110" s="2" t="str">
        <f t="shared" si="72"/>
        <v>01</v>
      </c>
      <c r="O110" s="2" t="str">
        <f t="shared" si="73"/>
        <v>01</v>
      </c>
      <c r="P110" s="2" t="str">
        <f t="shared" si="74"/>
        <v>01</v>
      </c>
      <c r="Q110" s="2" t="str">
        <f t="shared" si="75"/>
        <v>01</v>
      </c>
      <c r="R110" s="2" t="str">
        <f t="shared" si="76"/>
        <v>01</v>
      </c>
      <c r="T110" t="str">
        <f t="shared" si="77"/>
        <v>0101010101010101</v>
      </c>
      <c r="V110" s="9" t="str">
        <f t="shared" si="78"/>
        <v>01010101</v>
      </c>
      <c r="W110" s="9" t="str">
        <f t="shared" si="79"/>
        <v>01010101</v>
      </c>
      <c r="X110" s="9" t="str">
        <f t="shared" si="80"/>
        <v>55</v>
      </c>
      <c r="Y110" s="9" t="str">
        <f t="shared" si="81"/>
        <v>55</v>
      </c>
    </row>
    <row r="111" spans="1:36" x14ac:dyDescent="0.3">
      <c r="B111" s="2">
        <v>1</v>
      </c>
      <c r="C111" s="2">
        <v>1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K111" s="2" t="str">
        <f t="shared" si="69"/>
        <v>01</v>
      </c>
      <c r="L111" s="2" t="str">
        <f t="shared" si="70"/>
        <v>01</v>
      </c>
      <c r="M111" s="2" t="str">
        <f t="shared" si="71"/>
        <v>01</v>
      </c>
      <c r="N111" s="2" t="str">
        <f t="shared" si="72"/>
        <v>01</v>
      </c>
      <c r="O111" s="2" t="str">
        <f t="shared" si="73"/>
        <v>01</v>
      </c>
      <c r="P111" s="2" t="str">
        <f t="shared" si="74"/>
        <v>01</v>
      </c>
      <c r="Q111" s="2" t="str">
        <f t="shared" si="75"/>
        <v>01</v>
      </c>
      <c r="R111" s="2" t="str">
        <f t="shared" si="76"/>
        <v>01</v>
      </c>
      <c r="T111" t="str">
        <f t="shared" si="77"/>
        <v>0101010101010101</v>
      </c>
      <c r="V111" s="10" t="str">
        <f t="shared" si="78"/>
        <v>01010101</v>
      </c>
      <c r="W111" s="10" t="str">
        <f t="shared" si="79"/>
        <v>01010101</v>
      </c>
      <c r="X111" s="10" t="str">
        <f t="shared" si="80"/>
        <v>55</v>
      </c>
      <c r="Y111" s="10" t="str">
        <f t="shared" si="81"/>
        <v>55</v>
      </c>
    </row>
    <row r="112" spans="1:36" x14ac:dyDescent="0.3">
      <c r="B112" s="2">
        <v>1</v>
      </c>
      <c r="C112" s="2">
        <v>1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K112" s="2" t="str">
        <f t="shared" si="69"/>
        <v>01</v>
      </c>
      <c r="L112" s="2" t="str">
        <f t="shared" si="70"/>
        <v>01</v>
      </c>
      <c r="M112" s="2" t="str">
        <f t="shared" si="71"/>
        <v>01</v>
      </c>
      <c r="N112" s="2" t="str">
        <f t="shared" si="72"/>
        <v>01</v>
      </c>
      <c r="O112" s="2" t="str">
        <f t="shared" si="73"/>
        <v>01</v>
      </c>
      <c r="P112" s="2" t="str">
        <f t="shared" si="74"/>
        <v>01</v>
      </c>
      <c r="Q112" s="2" t="str">
        <f t="shared" si="75"/>
        <v>01</v>
      </c>
      <c r="R112" s="2" t="str">
        <f t="shared" si="76"/>
        <v>01</v>
      </c>
      <c r="T112" t="str">
        <f t="shared" si="77"/>
        <v>0101010101010101</v>
      </c>
      <c r="V112" s="8" t="str">
        <f t="shared" si="78"/>
        <v>01010101</v>
      </c>
      <c r="W112" s="8" t="str">
        <f t="shared" si="79"/>
        <v>01010101</v>
      </c>
      <c r="X112" s="8" t="str">
        <f t="shared" si="80"/>
        <v>55</v>
      </c>
      <c r="Y112" s="8" t="str">
        <f t="shared" si="81"/>
        <v>55</v>
      </c>
    </row>
    <row r="113" spans="1:36" x14ac:dyDescent="0.3"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K113" s="2" t="str">
        <f t="shared" si="69"/>
        <v>01</v>
      </c>
      <c r="L113" s="2" t="str">
        <f t="shared" si="70"/>
        <v>01</v>
      </c>
      <c r="M113" s="2" t="str">
        <f t="shared" si="71"/>
        <v>01</v>
      </c>
      <c r="N113" s="2" t="str">
        <f t="shared" si="72"/>
        <v>01</v>
      </c>
      <c r="O113" s="2" t="str">
        <f t="shared" si="73"/>
        <v>01</v>
      </c>
      <c r="P113" s="2" t="str">
        <f t="shared" si="74"/>
        <v>01</v>
      </c>
      <c r="Q113" s="2" t="str">
        <f t="shared" si="75"/>
        <v>01</v>
      </c>
      <c r="R113" s="2" t="str">
        <f t="shared" si="76"/>
        <v>01</v>
      </c>
      <c r="T113" t="str">
        <f t="shared" si="77"/>
        <v>0101010101010101</v>
      </c>
      <c r="V113" s="9" t="str">
        <f t="shared" si="78"/>
        <v>01010101</v>
      </c>
      <c r="W113" s="9" t="str">
        <f t="shared" si="79"/>
        <v>01010101</v>
      </c>
      <c r="X113" s="9" t="str">
        <f t="shared" si="80"/>
        <v>55</v>
      </c>
      <c r="Y113" s="9" t="str">
        <f t="shared" si="81"/>
        <v>55</v>
      </c>
    </row>
    <row r="114" spans="1:36" x14ac:dyDescent="0.3">
      <c r="B114" s="2">
        <v>1</v>
      </c>
      <c r="C114" s="2">
        <v>0</v>
      </c>
      <c r="D114" s="2">
        <v>0</v>
      </c>
      <c r="E114" s="2">
        <v>1</v>
      </c>
      <c r="F114" s="2">
        <v>1</v>
      </c>
      <c r="G114" s="2">
        <v>0</v>
      </c>
      <c r="H114" s="2">
        <v>0</v>
      </c>
      <c r="I114" s="2">
        <v>1</v>
      </c>
      <c r="K114" s="2" t="str">
        <f t="shared" si="69"/>
        <v>01</v>
      </c>
      <c r="L114" s="2" t="str">
        <f t="shared" si="70"/>
        <v>00</v>
      </c>
      <c r="M114" s="2" t="str">
        <f t="shared" si="71"/>
        <v>00</v>
      </c>
      <c r="N114" s="2" t="str">
        <f t="shared" si="72"/>
        <v>01</v>
      </c>
      <c r="O114" s="2" t="str">
        <f t="shared" si="73"/>
        <v>01</v>
      </c>
      <c r="P114" s="2" t="str">
        <f t="shared" si="74"/>
        <v>00</v>
      </c>
      <c r="Q114" s="2" t="str">
        <f t="shared" si="75"/>
        <v>00</v>
      </c>
      <c r="R114" s="2" t="str">
        <f t="shared" si="76"/>
        <v>01</v>
      </c>
      <c r="T114" t="str">
        <f t="shared" si="77"/>
        <v>0100000101000001</v>
      </c>
      <c r="V114" s="9" t="str">
        <f t="shared" si="78"/>
        <v>01000001</v>
      </c>
      <c r="W114" s="9" t="str">
        <f t="shared" si="79"/>
        <v>01000001</v>
      </c>
      <c r="X114" s="9" t="str">
        <f t="shared" si="80"/>
        <v>41</v>
      </c>
      <c r="Y114" s="9" t="str">
        <f t="shared" si="81"/>
        <v>41</v>
      </c>
    </row>
    <row r="115" spans="1:36" x14ac:dyDescent="0.3">
      <c r="B115" s="2">
        <v>1</v>
      </c>
      <c r="C115" s="2">
        <v>1</v>
      </c>
      <c r="D115" s="2">
        <v>0</v>
      </c>
      <c r="E115" s="2">
        <v>1</v>
      </c>
      <c r="F115" s="2">
        <v>1</v>
      </c>
      <c r="G115" s="2">
        <v>1</v>
      </c>
      <c r="H115" s="2">
        <v>0</v>
      </c>
      <c r="I115" s="2">
        <v>1</v>
      </c>
      <c r="K115" s="2" t="str">
        <f t="shared" si="69"/>
        <v>01</v>
      </c>
      <c r="L115" s="2" t="str">
        <f t="shared" si="70"/>
        <v>01</v>
      </c>
      <c r="M115" s="2" t="str">
        <f t="shared" si="71"/>
        <v>00</v>
      </c>
      <c r="N115" s="2" t="str">
        <f t="shared" si="72"/>
        <v>01</v>
      </c>
      <c r="O115" s="2" t="str">
        <f t="shared" si="73"/>
        <v>01</v>
      </c>
      <c r="P115" s="2" t="str">
        <f t="shared" si="74"/>
        <v>01</v>
      </c>
      <c r="Q115" s="2" t="str">
        <f t="shared" si="75"/>
        <v>00</v>
      </c>
      <c r="R115" s="2" t="str">
        <f t="shared" si="76"/>
        <v>01</v>
      </c>
      <c r="T115" t="str">
        <f t="shared" si="77"/>
        <v>0101000101010001</v>
      </c>
      <c r="V115" s="9" t="str">
        <f t="shared" si="78"/>
        <v>01010001</v>
      </c>
      <c r="W115" s="9" t="str">
        <f t="shared" si="79"/>
        <v>01010001</v>
      </c>
      <c r="X115" s="9" t="str">
        <f t="shared" si="80"/>
        <v>51</v>
      </c>
      <c r="Y115" s="9" t="str">
        <f t="shared" si="81"/>
        <v>51</v>
      </c>
    </row>
    <row r="116" spans="1:36" x14ac:dyDescent="0.3">
      <c r="B116" s="2">
        <v>1</v>
      </c>
      <c r="C116" s="2">
        <v>3</v>
      </c>
      <c r="D116" s="2">
        <v>0</v>
      </c>
      <c r="E116" s="2">
        <v>1</v>
      </c>
      <c r="F116" s="2">
        <v>1</v>
      </c>
      <c r="G116" s="2">
        <v>3</v>
      </c>
      <c r="H116" s="2">
        <v>0</v>
      </c>
      <c r="I116" s="2">
        <v>1</v>
      </c>
      <c r="K116" s="2" t="str">
        <f t="shared" si="69"/>
        <v>01</v>
      </c>
      <c r="L116" s="2" t="str">
        <f t="shared" si="70"/>
        <v>11</v>
      </c>
      <c r="M116" s="2" t="str">
        <f t="shared" si="71"/>
        <v>00</v>
      </c>
      <c r="N116" s="2" t="str">
        <f t="shared" si="72"/>
        <v>01</v>
      </c>
      <c r="O116" s="2" t="str">
        <f t="shared" si="73"/>
        <v>01</v>
      </c>
      <c r="P116" s="2" t="str">
        <f t="shared" si="74"/>
        <v>11</v>
      </c>
      <c r="Q116" s="2" t="str">
        <f t="shared" si="75"/>
        <v>00</v>
      </c>
      <c r="R116" s="2" t="str">
        <f t="shared" si="76"/>
        <v>01</v>
      </c>
      <c r="T116" t="str">
        <f t="shared" si="77"/>
        <v>0111000101110001</v>
      </c>
      <c r="V116" s="9" t="str">
        <f t="shared" si="78"/>
        <v>01110001</v>
      </c>
      <c r="W116" s="9" t="str">
        <f t="shared" si="79"/>
        <v>01110001</v>
      </c>
      <c r="X116" s="9" t="str">
        <f t="shared" si="80"/>
        <v>71</v>
      </c>
      <c r="Y116" s="9" t="str">
        <f t="shared" si="81"/>
        <v>71</v>
      </c>
    </row>
    <row r="117" spans="1:36" x14ac:dyDescent="0.3"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K117" s="2" t="str">
        <f t="shared" si="69"/>
        <v>01</v>
      </c>
      <c r="L117" s="2" t="str">
        <f t="shared" si="70"/>
        <v>01</v>
      </c>
      <c r="M117" s="2" t="str">
        <f t="shared" si="71"/>
        <v>01</v>
      </c>
      <c r="N117" s="2" t="str">
        <f t="shared" si="72"/>
        <v>01</v>
      </c>
      <c r="O117" s="2" t="str">
        <f t="shared" si="73"/>
        <v>01</v>
      </c>
      <c r="P117" s="2" t="str">
        <f t="shared" si="74"/>
        <v>01</v>
      </c>
      <c r="Q117" s="2" t="str">
        <f t="shared" si="75"/>
        <v>01</v>
      </c>
      <c r="R117" s="2" t="str">
        <f t="shared" si="76"/>
        <v>01</v>
      </c>
      <c r="T117" t="str">
        <f t="shared" si="77"/>
        <v>0101010101010101</v>
      </c>
      <c r="V117" s="9" t="str">
        <f t="shared" si="78"/>
        <v>01010101</v>
      </c>
      <c r="W117" s="9" t="str">
        <f t="shared" si="79"/>
        <v>01010101</v>
      </c>
      <c r="X117" s="9" t="str">
        <f t="shared" si="80"/>
        <v>55</v>
      </c>
      <c r="Y117" s="9" t="str">
        <f t="shared" si="81"/>
        <v>55</v>
      </c>
    </row>
    <row r="118" spans="1:36" x14ac:dyDescent="0.3">
      <c r="B118" s="2">
        <v>1</v>
      </c>
      <c r="C118" s="2">
        <v>1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K118" s="2" t="str">
        <f t="shared" si="69"/>
        <v>01</v>
      </c>
      <c r="L118" s="2" t="str">
        <f t="shared" si="70"/>
        <v>01</v>
      </c>
      <c r="M118" s="2" t="str">
        <f t="shared" si="71"/>
        <v>01</v>
      </c>
      <c r="N118" s="2" t="str">
        <f t="shared" si="72"/>
        <v>01</v>
      </c>
      <c r="O118" s="2" t="str">
        <f t="shared" si="73"/>
        <v>01</v>
      </c>
      <c r="P118" s="2" t="str">
        <f t="shared" si="74"/>
        <v>01</v>
      </c>
      <c r="Q118" s="2" t="str">
        <f t="shared" si="75"/>
        <v>01</v>
      </c>
      <c r="R118" s="2" t="str">
        <f t="shared" si="76"/>
        <v>01</v>
      </c>
      <c r="T118" t="str">
        <f t="shared" si="77"/>
        <v>0101010101010101</v>
      </c>
      <c r="V118" s="9" t="str">
        <f t="shared" si="78"/>
        <v>01010101</v>
      </c>
      <c r="W118" s="9" t="str">
        <f t="shared" si="79"/>
        <v>01010101</v>
      </c>
      <c r="X118" s="9" t="str">
        <f t="shared" si="80"/>
        <v>55</v>
      </c>
      <c r="Y118" s="9" t="str">
        <f t="shared" si="81"/>
        <v>55</v>
      </c>
    </row>
    <row r="119" spans="1:36" x14ac:dyDescent="0.3"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K119" s="2" t="str">
        <f t="shared" si="69"/>
        <v>01</v>
      </c>
      <c r="L119" s="2" t="str">
        <f t="shared" si="70"/>
        <v>01</v>
      </c>
      <c r="M119" s="2" t="str">
        <f t="shared" si="71"/>
        <v>01</v>
      </c>
      <c r="N119" s="2" t="str">
        <f t="shared" si="72"/>
        <v>01</v>
      </c>
      <c r="O119" s="2" t="str">
        <f t="shared" si="73"/>
        <v>01</v>
      </c>
      <c r="P119" s="2" t="str">
        <f t="shared" si="74"/>
        <v>01</v>
      </c>
      <c r="Q119" s="2" t="str">
        <f t="shared" si="75"/>
        <v>01</v>
      </c>
      <c r="R119" s="2" t="str">
        <f t="shared" si="76"/>
        <v>01</v>
      </c>
      <c r="T119" t="str">
        <f t="shared" si="77"/>
        <v>0101010101010101</v>
      </c>
      <c r="V119" s="10" t="str">
        <f t="shared" si="78"/>
        <v>01010101</v>
      </c>
      <c r="W119" s="10" t="str">
        <f t="shared" si="79"/>
        <v>01010101</v>
      </c>
      <c r="X119" s="10" t="str">
        <f t="shared" si="80"/>
        <v>55</v>
      </c>
      <c r="Y119" s="10" t="str">
        <f t="shared" si="81"/>
        <v>55</v>
      </c>
    </row>
    <row r="120" spans="1:36" x14ac:dyDescent="0.3">
      <c r="A120" t="s">
        <v>15</v>
      </c>
      <c r="AJ120" t="str">
        <f>";"&amp;PROPER(A120)</f>
        <v>;Magic Wall 1</v>
      </c>
    </row>
    <row r="121" spans="1:36" x14ac:dyDescent="0.3">
      <c r="B121" s="2">
        <v>3</v>
      </c>
      <c r="C121" s="2">
        <v>3</v>
      </c>
      <c r="D121" s="2">
        <v>3</v>
      </c>
      <c r="E121" s="2">
        <v>3</v>
      </c>
      <c r="F121" s="2">
        <v>3</v>
      </c>
      <c r="G121" s="2">
        <v>3</v>
      </c>
      <c r="H121" s="2">
        <v>3</v>
      </c>
      <c r="I121" s="2">
        <v>3</v>
      </c>
      <c r="K121" s="2" t="str">
        <f t="shared" ref="K121:K136" si="83">DEC2BIN(B121,2)</f>
        <v>11</v>
      </c>
      <c r="L121" s="2" t="str">
        <f t="shared" ref="L121:L136" si="84">DEC2BIN(C121,2)</f>
        <v>11</v>
      </c>
      <c r="M121" s="2" t="str">
        <f t="shared" ref="M121:M136" si="85">DEC2BIN(D121,2)</f>
        <v>11</v>
      </c>
      <c r="N121" s="2" t="str">
        <f t="shared" ref="N121:N136" si="86">DEC2BIN(E121,2)</f>
        <v>11</v>
      </c>
      <c r="O121" s="2" t="str">
        <f t="shared" ref="O121:O136" si="87">DEC2BIN(F121,2)</f>
        <v>11</v>
      </c>
      <c r="P121" s="2" t="str">
        <f t="shared" ref="P121:P136" si="88">DEC2BIN(G121,2)</f>
        <v>11</v>
      </c>
      <c r="Q121" s="2" t="str">
        <f t="shared" ref="Q121:Q136" si="89">DEC2BIN(H121,2)</f>
        <v>11</v>
      </c>
      <c r="R121" s="2" t="str">
        <f t="shared" ref="R121:R136" si="90">DEC2BIN(I121,2)</f>
        <v>11</v>
      </c>
      <c r="T121" t="str">
        <f t="shared" ref="T121:T136" si="91">_xlfn.CONCAT(K121:R121)</f>
        <v>1111111111111111</v>
      </c>
      <c r="V121" s="8" t="str">
        <f>LEFT(T121,8)</f>
        <v>11111111</v>
      </c>
      <c r="W121" s="8" t="str">
        <f>RIGHT(T121,8)</f>
        <v>11111111</v>
      </c>
      <c r="X121" s="8" t="str">
        <f>BIN2HEX(V121,2)</f>
        <v>FF</v>
      </c>
      <c r="Y121" s="8" t="str">
        <f>BIN2HEX(W121,2)</f>
        <v>FF</v>
      </c>
      <c r="AA121" t="str" cm="1">
        <f t="array" ref="AA121:AH121">TRANSPOSE(X121:X128)</f>
        <v>FF</v>
      </c>
      <c r="AB121" t="str">
        <v>DF</v>
      </c>
      <c r="AC121" t="str">
        <v>D5</v>
      </c>
      <c r="AD121" t="str">
        <v>C0</v>
      </c>
      <c r="AE121" t="str">
        <v>F3</v>
      </c>
      <c r="AF121" t="str">
        <v>F3</v>
      </c>
      <c r="AG121" t="str">
        <v>53</v>
      </c>
      <c r="AH121" t="str">
        <v>03</v>
      </c>
      <c r="AJ121" t="str">
        <f>LOWER("!byte $"&amp;AA121&amp;", $"&amp;AB121&amp;", $"&amp;AC121&amp;", $"&amp;AD121&amp;", $"&amp;AE121&amp;", $"&amp;AF121&amp;", $"&amp;AG121&amp;", $"&amp;AH121)</f>
        <v>!byte $ff, $df, $d5, $c0, $f3, $f3, $53, $03</v>
      </c>
    </row>
    <row r="122" spans="1:36" x14ac:dyDescent="0.3">
      <c r="B122" s="2">
        <v>3</v>
      </c>
      <c r="C122" s="2">
        <v>1</v>
      </c>
      <c r="D122" s="2">
        <v>3</v>
      </c>
      <c r="E122" s="2">
        <v>3</v>
      </c>
      <c r="F122" s="2">
        <v>3</v>
      </c>
      <c r="G122" s="2">
        <v>1</v>
      </c>
      <c r="H122" s="2">
        <v>3</v>
      </c>
      <c r="I122" s="2">
        <v>3</v>
      </c>
      <c r="K122" s="2" t="str">
        <f t="shared" si="83"/>
        <v>11</v>
      </c>
      <c r="L122" s="2" t="str">
        <f t="shared" si="84"/>
        <v>01</v>
      </c>
      <c r="M122" s="2" t="str">
        <f t="shared" si="85"/>
        <v>11</v>
      </c>
      <c r="N122" s="2" t="str">
        <f t="shared" si="86"/>
        <v>11</v>
      </c>
      <c r="O122" s="2" t="str">
        <f t="shared" si="87"/>
        <v>11</v>
      </c>
      <c r="P122" s="2" t="str">
        <f t="shared" si="88"/>
        <v>01</v>
      </c>
      <c r="Q122" s="2" t="str">
        <f t="shared" si="89"/>
        <v>11</v>
      </c>
      <c r="R122" s="2" t="str">
        <f t="shared" si="90"/>
        <v>11</v>
      </c>
      <c r="T122" t="str">
        <f t="shared" si="91"/>
        <v>1101111111011111</v>
      </c>
      <c r="V122" s="9" t="str">
        <f t="shared" ref="V122:V136" si="92">LEFT(T122,8)</f>
        <v>11011111</v>
      </c>
      <c r="W122" s="9" t="str">
        <f t="shared" ref="W122:W136" si="93">RIGHT(T122,8)</f>
        <v>11011111</v>
      </c>
      <c r="X122" s="9" t="str">
        <f t="shared" ref="X122:X136" si="94">BIN2HEX(V122,2)</f>
        <v>DF</v>
      </c>
      <c r="Y122" s="9" t="str">
        <f t="shared" ref="Y122:Y136" si="95">BIN2HEX(W122,2)</f>
        <v>DF</v>
      </c>
      <c r="AA122" t="str" cm="1">
        <f t="array" ref="AA122:AH122">TRANSPOSE(X129:X136)</f>
        <v>FF</v>
      </c>
      <c r="AB122" t="str">
        <v>DF</v>
      </c>
      <c r="AC122" t="str">
        <v>D5</v>
      </c>
      <c r="AD122" t="str">
        <v>C0</v>
      </c>
      <c r="AE122" t="str">
        <v>F3</v>
      </c>
      <c r="AF122" t="str">
        <v>F3</v>
      </c>
      <c r="AG122" t="str">
        <v>53</v>
      </c>
      <c r="AH122" t="str">
        <v>03</v>
      </c>
      <c r="AJ122" t="str">
        <f t="shared" ref="AJ122:AJ124" si="96">LOWER("!byte $"&amp;AA122&amp;", $"&amp;AB122&amp;", $"&amp;AC122&amp;", $"&amp;AD122&amp;", $"&amp;AE122&amp;", $"&amp;AF122&amp;", $"&amp;AG122&amp;", $"&amp;AH122)</f>
        <v>!byte $ff, $df, $d5, $c0, $f3, $f3, $53, $03</v>
      </c>
    </row>
    <row r="123" spans="1:36" x14ac:dyDescent="0.3">
      <c r="B123" s="2">
        <v>3</v>
      </c>
      <c r="C123" s="2">
        <v>1</v>
      </c>
      <c r="D123" s="2">
        <v>1</v>
      </c>
      <c r="E123" s="2">
        <v>1</v>
      </c>
      <c r="F123" s="2">
        <v>3</v>
      </c>
      <c r="G123" s="2">
        <v>1</v>
      </c>
      <c r="H123" s="2">
        <v>1</v>
      </c>
      <c r="I123" s="2">
        <v>1</v>
      </c>
      <c r="K123" s="2" t="str">
        <f t="shared" si="83"/>
        <v>11</v>
      </c>
      <c r="L123" s="2" t="str">
        <f t="shared" si="84"/>
        <v>01</v>
      </c>
      <c r="M123" s="2" t="str">
        <f t="shared" si="85"/>
        <v>01</v>
      </c>
      <c r="N123" s="2" t="str">
        <f t="shared" si="86"/>
        <v>01</v>
      </c>
      <c r="O123" s="2" t="str">
        <f t="shared" si="87"/>
        <v>11</v>
      </c>
      <c r="P123" s="2" t="str">
        <f t="shared" si="88"/>
        <v>01</v>
      </c>
      <c r="Q123" s="2" t="str">
        <f t="shared" si="89"/>
        <v>01</v>
      </c>
      <c r="R123" s="2" t="str">
        <f t="shared" si="90"/>
        <v>01</v>
      </c>
      <c r="T123" t="str">
        <f t="shared" si="91"/>
        <v>1101010111010101</v>
      </c>
      <c r="V123" s="9" t="str">
        <f t="shared" si="92"/>
        <v>11010101</v>
      </c>
      <c r="W123" s="9" t="str">
        <f t="shared" si="93"/>
        <v>11010101</v>
      </c>
      <c r="X123" s="9" t="str">
        <f t="shared" si="94"/>
        <v>D5</v>
      </c>
      <c r="Y123" s="9" t="str">
        <f t="shared" si="95"/>
        <v>D5</v>
      </c>
      <c r="AA123" t="str" cm="1">
        <f t="array" ref="AA123:AH123">TRANSPOSE(Y121:Y128)</f>
        <v>FF</v>
      </c>
      <c r="AB123" t="str">
        <v>DF</v>
      </c>
      <c r="AC123" t="str">
        <v>D5</v>
      </c>
      <c r="AD123" t="str">
        <v>C0</v>
      </c>
      <c r="AE123" t="str">
        <v>F3</v>
      </c>
      <c r="AF123" t="str">
        <v>F3</v>
      </c>
      <c r="AG123" t="str">
        <v>53</v>
      </c>
      <c r="AH123" t="str">
        <v>03</v>
      </c>
      <c r="AJ123" t="str">
        <f t="shared" si="96"/>
        <v>!byte $ff, $df, $d5, $c0, $f3, $f3, $53, $03</v>
      </c>
    </row>
    <row r="124" spans="1:36" x14ac:dyDescent="0.3">
      <c r="B124" s="2">
        <v>3</v>
      </c>
      <c r="C124" s="2">
        <v>0</v>
      </c>
      <c r="D124" s="2">
        <v>0</v>
      </c>
      <c r="E124" s="2">
        <v>0</v>
      </c>
      <c r="F124" s="2">
        <v>3</v>
      </c>
      <c r="G124" s="2">
        <v>0</v>
      </c>
      <c r="H124" s="2">
        <v>0</v>
      </c>
      <c r="I124" s="2">
        <v>0</v>
      </c>
      <c r="K124" s="2" t="str">
        <f t="shared" si="83"/>
        <v>11</v>
      </c>
      <c r="L124" s="2" t="str">
        <f t="shared" si="84"/>
        <v>00</v>
      </c>
      <c r="M124" s="2" t="str">
        <f t="shared" si="85"/>
        <v>00</v>
      </c>
      <c r="N124" s="2" t="str">
        <f t="shared" si="86"/>
        <v>00</v>
      </c>
      <c r="O124" s="2" t="str">
        <f t="shared" si="87"/>
        <v>11</v>
      </c>
      <c r="P124" s="2" t="str">
        <f t="shared" si="88"/>
        <v>00</v>
      </c>
      <c r="Q124" s="2" t="str">
        <f t="shared" si="89"/>
        <v>00</v>
      </c>
      <c r="R124" s="2" t="str">
        <f t="shared" si="90"/>
        <v>00</v>
      </c>
      <c r="T124" t="str">
        <f t="shared" si="91"/>
        <v>1100000011000000</v>
      </c>
      <c r="V124" s="9" t="str">
        <f t="shared" si="92"/>
        <v>11000000</v>
      </c>
      <c r="W124" s="9" t="str">
        <f t="shared" si="93"/>
        <v>11000000</v>
      </c>
      <c r="X124" s="9" t="str">
        <f t="shared" si="94"/>
        <v>C0</v>
      </c>
      <c r="Y124" s="9" t="str">
        <f t="shared" si="95"/>
        <v>C0</v>
      </c>
      <c r="AA124" t="str" cm="1">
        <f t="array" ref="AA124:AH124">TRANSPOSE(Y129:Y136)</f>
        <v>FF</v>
      </c>
      <c r="AB124" t="str">
        <v>DF</v>
      </c>
      <c r="AC124" t="str">
        <v>D5</v>
      </c>
      <c r="AD124" t="str">
        <v>C0</v>
      </c>
      <c r="AE124" t="str">
        <v>F3</v>
      </c>
      <c r="AF124" t="str">
        <v>F3</v>
      </c>
      <c r="AG124" t="str">
        <v>53</v>
      </c>
      <c r="AH124" t="str">
        <v>03</v>
      </c>
      <c r="AJ124" t="str">
        <f t="shared" si="96"/>
        <v>!byte $ff, $df, $d5, $c0, $f3, $f3, $53, $03</v>
      </c>
    </row>
    <row r="125" spans="1:36" x14ac:dyDescent="0.3">
      <c r="B125" s="2">
        <v>3</v>
      </c>
      <c r="C125" s="2">
        <v>3</v>
      </c>
      <c r="D125" s="2">
        <v>0</v>
      </c>
      <c r="E125" s="2">
        <v>3</v>
      </c>
      <c r="F125" s="2">
        <v>3</v>
      </c>
      <c r="G125" s="2">
        <v>3</v>
      </c>
      <c r="H125" s="2">
        <v>0</v>
      </c>
      <c r="I125" s="2">
        <v>3</v>
      </c>
      <c r="K125" s="2" t="str">
        <f t="shared" si="83"/>
        <v>11</v>
      </c>
      <c r="L125" s="2" t="str">
        <f t="shared" si="84"/>
        <v>11</v>
      </c>
      <c r="M125" s="2" t="str">
        <f t="shared" si="85"/>
        <v>00</v>
      </c>
      <c r="N125" s="2" t="str">
        <f t="shared" si="86"/>
        <v>11</v>
      </c>
      <c r="O125" s="2" t="str">
        <f t="shared" si="87"/>
        <v>11</v>
      </c>
      <c r="P125" s="2" t="str">
        <f t="shared" si="88"/>
        <v>11</v>
      </c>
      <c r="Q125" s="2" t="str">
        <f t="shared" si="89"/>
        <v>00</v>
      </c>
      <c r="R125" s="2" t="str">
        <f t="shared" si="90"/>
        <v>11</v>
      </c>
      <c r="T125" t="str">
        <f t="shared" si="91"/>
        <v>1111001111110011</v>
      </c>
      <c r="V125" s="9" t="str">
        <f t="shared" si="92"/>
        <v>11110011</v>
      </c>
      <c r="W125" s="9" t="str">
        <f t="shared" si="93"/>
        <v>11110011</v>
      </c>
      <c r="X125" s="9" t="str">
        <f t="shared" si="94"/>
        <v>F3</v>
      </c>
      <c r="Y125" s="9" t="str">
        <f t="shared" si="95"/>
        <v>F3</v>
      </c>
    </row>
    <row r="126" spans="1:36" x14ac:dyDescent="0.3">
      <c r="B126" s="2">
        <v>3</v>
      </c>
      <c r="C126" s="2">
        <v>3</v>
      </c>
      <c r="D126" s="2">
        <v>0</v>
      </c>
      <c r="E126" s="2">
        <v>3</v>
      </c>
      <c r="F126" s="2">
        <v>3</v>
      </c>
      <c r="G126" s="2">
        <v>3</v>
      </c>
      <c r="H126" s="2">
        <v>0</v>
      </c>
      <c r="I126" s="2">
        <v>3</v>
      </c>
      <c r="K126" s="2" t="str">
        <f t="shared" si="83"/>
        <v>11</v>
      </c>
      <c r="L126" s="2" t="str">
        <f t="shared" si="84"/>
        <v>11</v>
      </c>
      <c r="M126" s="2" t="str">
        <f t="shared" si="85"/>
        <v>00</v>
      </c>
      <c r="N126" s="2" t="str">
        <f t="shared" si="86"/>
        <v>11</v>
      </c>
      <c r="O126" s="2" t="str">
        <f t="shared" si="87"/>
        <v>11</v>
      </c>
      <c r="P126" s="2" t="str">
        <f t="shared" si="88"/>
        <v>11</v>
      </c>
      <c r="Q126" s="2" t="str">
        <f t="shared" si="89"/>
        <v>00</v>
      </c>
      <c r="R126" s="2" t="str">
        <f t="shared" si="90"/>
        <v>11</v>
      </c>
      <c r="T126" t="str">
        <f t="shared" si="91"/>
        <v>1111001111110011</v>
      </c>
      <c r="V126" s="9" t="str">
        <f t="shared" si="92"/>
        <v>11110011</v>
      </c>
      <c r="W126" s="9" t="str">
        <f t="shared" si="93"/>
        <v>11110011</v>
      </c>
      <c r="X126" s="9" t="str">
        <f t="shared" si="94"/>
        <v>F3</v>
      </c>
      <c r="Y126" s="9" t="str">
        <f t="shared" si="95"/>
        <v>F3</v>
      </c>
    </row>
    <row r="127" spans="1:36" x14ac:dyDescent="0.3">
      <c r="B127" s="2">
        <v>1</v>
      </c>
      <c r="C127" s="2">
        <v>1</v>
      </c>
      <c r="D127" s="2">
        <v>0</v>
      </c>
      <c r="E127" s="2">
        <v>3</v>
      </c>
      <c r="F127" s="2">
        <v>1</v>
      </c>
      <c r="G127" s="2">
        <v>1</v>
      </c>
      <c r="H127" s="2">
        <v>0</v>
      </c>
      <c r="I127" s="2">
        <v>3</v>
      </c>
      <c r="K127" s="2" t="str">
        <f t="shared" si="83"/>
        <v>01</v>
      </c>
      <c r="L127" s="2" t="str">
        <f t="shared" si="84"/>
        <v>01</v>
      </c>
      <c r="M127" s="2" t="str">
        <f t="shared" si="85"/>
        <v>00</v>
      </c>
      <c r="N127" s="2" t="str">
        <f t="shared" si="86"/>
        <v>11</v>
      </c>
      <c r="O127" s="2" t="str">
        <f t="shared" si="87"/>
        <v>01</v>
      </c>
      <c r="P127" s="2" t="str">
        <f t="shared" si="88"/>
        <v>01</v>
      </c>
      <c r="Q127" s="2" t="str">
        <f t="shared" si="89"/>
        <v>00</v>
      </c>
      <c r="R127" s="2" t="str">
        <f t="shared" si="90"/>
        <v>11</v>
      </c>
      <c r="T127" t="str">
        <f t="shared" si="91"/>
        <v>0101001101010011</v>
      </c>
      <c r="V127" s="9" t="str">
        <f t="shared" si="92"/>
        <v>01010011</v>
      </c>
      <c r="W127" s="9" t="str">
        <f t="shared" si="93"/>
        <v>01010011</v>
      </c>
      <c r="X127" s="9" t="str">
        <f t="shared" si="94"/>
        <v>53</v>
      </c>
      <c r="Y127" s="9" t="str">
        <f t="shared" si="95"/>
        <v>53</v>
      </c>
    </row>
    <row r="128" spans="1:36" x14ac:dyDescent="0.3">
      <c r="B128" s="2">
        <v>0</v>
      </c>
      <c r="C128" s="2">
        <v>0</v>
      </c>
      <c r="D128" s="2">
        <v>0</v>
      </c>
      <c r="E128" s="2">
        <v>3</v>
      </c>
      <c r="F128" s="2">
        <v>0</v>
      </c>
      <c r="G128" s="2">
        <v>0</v>
      </c>
      <c r="H128" s="2">
        <v>0</v>
      </c>
      <c r="I128" s="2">
        <v>3</v>
      </c>
      <c r="K128" s="2" t="str">
        <f t="shared" si="83"/>
        <v>00</v>
      </c>
      <c r="L128" s="2" t="str">
        <f t="shared" si="84"/>
        <v>00</v>
      </c>
      <c r="M128" s="2" t="str">
        <f t="shared" si="85"/>
        <v>00</v>
      </c>
      <c r="N128" s="2" t="str">
        <f t="shared" si="86"/>
        <v>11</v>
      </c>
      <c r="O128" s="2" t="str">
        <f t="shared" si="87"/>
        <v>00</v>
      </c>
      <c r="P128" s="2" t="str">
        <f t="shared" si="88"/>
        <v>00</v>
      </c>
      <c r="Q128" s="2" t="str">
        <f t="shared" si="89"/>
        <v>00</v>
      </c>
      <c r="R128" s="2" t="str">
        <f t="shared" si="90"/>
        <v>11</v>
      </c>
      <c r="T128" t="str">
        <f t="shared" si="91"/>
        <v>0000001100000011</v>
      </c>
      <c r="V128" s="10" t="str">
        <f t="shared" si="92"/>
        <v>00000011</v>
      </c>
      <c r="W128" s="10" t="str">
        <f t="shared" si="93"/>
        <v>00000011</v>
      </c>
      <c r="X128" s="10" t="str">
        <f t="shared" si="94"/>
        <v>03</v>
      </c>
      <c r="Y128" s="10" t="str">
        <f t="shared" si="95"/>
        <v>03</v>
      </c>
    </row>
    <row r="129" spans="1:36" x14ac:dyDescent="0.3">
      <c r="B129" s="2">
        <v>3</v>
      </c>
      <c r="C129" s="2">
        <v>3</v>
      </c>
      <c r="D129" s="2">
        <v>3</v>
      </c>
      <c r="E129" s="2">
        <v>3</v>
      </c>
      <c r="F129" s="2">
        <v>3</v>
      </c>
      <c r="G129" s="2">
        <v>3</v>
      </c>
      <c r="H129" s="2">
        <v>3</v>
      </c>
      <c r="I129" s="2">
        <v>3</v>
      </c>
      <c r="K129" s="2" t="str">
        <f t="shared" si="83"/>
        <v>11</v>
      </c>
      <c r="L129" s="2" t="str">
        <f t="shared" si="84"/>
        <v>11</v>
      </c>
      <c r="M129" s="2" t="str">
        <f t="shared" si="85"/>
        <v>11</v>
      </c>
      <c r="N129" s="2" t="str">
        <f t="shared" si="86"/>
        <v>11</v>
      </c>
      <c r="O129" s="2" t="str">
        <f t="shared" si="87"/>
        <v>11</v>
      </c>
      <c r="P129" s="2" t="str">
        <f t="shared" si="88"/>
        <v>11</v>
      </c>
      <c r="Q129" s="2" t="str">
        <f t="shared" si="89"/>
        <v>11</v>
      </c>
      <c r="R129" s="2" t="str">
        <f t="shared" si="90"/>
        <v>11</v>
      </c>
      <c r="T129" t="str">
        <f t="shared" si="91"/>
        <v>1111111111111111</v>
      </c>
      <c r="V129" s="8" t="str">
        <f t="shared" si="92"/>
        <v>11111111</v>
      </c>
      <c r="W129" s="8" t="str">
        <f t="shared" si="93"/>
        <v>11111111</v>
      </c>
      <c r="X129" s="8" t="str">
        <f t="shared" si="94"/>
        <v>FF</v>
      </c>
      <c r="Y129" s="8" t="str">
        <f t="shared" si="95"/>
        <v>FF</v>
      </c>
    </row>
    <row r="130" spans="1:36" x14ac:dyDescent="0.3">
      <c r="B130" s="2">
        <v>3</v>
      </c>
      <c r="C130" s="2">
        <v>1</v>
      </c>
      <c r="D130" s="2">
        <v>3</v>
      </c>
      <c r="E130" s="2">
        <v>3</v>
      </c>
      <c r="F130" s="2">
        <v>3</v>
      </c>
      <c r="G130" s="2">
        <v>1</v>
      </c>
      <c r="H130" s="2">
        <v>3</v>
      </c>
      <c r="I130" s="2">
        <v>3</v>
      </c>
      <c r="K130" s="2" t="str">
        <f t="shared" si="83"/>
        <v>11</v>
      </c>
      <c r="L130" s="2" t="str">
        <f t="shared" si="84"/>
        <v>01</v>
      </c>
      <c r="M130" s="2" t="str">
        <f t="shared" si="85"/>
        <v>11</v>
      </c>
      <c r="N130" s="2" t="str">
        <f t="shared" si="86"/>
        <v>11</v>
      </c>
      <c r="O130" s="2" t="str">
        <f t="shared" si="87"/>
        <v>11</v>
      </c>
      <c r="P130" s="2" t="str">
        <f t="shared" si="88"/>
        <v>01</v>
      </c>
      <c r="Q130" s="2" t="str">
        <f t="shared" si="89"/>
        <v>11</v>
      </c>
      <c r="R130" s="2" t="str">
        <f t="shared" si="90"/>
        <v>11</v>
      </c>
      <c r="T130" t="str">
        <f t="shared" si="91"/>
        <v>1101111111011111</v>
      </c>
      <c r="V130" s="9" t="str">
        <f t="shared" si="92"/>
        <v>11011111</v>
      </c>
      <c r="W130" s="9" t="str">
        <f t="shared" si="93"/>
        <v>11011111</v>
      </c>
      <c r="X130" s="9" t="str">
        <f t="shared" si="94"/>
        <v>DF</v>
      </c>
      <c r="Y130" s="9" t="str">
        <f t="shared" si="95"/>
        <v>DF</v>
      </c>
    </row>
    <row r="131" spans="1:36" x14ac:dyDescent="0.3">
      <c r="B131" s="2">
        <v>3</v>
      </c>
      <c r="C131" s="2">
        <v>1</v>
      </c>
      <c r="D131" s="2">
        <v>1</v>
      </c>
      <c r="E131" s="2">
        <v>1</v>
      </c>
      <c r="F131" s="2">
        <v>3</v>
      </c>
      <c r="G131" s="2">
        <v>1</v>
      </c>
      <c r="H131" s="2">
        <v>1</v>
      </c>
      <c r="I131" s="2">
        <v>1</v>
      </c>
      <c r="K131" s="2" t="str">
        <f t="shared" si="83"/>
        <v>11</v>
      </c>
      <c r="L131" s="2" t="str">
        <f t="shared" si="84"/>
        <v>01</v>
      </c>
      <c r="M131" s="2" t="str">
        <f t="shared" si="85"/>
        <v>01</v>
      </c>
      <c r="N131" s="2" t="str">
        <f t="shared" si="86"/>
        <v>01</v>
      </c>
      <c r="O131" s="2" t="str">
        <f t="shared" si="87"/>
        <v>11</v>
      </c>
      <c r="P131" s="2" t="str">
        <f t="shared" si="88"/>
        <v>01</v>
      </c>
      <c r="Q131" s="2" t="str">
        <f t="shared" si="89"/>
        <v>01</v>
      </c>
      <c r="R131" s="2" t="str">
        <f t="shared" si="90"/>
        <v>01</v>
      </c>
      <c r="T131" t="str">
        <f t="shared" si="91"/>
        <v>1101010111010101</v>
      </c>
      <c r="V131" s="9" t="str">
        <f t="shared" si="92"/>
        <v>11010101</v>
      </c>
      <c r="W131" s="9" t="str">
        <f t="shared" si="93"/>
        <v>11010101</v>
      </c>
      <c r="X131" s="9" t="str">
        <f t="shared" si="94"/>
        <v>D5</v>
      </c>
      <c r="Y131" s="9" t="str">
        <f t="shared" si="95"/>
        <v>D5</v>
      </c>
    </row>
    <row r="132" spans="1:36" x14ac:dyDescent="0.3">
      <c r="B132" s="2">
        <v>3</v>
      </c>
      <c r="C132" s="2">
        <v>0</v>
      </c>
      <c r="D132" s="2">
        <v>0</v>
      </c>
      <c r="E132" s="2">
        <v>0</v>
      </c>
      <c r="F132" s="2">
        <v>3</v>
      </c>
      <c r="G132" s="2">
        <v>0</v>
      </c>
      <c r="H132" s="2">
        <v>0</v>
      </c>
      <c r="I132" s="2">
        <v>0</v>
      </c>
      <c r="K132" s="2" t="str">
        <f t="shared" si="83"/>
        <v>11</v>
      </c>
      <c r="L132" s="2" t="str">
        <f t="shared" si="84"/>
        <v>00</v>
      </c>
      <c r="M132" s="2" t="str">
        <f t="shared" si="85"/>
        <v>00</v>
      </c>
      <c r="N132" s="2" t="str">
        <f t="shared" si="86"/>
        <v>00</v>
      </c>
      <c r="O132" s="2" t="str">
        <f t="shared" si="87"/>
        <v>11</v>
      </c>
      <c r="P132" s="2" t="str">
        <f t="shared" si="88"/>
        <v>00</v>
      </c>
      <c r="Q132" s="2" t="str">
        <f t="shared" si="89"/>
        <v>00</v>
      </c>
      <c r="R132" s="2" t="str">
        <f t="shared" si="90"/>
        <v>00</v>
      </c>
      <c r="T132" t="str">
        <f t="shared" si="91"/>
        <v>1100000011000000</v>
      </c>
      <c r="V132" s="9" t="str">
        <f t="shared" si="92"/>
        <v>11000000</v>
      </c>
      <c r="W132" s="9" t="str">
        <f t="shared" si="93"/>
        <v>11000000</v>
      </c>
      <c r="X132" s="9" t="str">
        <f t="shared" si="94"/>
        <v>C0</v>
      </c>
      <c r="Y132" s="9" t="str">
        <f t="shared" si="95"/>
        <v>C0</v>
      </c>
    </row>
    <row r="133" spans="1:36" x14ac:dyDescent="0.3">
      <c r="B133" s="2">
        <v>3</v>
      </c>
      <c r="C133" s="2">
        <v>3</v>
      </c>
      <c r="D133" s="2">
        <v>0</v>
      </c>
      <c r="E133" s="2">
        <v>3</v>
      </c>
      <c r="F133" s="2">
        <v>3</v>
      </c>
      <c r="G133" s="2">
        <v>3</v>
      </c>
      <c r="H133" s="2">
        <v>0</v>
      </c>
      <c r="I133" s="2">
        <v>3</v>
      </c>
      <c r="K133" s="2" t="str">
        <f t="shared" si="83"/>
        <v>11</v>
      </c>
      <c r="L133" s="2" t="str">
        <f t="shared" si="84"/>
        <v>11</v>
      </c>
      <c r="M133" s="2" t="str">
        <f t="shared" si="85"/>
        <v>00</v>
      </c>
      <c r="N133" s="2" t="str">
        <f t="shared" si="86"/>
        <v>11</v>
      </c>
      <c r="O133" s="2" t="str">
        <f t="shared" si="87"/>
        <v>11</v>
      </c>
      <c r="P133" s="2" t="str">
        <f t="shared" si="88"/>
        <v>11</v>
      </c>
      <c r="Q133" s="2" t="str">
        <f t="shared" si="89"/>
        <v>00</v>
      </c>
      <c r="R133" s="2" t="str">
        <f t="shared" si="90"/>
        <v>11</v>
      </c>
      <c r="T133" t="str">
        <f t="shared" si="91"/>
        <v>1111001111110011</v>
      </c>
      <c r="V133" s="9" t="str">
        <f t="shared" si="92"/>
        <v>11110011</v>
      </c>
      <c r="W133" s="9" t="str">
        <f t="shared" si="93"/>
        <v>11110011</v>
      </c>
      <c r="X133" s="9" t="str">
        <f t="shared" si="94"/>
        <v>F3</v>
      </c>
      <c r="Y133" s="9" t="str">
        <f t="shared" si="95"/>
        <v>F3</v>
      </c>
    </row>
    <row r="134" spans="1:36" x14ac:dyDescent="0.3">
      <c r="B134" s="2">
        <v>3</v>
      </c>
      <c r="C134" s="2">
        <v>3</v>
      </c>
      <c r="D134" s="2">
        <v>0</v>
      </c>
      <c r="E134" s="2">
        <v>3</v>
      </c>
      <c r="F134" s="2">
        <v>3</v>
      </c>
      <c r="G134" s="2">
        <v>3</v>
      </c>
      <c r="H134" s="2">
        <v>0</v>
      </c>
      <c r="I134" s="2">
        <v>3</v>
      </c>
      <c r="K134" s="2" t="str">
        <f t="shared" si="83"/>
        <v>11</v>
      </c>
      <c r="L134" s="2" t="str">
        <f t="shared" si="84"/>
        <v>11</v>
      </c>
      <c r="M134" s="2" t="str">
        <f t="shared" si="85"/>
        <v>00</v>
      </c>
      <c r="N134" s="2" t="str">
        <f t="shared" si="86"/>
        <v>11</v>
      </c>
      <c r="O134" s="2" t="str">
        <f t="shared" si="87"/>
        <v>11</v>
      </c>
      <c r="P134" s="2" t="str">
        <f t="shared" si="88"/>
        <v>11</v>
      </c>
      <c r="Q134" s="2" t="str">
        <f t="shared" si="89"/>
        <v>00</v>
      </c>
      <c r="R134" s="2" t="str">
        <f t="shared" si="90"/>
        <v>11</v>
      </c>
      <c r="T134" t="str">
        <f t="shared" si="91"/>
        <v>1111001111110011</v>
      </c>
      <c r="V134" s="9" t="str">
        <f t="shared" si="92"/>
        <v>11110011</v>
      </c>
      <c r="W134" s="9" t="str">
        <f t="shared" si="93"/>
        <v>11110011</v>
      </c>
      <c r="X134" s="9" t="str">
        <f t="shared" si="94"/>
        <v>F3</v>
      </c>
      <c r="Y134" s="9" t="str">
        <f t="shared" si="95"/>
        <v>F3</v>
      </c>
    </row>
    <row r="135" spans="1:36" x14ac:dyDescent="0.3">
      <c r="B135" s="2">
        <v>1</v>
      </c>
      <c r="C135" s="2">
        <v>1</v>
      </c>
      <c r="D135" s="2">
        <v>0</v>
      </c>
      <c r="E135" s="2">
        <v>3</v>
      </c>
      <c r="F135" s="2">
        <v>1</v>
      </c>
      <c r="G135" s="2">
        <v>1</v>
      </c>
      <c r="H135" s="2">
        <v>0</v>
      </c>
      <c r="I135" s="2">
        <v>3</v>
      </c>
      <c r="K135" s="2" t="str">
        <f t="shared" si="83"/>
        <v>01</v>
      </c>
      <c r="L135" s="2" t="str">
        <f t="shared" si="84"/>
        <v>01</v>
      </c>
      <c r="M135" s="2" t="str">
        <f t="shared" si="85"/>
        <v>00</v>
      </c>
      <c r="N135" s="2" t="str">
        <f t="shared" si="86"/>
        <v>11</v>
      </c>
      <c r="O135" s="2" t="str">
        <f t="shared" si="87"/>
        <v>01</v>
      </c>
      <c r="P135" s="2" t="str">
        <f t="shared" si="88"/>
        <v>01</v>
      </c>
      <c r="Q135" s="2" t="str">
        <f t="shared" si="89"/>
        <v>00</v>
      </c>
      <c r="R135" s="2" t="str">
        <f t="shared" si="90"/>
        <v>11</v>
      </c>
      <c r="T135" t="str">
        <f t="shared" si="91"/>
        <v>0101001101010011</v>
      </c>
      <c r="V135" s="9" t="str">
        <f t="shared" si="92"/>
        <v>01010011</v>
      </c>
      <c r="W135" s="9" t="str">
        <f t="shared" si="93"/>
        <v>01010011</v>
      </c>
      <c r="X135" s="9" t="str">
        <f t="shared" si="94"/>
        <v>53</v>
      </c>
      <c r="Y135" s="9" t="str">
        <f t="shared" si="95"/>
        <v>53</v>
      </c>
    </row>
    <row r="136" spans="1:36" x14ac:dyDescent="0.3">
      <c r="B136" s="2">
        <v>0</v>
      </c>
      <c r="C136" s="2">
        <v>0</v>
      </c>
      <c r="D136" s="2">
        <v>0</v>
      </c>
      <c r="E136" s="2">
        <v>3</v>
      </c>
      <c r="F136" s="2">
        <v>0</v>
      </c>
      <c r="G136" s="2">
        <v>0</v>
      </c>
      <c r="H136" s="2">
        <v>0</v>
      </c>
      <c r="I136" s="2">
        <v>3</v>
      </c>
      <c r="K136" s="2" t="str">
        <f t="shared" si="83"/>
        <v>00</v>
      </c>
      <c r="L136" s="2" t="str">
        <f t="shared" si="84"/>
        <v>00</v>
      </c>
      <c r="M136" s="2" t="str">
        <f t="shared" si="85"/>
        <v>00</v>
      </c>
      <c r="N136" s="2" t="str">
        <f t="shared" si="86"/>
        <v>11</v>
      </c>
      <c r="O136" s="2" t="str">
        <f t="shared" si="87"/>
        <v>00</v>
      </c>
      <c r="P136" s="2" t="str">
        <f t="shared" si="88"/>
        <v>00</v>
      </c>
      <c r="Q136" s="2" t="str">
        <f t="shared" si="89"/>
        <v>00</v>
      </c>
      <c r="R136" s="2" t="str">
        <f t="shared" si="90"/>
        <v>11</v>
      </c>
      <c r="T136" t="str">
        <f t="shared" si="91"/>
        <v>0000001100000011</v>
      </c>
      <c r="V136" s="10" t="str">
        <f t="shared" si="92"/>
        <v>00000011</v>
      </c>
      <c r="W136" s="10" t="str">
        <f t="shared" si="93"/>
        <v>00000011</v>
      </c>
      <c r="X136" s="10" t="str">
        <f t="shared" si="94"/>
        <v>03</v>
      </c>
      <c r="Y136" s="10" t="str">
        <f t="shared" si="95"/>
        <v>03</v>
      </c>
    </row>
    <row r="137" spans="1:36" x14ac:dyDescent="0.3">
      <c r="A137" t="s">
        <v>17</v>
      </c>
      <c r="AJ137" t="str">
        <f>";"&amp;PROPER(A137)</f>
        <v>;Magic Wall 2</v>
      </c>
    </row>
    <row r="138" spans="1:36" x14ac:dyDescent="0.3">
      <c r="B138" s="2">
        <v>0</v>
      </c>
      <c r="C138" s="2">
        <v>3</v>
      </c>
      <c r="D138" s="2">
        <v>3</v>
      </c>
      <c r="E138" s="2">
        <v>3</v>
      </c>
      <c r="F138" s="2">
        <v>0</v>
      </c>
      <c r="G138" s="2">
        <v>3</v>
      </c>
      <c r="H138" s="2">
        <v>3</v>
      </c>
      <c r="I138" s="2">
        <v>3</v>
      </c>
      <c r="K138" s="2" t="str">
        <f t="shared" ref="K138:K153" si="97">DEC2BIN(B138,2)</f>
        <v>00</v>
      </c>
      <c r="L138" s="2" t="str">
        <f t="shared" ref="L138:L153" si="98">DEC2BIN(C138,2)</f>
        <v>11</v>
      </c>
      <c r="M138" s="2" t="str">
        <f t="shared" ref="M138:M153" si="99">DEC2BIN(D138,2)</f>
        <v>11</v>
      </c>
      <c r="N138" s="2" t="str">
        <f t="shared" ref="N138:N153" si="100">DEC2BIN(E138,2)</f>
        <v>11</v>
      </c>
      <c r="O138" s="2" t="str">
        <f t="shared" ref="O138:O153" si="101">DEC2BIN(F138,2)</f>
        <v>00</v>
      </c>
      <c r="P138" s="2" t="str">
        <f t="shared" ref="P138:P153" si="102">DEC2BIN(G138,2)</f>
        <v>11</v>
      </c>
      <c r="Q138" s="2" t="str">
        <f t="shared" ref="Q138:Q153" si="103">DEC2BIN(H138,2)</f>
        <v>11</v>
      </c>
      <c r="R138" s="2" t="str">
        <f t="shared" ref="R138:R153" si="104">DEC2BIN(I138,2)</f>
        <v>11</v>
      </c>
      <c r="T138" t="str">
        <f t="shared" ref="T138:T153" si="105">_xlfn.CONCAT(K138:R138)</f>
        <v>0011111100111111</v>
      </c>
      <c r="V138" s="8" t="str">
        <f>LEFT(T138,8)</f>
        <v>00111111</v>
      </c>
      <c r="W138" s="8" t="str">
        <f>RIGHT(T138,8)</f>
        <v>00111111</v>
      </c>
      <c r="X138" s="8" t="str">
        <f>BIN2HEX(V138,2)</f>
        <v>3F</v>
      </c>
      <c r="Y138" s="8" t="str">
        <f>BIN2HEX(W138,2)</f>
        <v>3F</v>
      </c>
      <c r="AA138" t="str" cm="1">
        <f t="array" ref="AA138:AH138">TRANSPOSE(X138:X145)</f>
        <v>3F</v>
      </c>
      <c r="AB138" t="str">
        <v>3F</v>
      </c>
      <c r="AC138" t="str">
        <v>35</v>
      </c>
      <c r="AD138" t="str">
        <v>30</v>
      </c>
      <c r="AE138" t="str">
        <v>FF</v>
      </c>
      <c r="AF138" t="str">
        <v>FD</v>
      </c>
      <c r="AG138" t="str">
        <v>5D</v>
      </c>
      <c r="AH138" t="str">
        <v>0C</v>
      </c>
      <c r="AJ138" t="str">
        <f>LOWER("!byte $"&amp;AA138&amp;", $"&amp;AB138&amp;", $"&amp;AC138&amp;", $"&amp;AD138&amp;", $"&amp;AE138&amp;", $"&amp;AF138&amp;", $"&amp;AG138&amp;", $"&amp;AH138)</f>
        <v>!byte $3f, $3f, $35, $30, $ff, $fd, $5d, $0c</v>
      </c>
    </row>
    <row r="139" spans="1:36" x14ac:dyDescent="0.3">
      <c r="B139" s="2">
        <v>0</v>
      </c>
      <c r="C139" s="2">
        <v>3</v>
      </c>
      <c r="D139" s="2">
        <v>3</v>
      </c>
      <c r="E139" s="2">
        <v>3</v>
      </c>
      <c r="F139" s="2">
        <v>0</v>
      </c>
      <c r="G139" s="2">
        <v>3</v>
      </c>
      <c r="H139" s="2">
        <v>3</v>
      </c>
      <c r="I139" s="2">
        <v>3</v>
      </c>
      <c r="K139" s="2" t="str">
        <f t="shared" si="97"/>
        <v>00</v>
      </c>
      <c r="L139" s="2" t="str">
        <f t="shared" si="98"/>
        <v>11</v>
      </c>
      <c r="M139" s="2" t="str">
        <f t="shared" si="99"/>
        <v>11</v>
      </c>
      <c r="N139" s="2" t="str">
        <f t="shared" si="100"/>
        <v>11</v>
      </c>
      <c r="O139" s="2" t="str">
        <f t="shared" si="101"/>
        <v>00</v>
      </c>
      <c r="P139" s="2" t="str">
        <f t="shared" si="102"/>
        <v>11</v>
      </c>
      <c r="Q139" s="2" t="str">
        <f t="shared" si="103"/>
        <v>11</v>
      </c>
      <c r="R139" s="2" t="str">
        <f t="shared" si="104"/>
        <v>11</v>
      </c>
      <c r="T139" t="str">
        <f t="shared" si="105"/>
        <v>0011111100111111</v>
      </c>
      <c r="V139" s="9" t="str">
        <f t="shared" ref="V139:V153" si="106">LEFT(T139,8)</f>
        <v>00111111</v>
      </c>
      <c r="W139" s="9" t="str">
        <f t="shared" ref="W139:W153" si="107">RIGHT(T139,8)</f>
        <v>00111111</v>
      </c>
      <c r="X139" s="9" t="str">
        <f t="shared" ref="X139:X153" si="108">BIN2HEX(V139,2)</f>
        <v>3F</v>
      </c>
      <c r="Y139" s="9" t="str">
        <f t="shared" ref="Y139:Y153" si="109">BIN2HEX(W139,2)</f>
        <v>3F</v>
      </c>
      <c r="AA139" t="str" cm="1">
        <f t="array" ref="AA139:AH139">TRANSPOSE(X146:X153)</f>
        <v>3F</v>
      </c>
      <c r="AB139" t="str">
        <v>3F</v>
      </c>
      <c r="AC139" t="str">
        <v>35</v>
      </c>
      <c r="AD139" t="str">
        <v>30</v>
      </c>
      <c r="AE139" t="str">
        <v>FF</v>
      </c>
      <c r="AF139" t="str">
        <v>FD</v>
      </c>
      <c r="AG139" t="str">
        <v>5D</v>
      </c>
      <c r="AH139" t="str">
        <v>0C</v>
      </c>
      <c r="AJ139" t="str">
        <f t="shared" ref="AJ139:AJ141" si="110">LOWER("!byte $"&amp;AA139&amp;", $"&amp;AB139&amp;", $"&amp;AC139&amp;", $"&amp;AD139&amp;", $"&amp;AE139&amp;", $"&amp;AF139&amp;", $"&amp;AG139&amp;", $"&amp;AH139)</f>
        <v>!byte $3f, $3f, $35, $30, $ff, $fd, $5d, $0c</v>
      </c>
    </row>
    <row r="140" spans="1:36" x14ac:dyDescent="0.3">
      <c r="B140" s="2">
        <v>0</v>
      </c>
      <c r="C140" s="2">
        <v>3</v>
      </c>
      <c r="D140" s="2">
        <v>1</v>
      </c>
      <c r="E140" s="2">
        <v>1</v>
      </c>
      <c r="F140" s="2">
        <v>0</v>
      </c>
      <c r="G140" s="2">
        <v>3</v>
      </c>
      <c r="H140" s="2">
        <v>1</v>
      </c>
      <c r="I140" s="2">
        <v>1</v>
      </c>
      <c r="K140" s="2" t="str">
        <f t="shared" si="97"/>
        <v>00</v>
      </c>
      <c r="L140" s="2" t="str">
        <f t="shared" si="98"/>
        <v>11</v>
      </c>
      <c r="M140" s="2" t="str">
        <f t="shared" si="99"/>
        <v>01</v>
      </c>
      <c r="N140" s="2" t="str">
        <f t="shared" si="100"/>
        <v>01</v>
      </c>
      <c r="O140" s="2" t="str">
        <f t="shared" si="101"/>
        <v>00</v>
      </c>
      <c r="P140" s="2" t="str">
        <f t="shared" si="102"/>
        <v>11</v>
      </c>
      <c r="Q140" s="2" t="str">
        <f t="shared" si="103"/>
        <v>01</v>
      </c>
      <c r="R140" s="2" t="str">
        <f t="shared" si="104"/>
        <v>01</v>
      </c>
      <c r="T140" t="str">
        <f t="shared" si="105"/>
        <v>0011010100110101</v>
      </c>
      <c r="V140" s="9" t="str">
        <f t="shared" si="106"/>
        <v>00110101</v>
      </c>
      <c r="W140" s="9" t="str">
        <f t="shared" si="107"/>
        <v>00110101</v>
      </c>
      <c r="X140" s="9" t="str">
        <f t="shared" si="108"/>
        <v>35</v>
      </c>
      <c r="Y140" s="9" t="str">
        <f t="shared" si="109"/>
        <v>35</v>
      </c>
      <c r="AA140" t="str" cm="1">
        <f t="array" ref="AA140:AH140">TRANSPOSE(Y138:Y145)</f>
        <v>3F</v>
      </c>
      <c r="AB140" t="str">
        <v>3F</v>
      </c>
      <c r="AC140" t="str">
        <v>35</v>
      </c>
      <c r="AD140" t="str">
        <v>30</v>
      </c>
      <c r="AE140" t="str">
        <v>FF</v>
      </c>
      <c r="AF140" t="str">
        <v>FD</v>
      </c>
      <c r="AG140" t="str">
        <v>5D</v>
      </c>
      <c r="AH140" t="str">
        <v>0C</v>
      </c>
      <c r="AJ140" t="str">
        <f t="shared" si="110"/>
        <v>!byte $3f, $3f, $35, $30, $ff, $fd, $5d, $0c</v>
      </c>
    </row>
    <row r="141" spans="1:36" x14ac:dyDescent="0.3">
      <c r="B141" s="2">
        <v>0</v>
      </c>
      <c r="C141" s="2">
        <v>3</v>
      </c>
      <c r="D141" s="2">
        <v>0</v>
      </c>
      <c r="E141" s="2">
        <v>0</v>
      </c>
      <c r="F141" s="2">
        <v>0</v>
      </c>
      <c r="G141" s="2">
        <v>3</v>
      </c>
      <c r="H141" s="2">
        <v>0</v>
      </c>
      <c r="I141" s="2">
        <v>0</v>
      </c>
      <c r="K141" s="2" t="str">
        <f t="shared" si="97"/>
        <v>00</v>
      </c>
      <c r="L141" s="2" t="str">
        <f t="shared" si="98"/>
        <v>11</v>
      </c>
      <c r="M141" s="2" t="str">
        <f t="shared" si="99"/>
        <v>00</v>
      </c>
      <c r="N141" s="2" t="str">
        <f t="shared" si="100"/>
        <v>00</v>
      </c>
      <c r="O141" s="2" t="str">
        <f t="shared" si="101"/>
        <v>00</v>
      </c>
      <c r="P141" s="2" t="str">
        <f t="shared" si="102"/>
        <v>11</v>
      </c>
      <c r="Q141" s="2" t="str">
        <f t="shared" si="103"/>
        <v>00</v>
      </c>
      <c r="R141" s="2" t="str">
        <f t="shared" si="104"/>
        <v>00</v>
      </c>
      <c r="T141" t="str">
        <f t="shared" si="105"/>
        <v>0011000000110000</v>
      </c>
      <c r="V141" s="9" t="str">
        <f t="shared" si="106"/>
        <v>00110000</v>
      </c>
      <c r="W141" s="9" t="str">
        <f t="shared" si="107"/>
        <v>00110000</v>
      </c>
      <c r="X141" s="9" t="str">
        <f t="shared" si="108"/>
        <v>30</v>
      </c>
      <c r="Y141" s="9" t="str">
        <f t="shared" si="109"/>
        <v>30</v>
      </c>
      <c r="AA141" t="str" cm="1">
        <f t="array" ref="AA141:AH141">TRANSPOSE(Y146:Y153)</f>
        <v>3F</v>
      </c>
      <c r="AB141" t="str">
        <v>3F</v>
      </c>
      <c r="AC141" t="str">
        <v>35</v>
      </c>
      <c r="AD141" t="str">
        <v>30</v>
      </c>
      <c r="AE141" t="str">
        <v>FF</v>
      </c>
      <c r="AF141" t="str">
        <v>FD</v>
      </c>
      <c r="AG141" t="str">
        <v>5D</v>
      </c>
      <c r="AH141" t="str">
        <v>0C</v>
      </c>
      <c r="AJ141" t="str">
        <f t="shared" si="110"/>
        <v>!byte $3f, $3f, $35, $30, $ff, $fd, $5d, $0c</v>
      </c>
    </row>
    <row r="142" spans="1:36" x14ac:dyDescent="0.3">
      <c r="B142" s="2">
        <v>3</v>
      </c>
      <c r="C142" s="2">
        <v>3</v>
      </c>
      <c r="D142" s="2">
        <v>3</v>
      </c>
      <c r="E142" s="2">
        <v>3</v>
      </c>
      <c r="F142" s="2">
        <v>3</v>
      </c>
      <c r="G142" s="2">
        <v>3</v>
      </c>
      <c r="H142" s="2">
        <v>3</v>
      </c>
      <c r="I142" s="2">
        <v>3</v>
      </c>
      <c r="K142" s="2" t="str">
        <f t="shared" si="97"/>
        <v>11</v>
      </c>
      <c r="L142" s="2" t="str">
        <f t="shared" si="98"/>
        <v>11</v>
      </c>
      <c r="M142" s="2" t="str">
        <f t="shared" si="99"/>
        <v>11</v>
      </c>
      <c r="N142" s="2" t="str">
        <f t="shared" si="100"/>
        <v>11</v>
      </c>
      <c r="O142" s="2" t="str">
        <f t="shared" si="101"/>
        <v>11</v>
      </c>
      <c r="P142" s="2" t="str">
        <f t="shared" si="102"/>
        <v>11</v>
      </c>
      <c r="Q142" s="2" t="str">
        <f t="shared" si="103"/>
        <v>11</v>
      </c>
      <c r="R142" s="2" t="str">
        <f t="shared" si="104"/>
        <v>11</v>
      </c>
      <c r="T142" t="str">
        <f t="shared" si="105"/>
        <v>1111111111111111</v>
      </c>
      <c r="V142" s="9" t="str">
        <f t="shared" si="106"/>
        <v>11111111</v>
      </c>
      <c r="W142" s="9" t="str">
        <f t="shared" si="107"/>
        <v>11111111</v>
      </c>
      <c r="X142" s="9" t="str">
        <f t="shared" si="108"/>
        <v>FF</v>
      </c>
      <c r="Y142" s="9" t="str">
        <f t="shared" si="109"/>
        <v>FF</v>
      </c>
    </row>
    <row r="143" spans="1:36" x14ac:dyDescent="0.3">
      <c r="B143" s="2">
        <v>3</v>
      </c>
      <c r="C143" s="2">
        <v>3</v>
      </c>
      <c r="D143" s="2">
        <v>3</v>
      </c>
      <c r="E143" s="2">
        <v>1</v>
      </c>
      <c r="F143" s="2">
        <v>3</v>
      </c>
      <c r="G143" s="2">
        <v>3</v>
      </c>
      <c r="H143" s="2">
        <v>3</v>
      </c>
      <c r="I143" s="2">
        <v>1</v>
      </c>
      <c r="K143" s="2" t="str">
        <f t="shared" si="97"/>
        <v>11</v>
      </c>
      <c r="L143" s="2" t="str">
        <f t="shared" si="98"/>
        <v>11</v>
      </c>
      <c r="M143" s="2" t="str">
        <f t="shared" si="99"/>
        <v>11</v>
      </c>
      <c r="N143" s="2" t="str">
        <f t="shared" si="100"/>
        <v>01</v>
      </c>
      <c r="O143" s="2" t="str">
        <f t="shared" si="101"/>
        <v>11</v>
      </c>
      <c r="P143" s="2" t="str">
        <f t="shared" si="102"/>
        <v>11</v>
      </c>
      <c r="Q143" s="2" t="str">
        <f t="shared" si="103"/>
        <v>11</v>
      </c>
      <c r="R143" s="2" t="str">
        <f t="shared" si="104"/>
        <v>01</v>
      </c>
      <c r="T143" t="str">
        <f t="shared" si="105"/>
        <v>1111110111111101</v>
      </c>
      <c r="V143" s="9" t="str">
        <f t="shared" si="106"/>
        <v>11111101</v>
      </c>
      <c r="W143" s="9" t="str">
        <f t="shared" si="107"/>
        <v>11111101</v>
      </c>
      <c r="X143" s="9" t="str">
        <f t="shared" si="108"/>
        <v>FD</v>
      </c>
      <c r="Y143" s="9" t="str">
        <f t="shared" si="109"/>
        <v>FD</v>
      </c>
    </row>
    <row r="144" spans="1:36" x14ac:dyDescent="0.3">
      <c r="B144" s="2">
        <v>1</v>
      </c>
      <c r="C144" s="2">
        <v>1</v>
      </c>
      <c r="D144" s="2">
        <v>3</v>
      </c>
      <c r="E144" s="2">
        <v>1</v>
      </c>
      <c r="F144" s="2">
        <v>1</v>
      </c>
      <c r="G144" s="2">
        <v>1</v>
      </c>
      <c r="H144" s="2">
        <v>3</v>
      </c>
      <c r="I144" s="2">
        <v>1</v>
      </c>
      <c r="K144" s="2" t="str">
        <f t="shared" si="97"/>
        <v>01</v>
      </c>
      <c r="L144" s="2" t="str">
        <f t="shared" si="98"/>
        <v>01</v>
      </c>
      <c r="M144" s="2" t="str">
        <f t="shared" si="99"/>
        <v>11</v>
      </c>
      <c r="N144" s="2" t="str">
        <f t="shared" si="100"/>
        <v>01</v>
      </c>
      <c r="O144" s="2" t="str">
        <f t="shared" si="101"/>
        <v>01</v>
      </c>
      <c r="P144" s="2" t="str">
        <f t="shared" si="102"/>
        <v>01</v>
      </c>
      <c r="Q144" s="2" t="str">
        <f t="shared" si="103"/>
        <v>11</v>
      </c>
      <c r="R144" s="2" t="str">
        <f t="shared" si="104"/>
        <v>01</v>
      </c>
      <c r="T144" t="str">
        <f t="shared" si="105"/>
        <v>0101110101011101</v>
      </c>
      <c r="V144" s="9" t="str">
        <f t="shared" si="106"/>
        <v>01011101</v>
      </c>
      <c r="W144" s="9" t="str">
        <f t="shared" si="107"/>
        <v>01011101</v>
      </c>
      <c r="X144" s="9" t="str">
        <f t="shared" si="108"/>
        <v>5D</v>
      </c>
      <c r="Y144" s="9" t="str">
        <f t="shared" si="109"/>
        <v>5D</v>
      </c>
    </row>
    <row r="145" spans="1:36" x14ac:dyDescent="0.3">
      <c r="B145" s="2">
        <v>0</v>
      </c>
      <c r="C145" s="2">
        <v>0</v>
      </c>
      <c r="D145" s="2">
        <v>3</v>
      </c>
      <c r="E145" s="2">
        <v>0</v>
      </c>
      <c r="F145" s="2">
        <v>0</v>
      </c>
      <c r="G145" s="2">
        <v>0</v>
      </c>
      <c r="H145" s="2">
        <v>3</v>
      </c>
      <c r="I145" s="2">
        <v>0</v>
      </c>
      <c r="K145" s="2" t="str">
        <f t="shared" si="97"/>
        <v>00</v>
      </c>
      <c r="L145" s="2" t="str">
        <f t="shared" si="98"/>
        <v>00</v>
      </c>
      <c r="M145" s="2" t="str">
        <f t="shared" si="99"/>
        <v>11</v>
      </c>
      <c r="N145" s="2" t="str">
        <f t="shared" si="100"/>
        <v>00</v>
      </c>
      <c r="O145" s="2" t="str">
        <f t="shared" si="101"/>
        <v>00</v>
      </c>
      <c r="P145" s="2" t="str">
        <f t="shared" si="102"/>
        <v>00</v>
      </c>
      <c r="Q145" s="2" t="str">
        <f t="shared" si="103"/>
        <v>11</v>
      </c>
      <c r="R145" s="2" t="str">
        <f t="shared" si="104"/>
        <v>00</v>
      </c>
      <c r="T145" t="str">
        <f t="shared" si="105"/>
        <v>0000110000001100</v>
      </c>
      <c r="V145" s="10" t="str">
        <f t="shared" si="106"/>
        <v>00001100</v>
      </c>
      <c r="W145" s="10" t="str">
        <f t="shared" si="107"/>
        <v>00001100</v>
      </c>
      <c r="X145" s="10" t="str">
        <f t="shared" si="108"/>
        <v>0C</v>
      </c>
      <c r="Y145" s="10" t="str">
        <f t="shared" si="109"/>
        <v>0C</v>
      </c>
    </row>
    <row r="146" spans="1:36" x14ac:dyDescent="0.3">
      <c r="B146" s="2">
        <v>0</v>
      </c>
      <c r="C146" s="2">
        <v>3</v>
      </c>
      <c r="D146" s="2">
        <v>3</v>
      </c>
      <c r="E146" s="2">
        <v>3</v>
      </c>
      <c r="F146" s="2">
        <v>0</v>
      </c>
      <c r="G146" s="2">
        <v>3</v>
      </c>
      <c r="H146" s="2">
        <v>3</v>
      </c>
      <c r="I146" s="2">
        <v>3</v>
      </c>
      <c r="K146" s="2" t="str">
        <f t="shared" si="97"/>
        <v>00</v>
      </c>
      <c r="L146" s="2" t="str">
        <f t="shared" si="98"/>
        <v>11</v>
      </c>
      <c r="M146" s="2" t="str">
        <f t="shared" si="99"/>
        <v>11</v>
      </c>
      <c r="N146" s="2" t="str">
        <f t="shared" si="100"/>
        <v>11</v>
      </c>
      <c r="O146" s="2" t="str">
        <f t="shared" si="101"/>
        <v>00</v>
      </c>
      <c r="P146" s="2" t="str">
        <f t="shared" si="102"/>
        <v>11</v>
      </c>
      <c r="Q146" s="2" t="str">
        <f t="shared" si="103"/>
        <v>11</v>
      </c>
      <c r="R146" s="2" t="str">
        <f t="shared" si="104"/>
        <v>11</v>
      </c>
      <c r="T146" t="str">
        <f t="shared" si="105"/>
        <v>0011111100111111</v>
      </c>
      <c r="V146" s="8" t="str">
        <f t="shared" si="106"/>
        <v>00111111</v>
      </c>
      <c r="W146" s="8" t="str">
        <f t="shared" si="107"/>
        <v>00111111</v>
      </c>
      <c r="X146" s="8" t="str">
        <f t="shared" si="108"/>
        <v>3F</v>
      </c>
      <c r="Y146" s="8" t="str">
        <f t="shared" si="109"/>
        <v>3F</v>
      </c>
    </row>
    <row r="147" spans="1:36" x14ac:dyDescent="0.3">
      <c r="B147" s="2">
        <v>0</v>
      </c>
      <c r="C147" s="2">
        <v>3</v>
      </c>
      <c r="D147" s="2">
        <v>3</v>
      </c>
      <c r="E147" s="2">
        <v>3</v>
      </c>
      <c r="F147" s="2">
        <v>0</v>
      </c>
      <c r="G147" s="2">
        <v>3</v>
      </c>
      <c r="H147" s="2">
        <v>3</v>
      </c>
      <c r="I147" s="2">
        <v>3</v>
      </c>
      <c r="K147" s="2" t="str">
        <f t="shared" si="97"/>
        <v>00</v>
      </c>
      <c r="L147" s="2" t="str">
        <f t="shared" si="98"/>
        <v>11</v>
      </c>
      <c r="M147" s="2" t="str">
        <f t="shared" si="99"/>
        <v>11</v>
      </c>
      <c r="N147" s="2" t="str">
        <f t="shared" si="100"/>
        <v>11</v>
      </c>
      <c r="O147" s="2" t="str">
        <f t="shared" si="101"/>
        <v>00</v>
      </c>
      <c r="P147" s="2" t="str">
        <f t="shared" si="102"/>
        <v>11</v>
      </c>
      <c r="Q147" s="2" t="str">
        <f t="shared" si="103"/>
        <v>11</v>
      </c>
      <c r="R147" s="2" t="str">
        <f t="shared" si="104"/>
        <v>11</v>
      </c>
      <c r="T147" t="str">
        <f t="shared" si="105"/>
        <v>0011111100111111</v>
      </c>
      <c r="V147" s="9" t="str">
        <f t="shared" si="106"/>
        <v>00111111</v>
      </c>
      <c r="W147" s="9" t="str">
        <f t="shared" si="107"/>
        <v>00111111</v>
      </c>
      <c r="X147" s="9" t="str">
        <f t="shared" si="108"/>
        <v>3F</v>
      </c>
      <c r="Y147" s="9" t="str">
        <f t="shared" si="109"/>
        <v>3F</v>
      </c>
    </row>
    <row r="148" spans="1:36" x14ac:dyDescent="0.3">
      <c r="B148" s="2">
        <v>0</v>
      </c>
      <c r="C148" s="2">
        <v>3</v>
      </c>
      <c r="D148" s="2">
        <v>1</v>
      </c>
      <c r="E148" s="2">
        <v>1</v>
      </c>
      <c r="F148" s="2">
        <v>0</v>
      </c>
      <c r="G148" s="2">
        <v>3</v>
      </c>
      <c r="H148" s="2">
        <v>1</v>
      </c>
      <c r="I148" s="2">
        <v>1</v>
      </c>
      <c r="K148" s="2" t="str">
        <f t="shared" si="97"/>
        <v>00</v>
      </c>
      <c r="L148" s="2" t="str">
        <f t="shared" si="98"/>
        <v>11</v>
      </c>
      <c r="M148" s="2" t="str">
        <f t="shared" si="99"/>
        <v>01</v>
      </c>
      <c r="N148" s="2" t="str">
        <f t="shared" si="100"/>
        <v>01</v>
      </c>
      <c r="O148" s="2" t="str">
        <f t="shared" si="101"/>
        <v>00</v>
      </c>
      <c r="P148" s="2" t="str">
        <f t="shared" si="102"/>
        <v>11</v>
      </c>
      <c r="Q148" s="2" t="str">
        <f t="shared" si="103"/>
        <v>01</v>
      </c>
      <c r="R148" s="2" t="str">
        <f t="shared" si="104"/>
        <v>01</v>
      </c>
      <c r="T148" t="str">
        <f t="shared" si="105"/>
        <v>0011010100110101</v>
      </c>
      <c r="V148" s="9" t="str">
        <f t="shared" si="106"/>
        <v>00110101</v>
      </c>
      <c r="W148" s="9" t="str">
        <f t="shared" si="107"/>
        <v>00110101</v>
      </c>
      <c r="X148" s="9" t="str">
        <f t="shared" si="108"/>
        <v>35</v>
      </c>
      <c r="Y148" s="9" t="str">
        <f t="shared" si="109"/>
        <v>35</v>
      </c>
    </row>
    <row r="149" spans="1:36" x14ac:dyDescent="0.3">
      <c r="B149" s="2">
        <v>0</v>
      </c>
      <c r="C149" s="2">
        <v>3</v>
      </c>
      <c r="D149" s="2">
        <v>0</v>
      </c>
      <c r="E149" s="2">
        <v>0</v>
      </c>
      <c r="F149" s="2">
        <v>0</v>
      </c>
      <c r="G149" s="2">
        <v>3</v>
      </c>
      <c r="H149" s="2">
        <v>0</v>
      </c>
      <c r="I149" s="2">
        <v>0</v>
      </c>
      <c r="K149" s="2" t="str">
        <f t="shared" si="97"/>
        <v>00</v>
      </c>
      <c r="L149" s="2" t="str">
        <f t="shared" si="98"/>
        <v>11</v>
      </c>
      <c r="M149" s="2" t="str">
        <f t="shared" si="99"/>
        <v>00</v>
      </c>
      <c r="N149" s="2" t="str">
        <f t="shared" si="100"/>
        <v>00</v>
      </c>
      <c r="O149" s="2" t="str">
        <f t="shared" si="101"/>
        <v>00</v>
      </c>
      <c r="P149" s="2" t="str">
        <f t="shared" si="102"/>
        <v>11</v>
      </c>
      <c r="Q149" s="2" t="str">
        <f t="shared" si="103"/>
        <v>00</v>
      </c>
      <c r="R149" s="2" t="str">
        <f t="shared" si="104"/>
        <v>00</v>
      </c>
      <c r="T149" t="str">
        <f t="shared" si="105"/>
        <v>0011000000110000</v>
      </c>
      <c r="V149" s="9" t="str">
        <f t="shared" si="106"/>
        <v>00110000</v>
      </c>
      <c r="W149" s="9" t="str">
        <f t="shared" si="107"/>
        <v>00110000</v>
      </c>
      <c r="X149" s="9" t="str">
        <f t="shared" si="108"/>
        <v>30</v>
      </c>
      <c r="Y149" s="9" t="str">
        <f t="shared" si="109"/>
        <v>30</v>
      </c>
    </row>
    <row r="150" spans="1:36" x14ac:dyDescent="0.3">
      <c r="B150" s="2">
        <v>3</v>
      </c>
      <c r="C150" s="2">
        <v>3</v>
      </c>
      <c r="D150" s="2">
        <v>3</v>
      </c>
      <c r="E150" s="2">
        <v>3</v>
      </c>
      <c r="F150" s="2">
        <v>3</v>
      </c>
      <c r="G150" s="2">
        <v>3</v>
      </c>
      <c r="H150" s="2">
        <v>3</v>
      </c>
      <c r="I150" s="2">
        <v>3</v>
      </c>
      <c r="K150" s="2" t="str">
        <f t="shared" si="97"/>
        <v>11</v>
      </c>
      <c r="L150" s="2" t="str">
        <f t="shared" si="98"/>
        <v>11</v>
      </c>
      <c r="M150" s="2" t="str">
        <f t="shared" si="99"/>
        <v>11</v>
      </c>
      <c r="N150" s="2" t="str">
        <f t="shared" si="100"/>
        <v>11</v>
      </c>
      <c r="O150" s="2" t="str">
        <f t="shared" si="101"/>
        <v>11</v>
      </c>
      <c r="P150" s="2" t="str">
        <f t="shared" si="102"/>
        <v>11</v>
      </c>
      <c r="Q150" s="2" t="str">
        <f t="shared" si="103"/>
        <v>11</v>
      </c>
      <c r="R150" s="2" t="str">
        <f t="shared" si="104"/>
        <v>11</v>
      </c>
      <c r="T150" t="str">
        <f t="shared" si="105"/>
        <v>1111111111111111</v>
      </c>
      <c r="V150" s="9" t="str">
        <f t="shared" si="106"/>
        <v>11111111</v>
      </c>
      <c r="W150" s="9" t="str">
        <f t="shared" si="107"/>
        <v>11111111</v>
      </c>
      <c r="X150" s="9" t="str">
        <f t="shared" si="108"/>
        <v>FF</v>
      </c>
      <c r="Y150" s="9" t="str">
        <f t="shared" si="109"/>
        <v>FF</v>
      </c>
    </row>
    <row r="151" spans="1:36" x14ac:dyDescent="0.3">
      <c r="B151" s="2">
        <v>3</v>
      </c>
      <c r="C151" s="2">
        <v>3</v>
      </c>
      <c r="D151" s="2">
        <v>3</v>
      </c>
      <c r="E151" s="2">
        <v>1</v>
      </c>
      <c r="F151" s="2">
        <v>3</v>
      </c>
      <c r="G151" s="2">
        <v>3</v>
      </c>
      <c r="H151" s="2">
        <v>3</v>
      </c>
      <c r="I151" s="2">
        <v>1</v>
      </c>
      <c r="K151" s="2" t="str">
        <f t="shared" si="97"/>
        <v>11</v>
      </c>
      <c r="L151" s="2" t="str">
        <f t="shared" si="98"/>
        <v>11</v>
      </c>
      <c r="M151" s="2" t="str">
        <f t="shared" si="99"/>
        <v>11</v>
      </c>
      <c r="N151" s="2" t="str">
        <f t="shared" si="100"/>
        <v>01</v>
      </c>
      <c r="O151" s="2" t="str">
        <f t="shared" si="101"/>
        <v>11</v>
      </c>
      <c r="P151" s="2" t="str">
        <f t="shared" si="102"/>
        <v>11</v>
      </c>
      <c r="Q151" s="2" t="str">
        <f t="shared" si="103"/>
        <v>11</v>
      </c>
      <c r="R151" s="2" t="str">
        <f t="shared" si="104"/>
        <v>01</v>
      </c>
      <c r="T151" t="str">
        <f t="shared" si="105"/>
        <v>1111110111111101</v>
      </c>
      <c r="V151" s="9" t="str">
        <f t="shared" si="106"/>
        <v>11111101</v>
      </c>
      <c r="W151" s="9" t="str">
        <f t="shared" si="107"/>
        <v>11111101</v>
      </c>
      <c r="X151" s="9" t="str">
        <f t="shared" si="108"/>
        <v>FD</v>
      </c>
      <c r="Y151" s="9" t="str">
        <f t="shared" si="109"/>
        <v>FD</v>
      </c>
    </row>
    <row r="152" spans="1:36" x14ac:dyDescent="0.3">
      <c r="B152" s="2">
        <v>1</v>
      </c>
      <c r="C152" s="2">
        <v>1</v>
      </c>
      <c r="D152" s="2">
        <v>3</v>
      </c>
      <c r="E152" s="2">
        <v>1</v>
      </c>
      <c r="F152" s="2">
        <v>1</v>
      </c>
      <c r="G152" s="2">
        <v>1</v>
      </c>
      <c r="H152" s="2">
        <v>3</v>
      </c>
      <c r="I152" s="2">
        <v>1</v>
      </c>
      <c r="K152" s="2" t="str">
        <f t="shared" si="97"/>
        <v>01</v>
      </c>
      <c r="L152" s="2" t="str">
        <f t="shared" si="98"/>
        <v>01</v>
      </c>
      <c r="M152" s="2" t="str">
        <f t="shared" si="99"/>
        <v>11</v>
      </c>
      <c r="N152" s="2" t="str">
        <f t="shared" si="100"/>
        <v>01</v>
      </c>
      <c r="O152" s="2" t="str">
        <f t="shared" si="101"/>
        <v>01</v>
      </c>
      <c r="P152" s="2" t="str">
        <f t="shared" si="102"/>
        <v>01</v>
      </c>
      <c r="Q152" s="2" t="str">
        <f t="shared" si="103"/>
        <v>11</v>
      </c>
      <c r="R152" s="2" t="str">
        <f t="shared" si="104"/>
        <v>01</v>
      </c>
      <c r="T152" t="str">
        <f t="shared" si="105"/>
        <v>0101110101011101</v>
      </c>
      <c r="V152" s="9" t="str">
        <f t="shared" si="106"/>
        <v>01011101</v>
      </c>
      <c r="W152" s="9" t="str">
        <f t="shared" si="107"/>
        <v>01011101</v>
      </c>
      <c r="X152" s="9" t="str">
        <f t="shared" si="108"/>
        <v>5D</v>
      </c>
      <c r="Y152" s="9" t="str">
        <f t="shared" si="109"/>
        <v>5D</v>
      </c>
    </row>
    <row r="153" spans="1:36" x14ac:dyDescent="0.3">
      <c r="B153" s="2">
        <v>0</v>
      </c>
      <c r="C153" s="2">
        <v>0</v>
      </c>
      <c r="D153" s="2">
        <v>3</v>
      </c>
      <c r="E153" s="2">
        <v>0</v>
      </c>
      <c r="F153" s="2">
        <v>0</v>
      </c>
      <c r="G153" s="2">
        <v>0</v>
      </c>
      <c r="H153" s="2">
        <v>3</v>
      </c>
      <c r="I153" s="2">
        <v>0</v>
      </c>
      <c r="K153" s="2" t="str">
        <f t="shared" si="97"/>
        <v>00</v>
      </c>
      <c r="L153" s="2" t="str">
        <f t="shared" si="98"/>
        <v>00</v>
      </c>
      <c r="M153" s="2" t="str">
        <f t="shared" si="99"/>
        <v>11</v>
      </c>
      <c r="N153" s="2" t="str">
        <f t="shared" si="100"/>
        <v>00</v>
      </c>
      <c r="O153" s="2" t="str">
        <f t="shared" si="101"/>
        <v>00</v>
      </c>
      <c r="P153" s="2" t="str">
        <f t="shared" si="102"/>
        <v>00</v>
      </c>
      <c r="Q153" s="2" t="str">
        <f t="shared" si="103"/>
        <v>11</v>
      </c>
      <c r="R153" s="2" t="str">
        <f t="shared" si="104"/>
        <v>00</v>
      </c>
      <c r="T153" t="str">
        <f t="shared" si="105"/>
        <v>0000110000001100</v>
      </c>
      <c r="V153" s="10" t="str">
        <f t="shared" si="106"/>
        <v>00001100</v>
      </c>
      <c r="W153" s="10" t="str">
        <f t="shared" si="107"/>
        <v>00001100</v>
      </c>
      <c r="X153" s="10" t="str">
        <f t="shared" si="108"/>
        <v>0C</v>
      </c>
      <c r="Y153" s="10" t="str">
        <f t="shared" si="109"/>
        <v>0C</v>
      </c>
    </row>
    <row r="154" spans="1:36" x14ac:dyDescent="0.3">
      <c r="A154" t="s">
        <v>16</v>
      </c>
      <c r="AJ154" t="str">
        <f>";"&amp;PROPER(A154)</f>
        <v>;Magic Wall 3</v>
      </c>
    </row>
    <row r="155" spans="1:36" x14ac:dyDescent="0.3">
      <c r="B155" s="2">
        <v>0</v>
      </c>
      <c r="C155" s="2">
        <v>3</v>
      </c>
      <c r="D155" s="2">
        <v>3</v>
      </c>
      <c r="E155" s="2">
        <v>3</v>
      </c>
      <c r="F155" s="2">
        <v>0</v>
      </c>
      <c r="G155" s="2">
        <v>3</v>
      </c>
      <c r="H155" s="2">
        <v>3</v>
      </c>
      <c r="I155" s="2">
        <v>3</v>
      </c>
      <c r="K155" s="2" t="str">
        <f t="shared" ref="K155:K170" si="111">DEC2BIN(B155,2)</f>
        <v>00</v>
      </c>
      <c r="L155" s="2" t="str">
        <f t="shared" ref="L155:L170" si="112">DEC2BIN(C155,2)</f>
        <v>11</v>
      </c>
      <c r="M155" s="2" t="str">
        <f t="shared" ref="M155:M170" si="113">DEC2BIN(D155,2)</f>
        <v>11</v>
      </c>
      <c r="N155" s="2" t="str">
        <f t="shared" ref="N155:N170" si="114">DEC2BIN(E155,2)</f>
        <v>11</v>
      </c>
      <c r="O155" s="2" t="str">
        <f t="shared" ref="O155:O170" si="115">DEC2BIN(F155,2)</f>
        <v>00</v>
      </c>
      <c r="P155" s="2" t="str">
        <f t="shared" ref="P155:P170" si="116">DEC2BIN(G155,2)</f>
        <v>11</v>
      </c>
      <c r="Q155" s="2" t="str">
        <f t="shared" ref="Q155:Q170" si="117">DEC2BIN(H155,2)</f>
        <v>11</v>
      </c>
      <c r="R155" s="2" t="str">
        <f t="shared" ref="R155:R170" si="118">DEC2BIN(I155,2)</f>
        <v>11</v>
      </c>
      <c r="T155" t="str">
        <f t="shared" ref="T155:T170" si="119">_xlfn.CONCAT(K155:R155)</f>
        <v>0011111100111111</v>
      </c>
      <c r="V155" s="8" t="str">
        <f>LEFT(T155,8)</f>
        <v>00111111</v>
      </c>
      <c r="W155" s="8" t="str">
        <f>RIGHT(T155,8)</f>
        <v>00111111</v>
      </c>
      <c r="X155" s="8" t="str">
        <f>BIN2HEX(V155,2)</f>
        <v>3F</v>
      </c>
      <c r="Y155" s="8" t="str">
        <f>BIN2HEX(W155,2)</f>
        <v>3F</v>
      </c>
      <c r="AA155" t="str" cm="1">
        <f t="array" ref="AA155:AH155">TRANSPOSE(X155:X162)</f>
        <v>3F</v>
      </c>
      <c r="AB155" t="str">
        <v>1F</v>
      </c>
      <c r="AC155" t="str">
        <v>1D</v>
      </c>
      <c r="AD155" t="str">
        <v>0C</v>
      </c>
      <c r="AE155" t="str">
        <v>F3</v>
      </c>
      <c r="AF155" t="str">
        <v>F1</v>
      </c>
      <c r="AG155" t="str">
        <v>71</v>
      </c>
      <c r="AH155" t="str">
        <v>30</v>
      </c>
      <c r="AJ155" t="str">
        <f>LOWER("!byte $"&amp;AA155&amp;", $"&amp;AB155&amp;", $"&amp;AC155&amp;", $"&amp;AD155&amp;", $"&amp;AE155&amp;", $"&amp;AF155&amp;", $"&amp;AG155&amp;", $"&amp;AH155)</f>
        <v>!byte $3f, $1f, $1d, $0c, $f3, $f1, $71, $30</v>
      </c>
    </row>
    <row r="156" spans="1:36" x14ac:dyDescent="0.3">
      <c r="B156" s="2">
        <v>0</v>
      </c>
      <c r="C156" s="2">
        <v>1</v>
      </c>
      <c r="D156" s="2">
        <v>3</v>
      </c>
      <c r="E156" s="2">
        <v>3</v>
      </c>
      <c r="F156" s="2">
        <v>0</v>
      </c>
      <c r="G156" s="2">
        <v>1</v>
      </c>
      <c r="H156" s="2">
        <v>3</v>
      </c>
      <c r="I156" s="2">
        <v>3</v>
      </c>
      <c r="K156" s="2" t="str">
        <f t="shared" si="111"/>
        <v>00</v>
      </c>
      <c r="L156" s="2" t="str">
        <f t="shared" si="112"/>
        <v>01</v>
      </c>
      <c r="M156" s="2" t="str">
        <f t="shared" si="113"/>
        <v>11</v>
      </c>
      <c r="N156" s="2" t="str">
        <f t="shared" si="114"/>
        <v>11</v>
      </c>
      <c r="O156" s="2" t="str">
        <f t="shared" si="115"/>
        <v>00</v>
      </c>
      <c r="P156" s="2" t="str">
        <f t="shared" si="116"/>
        <v>01</v>
      </c>
      <c r="Q156" s="2" t="str">
        <f t="shared" si="117"/>
        <v>11</v>
      </c>
      <c r="R156" s="2" t="str">
        <f t="shared" si="118"/>
        <v>11</v>
      </c>
      <c r="T156" t="str">
        <f t="shared" si="119"/>
        <v>0001111100011111</v>
      </c>
      <c r="V156" s="9" t="str">
        <f t="shared" ref="V156:V170" si="120">LEFT(T156,8)</f>
        <v>00011111</v>
      </c>
      <c r="W156" s="9" t="str">
        <f t="shared" ref="W156:W170" si="121">RIGHT(T156,8)</f>
        <v>00011111</v>
      </c>
      <c r="X156" s="9" t="str">
        <f t="shared" ref="X156:X170" si="122">BIN2HEX(V156,2)</f>
        <v>1F</v>
      </c>
      <c r="Y156" s="9" t="str">
        <f t="shared" ref="Y156:Y170" si="123">BIN2HEX(W156,2)</f>
        <v>1F</v>
      </c>
      <c r="AA156" t="str" cm="1">
        <f t="array" ref="AA156:AH156">TRANSPOSE(X163:X170)</f>
        <v>3F</v>
      </c>
      <c r="AB156" t="str">
        <v>1F</v>
      </c>
      <c r="AC156" t="str">
        <v>1D</v>
      </c>
      <c r="AD156" t="str">
        <v>0C</v>
      </c>
      <c r="AE156" t="str">
        <v>F3</v>
      </c>
      <c r="AF156" t="str">
        <v>F1</v>
      </c>
      <c r="AG156" t="str">
        <v>71</v>
      </c>
      <c r="AH156" t="str">
        <v>30</v>
      </c>
      <c r="AJ156" t="str">
        <f t="shared" ref="AJ156:AJ158" si="124">LOWER("!byte $"&amp;AA156&amp;", $"&amp;AB156&amp;", $"&amp;AC156&amp;", $"&amp;AD156&amp;", $"&amp;AE156&amp;", $"&amp;AF156&amp;", $"&amp;AG156&amp;", $"&amp;AH156)</f>
        <v>!byte $3f, $1f, $1d, $0c, $f3, $f1, $71, $30</v>
      </c>
    </row>
    <row r="157" spans="1:36" x14ac:dyDescent="0.3">
      <c r="B157" s="2">
        <v>0</v>
      </c>
      <c r="C157" s="2">
        <v>1</v>
      </c>
      <c r="D157" s="2">
        <v>3</v>
      </c>
      <c r="E157" s="2">
        <v>1</v>
      </c>
      <c r="F157" s="2">
        <v>0</v>
      </c>
      <c r="G157" s="2">
        <v>1</v>
      </c>
      <c r="H157" s="2">
        <v>3</v>
      </c>
      <c r="I157" s="2">
        <v>1</v>
      </c>
      <c r="K157" s="2" t="str">
        <f t="shared" si="111"/>
        <v>00</v>
      </c>
      <c r="L157" s="2" t="str">
        <f t="shared" si="112"/>
        <v>01</v>
      </c>
      <c r="M157" s="2" t="str">
        <f t="shared" si="113"/>
        <v>11</v>
      </c>
      <c r="N157" s="2" t="str">
        <f t="shared" si="114"/>
        <v>01</v>
      </c>
      <c r="O157" s="2" t="str">
        <f t="shared" si="115"/>
        <v>00</v>
      </c>
      <c r="P157" s="2" t="str">
        <f t="shared" si="116"/>
        <v>01</v>
      </c>
      <c r="Q157" s="2" t="str">
        <f t="shared" si="117"/>
        <v>11</v>
      </c>
      <c r="R157" s="2" t="str">
        <f t="shared" si="118"/>
        <v>01</v>
      </c>
      <c r="T157" t="str">
        <f t="shared" si="119"/>
        <v>0001110100011101</v>
      </c>
      <c r="V157" s="9" t="str">
        <f t="shared" si="120"/>
        <v>00011101</v>
      </c>
      <c r="W157" s="9" t="str">
        <f t="shared" si="121"/>
        <v>00011101</v>
      </c>
      <c r="X157" s="9" t="str">
        <f t="shared" si="122"/>
        <v>1D</v>
      </c>
      <c r="Y157" s="9" t="str">
        <f t="shared" si="123"/>
        <v>1D</v>
      </c>
      <c r="AA157" t="str" cm="1">
        <f t="array" ref="AA157:AH157">TRANSPOSE(Y155:Y162)</f>
        <v>3F</v>
      </c>
      <c r="AB157" t="str">
        <v>1F</v>
      </c>
      <c r="AC157" t="str">
        <v>1D</v>
      </c>
      <c r="AD157" t="str">
        <v>0C</v>
      </c>
      <c r="AE157" t="str">
        <v>F3</v>
      </c>
      <c r="AF157" t="str">
        <v>F1</v>
      </c>
      <c r="AG157" t="str">
        <v>71</v>
      </c>
      <c r="AH157" t="str">
        <v>30</v>
      </c>
      <c r="AJ157" t="str">
        <f t="shared" si="124"/>
        <v>!byte $3f, $1f, $1d, $0c, $f3, $f1, $71, $30</v>
      </c>
    </row>
    <row r="158" spans="1:36" x14ac:dyDescent="0.3">
      <c r="B158" s="2">
        <v>0</v>
      </c>
      <c r="C158" s="2">
        <v>0</v>
      </c>
      <c r="D158" s="2">
        <v>3</v>
      </c>
      <c r="E158" s="2">
        <v>0</v>
      </c>
      <c r="F158" s="2">
        <v>0</v>
      </c>
      <c r="G158" s="2">
        <v>0</v>
      </c>
      <c r="H158" s="2">
        <v>3</v>
      </c>
      <c r="I158" s="2">
        <v>0</v>
      </c>
      <c r="K158" s="2" t="str">
        <f t="shared" si="111"/>
        <v>00</v>
      </c>
      <c r="L158" s="2" t="str">
        <f t="shared" si="112"/>
        <v>00</v>
      </c>
      <c r="M158" s="2" t="str">
        <f t="shared" si="113"/>
        <v>11</v>
      </c>
      <c r="N158" s="2" t="str">
        <f t="shared" si="114"/>
        <v>00</v>
      </c>
      <c r="O158" s="2" t="str">
        <f t="shared" si="115"/>
        <v>00</v>
      </c>
      <c r="P158" s="2" t="str">
        <f t="shared" si="116"/>
        <v>00</v>
      </c>
      <c r="Q158" s="2" t="str">
        <f t="shared" si="117"/>
        <v>11</v>
      </c>
      <c r="R158" s="2" t="str">
        <f t="shared" si="118"/>
        <v>00</v>
      </c>
      <c r="T158" t="str">
        <f t="shared" si="119"/>
        <v>0000110000001100</v>
      </c>
      <c r="V158" s="9" t="str">
        <f t="shared" si="120"/>
        <v>00001100</v>
      </c>
      <c r="W158" s="9" t="str">
        <f t="shared" si="121"/>
        <v>00001100</v>
      </c>
      <c r="X158" s="9" t="str">
        <f t="shared" si="122"/>
        <v>0C</v>
      </c>
      <c r="Y158" s="9" t="str">
        <f t="shared" si="123"/>
        <v>0C</v>
      </c>
      <c r="AA158" t="str" cm="1">
        <f t="array" ref="AA158:AH158">TRANSPOSE(Y163:Y170)</f>
        <v>3F</v>
      </c>
      <c r="AB158" t="str">
        <v>1F</v>
      </c>
      <c r="AC158" t="str">
        <v>1D</v>
      </c>
      <c r="AD158" t="str">
        <v>0C</v>
      </c>
      <c r="AE158" t="str">
        <v>F3</v>
      </c>
      <c r="AF158" t="str">
        <v>F1</v>
      </c>
      <c r="AG158" t="str">
        <v>71</v>
      </c>
      <c r="AH158" t="str">
        <v>30</v>
      </c>
      <c r="AJ158" t="str">
        <f t="shared" si="124"/>
        <v>!byte $3f, $1f, $1d, $0c, $f3, $f1, $71, $30</v>
      </c>
    </row>
    <row r="159" spans="1:36" x14ac:dyDescent="0.3">
      <c r="B159" s="2">
        <v>3</v>
      </c>
      <c r="C159" s="2">
        <v>3</v>
      </c>
      <c r="D159" s="2">
        <v>0</v>
      </c>
      <c r="E159" s="2">
        <v>3</v>
      </c>
      <c r="F159" s="2">
        <v>3</v>
      </c>
      <c r="G159" s="2">
        <v>3</v>
      </c>
      <c r="H159" s="2">
        <v>0</v>
      </c>
      <c r="I159" s="2">
        <v>3</v>
      </c>
      <c r="K159" s="2" t="str">
        <f t="shared" si="111"/>
        <v>11</v>
      </c>
      <c r="L159" s="2" t="str">
        <f t="shared" si="112"/>
        <v>11</v>
      </c>
      <c r="M159" s="2" t="str">
        <f t="shared" si="113"/>
        <v>00</v>
      </c>
      <c r="N159" s="2" t="str">
        <f t="shared" si="114"/>
        <v>11</v>
      </c>
      <c r="O159" s="2" t="str">
        <f t="shared" si="115"/>
        <v>11</v>
      </c>
      <c r="P159" s="2" t="str">
        <f t="shared" si="116"/>
        <v>11</v>
      </c>
      <c r="Q159" s="2" t="str">
        <f t="shared" si="117"/>
        <v>00</v>
      </c>
      <c r="R159" s="2" t="str">
        <f t="shared" si="118"/>
        <v>11</v>
      </c>
      <c r="T159" t="str">
        <f t="shared" si="119"/>
        <v>1111001111110011</v>
      </c>
      <c r="V159" s="9" t="str">
        <f t="shared" si="120"/>
        <v>11110011</v>
      </c>
      <c r="W159" s="9" t="str">
        <f t="shared" si="121"/>
        <v>11110011</v>
      </c>
      <c r="X159" s="9" t="str">
        <f t="shared" si="122"/>
        <v>F3</v>
      </c>
      <c r="Y159" s="9" t="str">
        <f t="shared" si="123"/>
        <v>F3</v>
      </c>
    </row>
    <row r="160" spans="1:36" x14ac:dyDescent="0.3">
      <c r="B160" s="2">
        <v>3</v>
      </c>
      <c r="C160" s="2">
        <v>3</v>
      </c>
      <c r="D160" s="2">
        <v>0</v>
      </c>
      <c r="E160" s="2">
        <v>1</v>
      </c>
      <c r="F160" s="2">
        <v>3</v>
      </c>
      <c r="G160" s="2">
        <v>3</v>
      </c>
      <c r="H160" s="2">
        <v>0</v>
      </c>
      <c r="I160" s="2">
        <v>1</v>
      </c>
      <c r="K160" s="2" t="str">
        <f t="shared" si="111"/>
        <v>11</v>
      </c>
      <c r="L160" s="2" t="str">
        <f t="shared" si="112"/>
        <v>11</v>
      </c>
      <c r="M160" s="2" t="str">
        <f t="shared" si="113"/>
        <v>00</v>
      </c>
      <c r="N160" s="2" t="str">
        <f t="shared" si="114"/>
        <v>01</v>
      </c>
      <c r="O160" s="2" t="str">
        <f t="shared" si="115"/>
        <v>11</v>
      </c>
      <c r="P160" s="2" t="str">
        <f t="shared" si="116"/>
        <v>11</v>
      </c>
      <c r="Q160" s="2" t="str">
        <f t="shared" si="117"/>
        <v>00</v>
      </c>
      <c r="R160" s="2" t="str">
        <f t="shared" si="118"/>
        <v>01</v>
      </c>
      <c r="T160" t="str">
        <f t="shared" si="119"/>
        <v>1111000111110001</v>
      </c>
      <c r="V160" s="9" t="str">
        <f t="shared" si="120"/>
        <v>11110001</v>
      </c>
      <c r="W160" s="9" t="str">
        <f t="shared" si="121"/>
        <v>11110001</v>
      </c>
      <c r="X160" s="9" t="str">
        <f t="shared" si="122"/>
        <v>F1</v>
      </c>
      <c r="Y160" s="9" t="str">
        <f t="shared" si="123"/>
        <v>F1</v>
      </c>
    </row>
    <row r="161" spans="1:36" x14ac:dyDescent="0.3">
      <c r="B161" s="2">
        <v>1</v>
      </c>
      <c r="C161" s="2">
        <v>3</v>
      </c>
      <c r="D161" s="2">
        <v>0</v>
      </c>
      <c r="E161" s="2">
        <v>1</v>
      </c>
      <c r="F161" s="2">
        <v>1</v>
      </c>
      <c r="G161" s="2">
        <v>3</v>
      </c>
      <c r="H161" s="2">
        <v>0</v>
      </c>
      <c r="I161" s="2">
        <v>1</v>
      </c>
      <c r="K161" s="2" t="str">
        <f t="shared" si="111"/>
        <v>01</v>
      </c>
      <c r="L161" s="2" t="str">
        <f t="shared" si="112"/>
        <v>11</v>
      </c>
      <c r="M161" s="2" t="str">
        <f t="shared" si="113"/>
        <v>00</v>
      </c>
      <c r="N161" s="2" t="str">
        <f t="shared" si="114"/>
        <v>01</v>
      </c>
      <c r="O161" s="2" t="str">
        <f t="shared" si="115"/>
        <v>01</v>
      </c>
      <c r="P161" s="2" t="str">
        <f t="shared" si="116"/>
        <v>11</v>
      </c>
      <c r="Q161" s="2" t="str">
        <f t="shared" si="117"/>
        <v>00</v>
      </c>
      <c r="R161" s="2" t="str">
        <f t="shared" si="118"/>
        <v>01</v>
      </c>
      <c r="T161" t="str">
        <f t="shared" si="119"/>
        <v>0111000101110001</v>
      </c>
      <c r="V161" s="9" t="str">
        <f t="shared" si="120"/>
        <v>01110001</v>
      </c>
      <c r="W161" s="9" t="str">
        <f t="shared" si="121"/>
        <v>01110001</v>
      </c>
      <c r="X161" s="9" t="str">
        <f t="shared" si="122"/>
        <v>71</v>
      </c>
      <c r="Y161" s="9" t="str">
        <f t="shared" si="123"/>
        <v>71</v>
      </c>
    </row>
    <row r="162" spans="1:36" x14ac:dyDescent="0.3">
      <c r="B162" s="2">
        <v>0</v>
      </c>
      <c r="C162" s="2">
        <v>3</v>
      </c>
      <c r="D162" s="2">
        <v>0</v>
      </c>
      <c r="E162" s="2">
        <v>0</v>
      </c>
      <c r="F162" s="2">
        <v>0</v>
      </c>
      <c r="G162" s="2">
        <v>3</v>
      </c>
      <c r="H162" s="2">
        <v>0</v>
      </c>
      <c r="I162" s="2">
        <v>0</v>
      </c>
      <c r="K162" s="2" t="str">
        <f t="shared" si="111"/>
        <v>00</v>
      </c>
      <c r="L162" s="2" t="str">
        <f t="shared" si="112"/>
        <v>11</v>
      </c>
      <c r="M162" s="2" t="str">
        <f t="shared" si="113"/>
        <v>00</v>
      </c>
      <c r="N162" s="2" t="str">
        <f t="shared" si="114"/>
        <v>00</v>
      </c>
      <c r="O162" s="2" t="str">
        <f t="shared" si="115"/>
        <v>00</v>
      </c>
      <c r="P162" s="2" t="str">
        <f t="shared" si="116"/>
        <v>11</v>
      </c>
      <c r="Q162" s="2" t="str">
        <f t="shared" si="117"/>
        <v>00</v>
      </c>
      <c r="R162" s="2" t="str">
        <f t="shared" si="118"/>
        <v>00</v>
      </c>
      <c r="T162" t="str">
        <f t="shared" si="119"/>
        <v>0011000000110000</v>
      </c>
      <c r="V162" s="10" t="str">
        <f t="shared" si="120"/>
        <v>00110000</v>
      </c>
      <c r="W162" s="10" t="str">
        <f t="shared" si="121"/>
        <v>00110000</v>
      </c>
      <c r="X162" s="10" t="str">
        <f t="shared" si="122"/>
        <v>30</v>
      </c>
      <c r="Y162" s="10" t="str">
        <f t="shared" si="123"/>
        <v>30</v>
      </c>
    </row>
    <row r="163" spans="1:36" x14ac:dyDescent="0.3">
      <c r="B163" s="2">
        <v>0</v>
      </c>
      <c r="C163" s="2">
        <v>3</v>
      </c>
      <c r="D163" s="2">
        <v>3</v>
      </c>
      <c r="E163" s="2">
        <v>3</v>
      </c>
      <c r="F163" s="2">
        <v>0</v>
      </c>
      <c r="G163" s="2">
        <v>3</v>
      </c>
      <c r="H163" s="2">
        <v>3</v>
      </c>
      <c r="I163" s="2">
        <v>3</v>
      </c>
      <c r="K163" s="2" t="str">
        <f t="shared" si="111"/>
        <v>00</v>
      </c>
      <c r="L163" s="2" t="str">
        <f t="shared" si="112"/>
        <v>11</v>
      </c>
      <c r="M163" s="2" t="str">
        <f t="shared" si="113"/>
        <v>11</v>
      </c>
      <c r="N163" s="2" t="str">
        <f t="shared" si="114"/>
        <v>11</v>
      </c>
      <c r="O163" s="2" t="str">
        <f t="shared" si="115"/>
        <v>00</v>
      </c>
      <c r="P163" s="2" t="str">
        <f t="shared" si="116"/>
        <v>11</v>
      </c>
      <c r="Q163" s="2" t="str">
        <f t="shared" si="117"/>
        <v>11</v>
      </c>
      <c r="R163" s="2" t="str">
        <f t="shared" si="118"/>
        <v>11</v>
      </c>
      <c r="T163" t="str">
        <f t="shared" si="119"/>
        <v>0011111100111111</v>
      </c>
      <c r="V163" s="8" t="str">
        <f t="shared" si="120"/>
        <v>00111111</v>
      </c>
      <c r="W163" s="8" t="str">
        <f t="shared" si="121"/>
        <v>00111111</v>
      </c>
      <c r="X163" s="8" t="str">
        <f t="shared" si="122"/>
        <v>3F</v>
      </c>
      <c r="Y163" s="8" t="str">
        <f t="shared" si="123"/>
        <v>3F</v>
      </c>
    </row>
    <row r="164" spans="1:36" x14ac:dyDescent="0.3">
      <c r="B164" s="2">
        <v>0</v>
      </c>
      <c r="C164" s="2">
        <v>1</v>
      </c>
      <c r="D164" s="2">
        <v>3</v>
      </c>
      <c r="E164" s="2">
        <v>3</v>
      </c>
      <c r="F164" s="2">
        <v>0</v>
      </c>
      <c r="G164" s="2">
        <v>1</v>
      </c>
      <c r="H164" s="2">
        <v>3</v>
      </c>
      <c r="I164" s="2">
        <v>3</v>
      </c>
      <c r="K164" s="2" t="str">
        <f t="shared" si="111"/>
        <v>00</v>
      </c>
      <c r="L164" s="2" t="str">
        <f t="shared" si="112"/>
        <v>01</v>
      </c>
      <c r="M164" s="2" t="str">
        <f t="shared" si="113"/>
        <v>11</v>
      </c>
      <c r="N164" s="2" t="str">
        <f t="shared" si="114"/>
        <v>11</v>
      </c>
      <c r="O164" s="2" t="str">
        <f t="shared" si="115"/>
        <v>00</v>
      </c>
      <c r="P164" s="2" t="str">
        <f t="shared" si="116"/>
        <v>01</v>
      </c>
      <c r="Q164" s="2" t="str">
        <f t="shared" si="117"/>
        <v>11</v>
      </c>
      <c r="R164" s="2" t="str">
        <f t="shared" si="118"/>
        <v>11</v>
      </c>
      <c r="T164" t="str">
        <f t="shared" si="119"/>
        <v>0001111100011111</v>
      </c>
      <c r="V164" s="9" t="str">
        <f t="shared" si="120"/>
        <v>00011111</v>
      </c>
      <c r="W164" s="9" t="str">
        <f t="shared" si="121"/>
        <v>00011111</v>
      </c>
      <c r="X164" s="9" t="str">
        <f t="shared" si="122"/>
        <v>1F</v>
      </c>
      <c r="Y164" s="9" t="str">
        <f t="shared" si="123"/>
        <v>1F</v>
      </c>
    </row>
    <row r="165" spans="1:36" x14ac:dyDescent="0.3">
      <c r="B165" s="2">
        <v>0</v>
      </c>
      <c r="C165" s="2">
        <v>1</v>
      </c>
      <c r="D165" s="2">
        <v>3</v>
      </c>
      <c r="E165" s="2">
        <v>1</v>
      </c>
      <c r="F165" s="2">
        <v>0</v>
      </c>
      <c r="G165" s="2">
        <v>1</v>
      </c>
      <c r="H165" s="2">
        <v>3</v>
      </c>
      <c r="I165" s="2">
        <v>1</v>
      </c>
      <c r="K165" s="2" t="str">
        <f t="shared" si="111"/>
        <v>00</v>
      </c>
      <c r="L165" s="2" t="str">
        <f t="shared" si="112"/>
        <v>01</v>
      </c>
      <c r="M165" s="2" t="str">
        <f t="shared" si="113"/>
        <v>11</v>
      </c>
      <c r="N165" s="2" t="str">
        <f t="shared" si="114"/>
        <v>01</v>
      </c>
      <c r="O165" s="2" t="str">
        <f t="shared" si="115"/>
        <v>00</v>
      </c>
      <c r="P165" s="2" t="str">
        <f t="shared" si="116"/>
        <v>01</v>
      </c>
      <c r="Q165" s="2" t="str">
        <f t="shared" si="117"/>
        <v>11</v>
      </c>
      <c r="R165" s="2" t="str">
        <f t="shared" si="118"/>
        <v>01</v>
      </c>
      <c r="T165" t="str">
        <f t="shared" si="119"/>
        <v>0001110100011101</v>
      </c>
      <c r="V165" s="9" t="str">
        <f t="shared" si="120"/>
        <v>00011101</v>
      </c>
      <c r="W165" s="9" t="str">
        <f t="shared" si="121"/>
        <v>00011101</v>
      </c>
      <c r="X165" s="9" t="str">
        <f t="shared" si="122"/>
        <v>1D</v>
      </c>
      <c r="Y165" s="9" t="str">
        <f t="shared" si="123"/>
        <v>1D</v>
      </c>
    </row>
    <row r="166" spans="1:36" x14ac:dyDescent="0.3">
      <c r="B166" s="2">
        <v>0</v>
      </c>
      <c r="C166" s="2">
        <v>0</v>
      </c>
      <c r="D166" s="2">
        <v>3</v>
      </c>
      <c r="E166" s="2">
        <v>0</v>
      </c>
      <c r="F166" s="2">
        <v>0</v>
      </c>
      <c r="G166" s="2">
        <v>0</v>
      </c>
      <c r="H166" s="2">
        <v>3</v>
      </c>
      <c r="I166" s="2">
        <v>0</v>
      </c>
      <c r="K166" s="2" t="str">
        <f t="shared" si="111"/>
        <v>00</v>
      </c>
      <c r="L166" s="2" t="str">
        <f t="shared" si="112"/>
        <v>00</v>
      </c>
      <c r="M166" s="2" t="str">
        <f t="shared" si="113"/>
        <v>11</v>
      </c>
      <c r="N166" s="2" t="str">
        <f t="shared" si="114"/>
        <v>00</v>
      </c>
      <c r="O166" s="2" t="str">
        <f t="shared" si="115"/>
        <v>00</v>
      </c>
      <c r="P166" s="2" t="str">
        <f t="shared" si="116"/>
        <v>00</v>
      </c>
      <c r="Q166" s="2" t="str">
        <f t="shared" si="117"/>
        <v>11</v>
      </c>
      <c r="R166" s="2" t="str">
        <f t="shared" si="118"/>
        <v>00</v>
      </c>
      <c r="T166" t="str">
        <f t="shared" si="119"/>
        <v>0000110000001100</v>
      </c>
      <c r="V166" s="9" t="str">
        <f t="shared" si="120"/>
        <v>00001100</v>
      </c>
      <c r="W166" s="9" t="str">
        <f t="shared" si="121"/>
        <v>00001100</v>
      </c>
      <c r="X166" s="9" t="str">
        <f t="shared" si="122"/>
        <v>0C</v>
      </c>
      <c r="Y166" s="9" t="str">
        <f t="shared" si="123"/>
        <v>0C</v>
      </c>
    </row>
    <row r="167" spans="1:36" x14ac:dyDescent="0.3">
      <c r="B167" s="2">
        <v>3</v>
      </c>
      <c r="C167" s="2">
        <v>3</v>
      </c>
      <c r="D167" s="2">
        <v>0</v>
      </c>
      <c r="E167" s="2">
        <v>3</v>
      </c>
      <c r="F167" s="2">
        <v>3</v>
      </c>
      <c r="G167" s="2">
        <v>3</v>
      </c>
      <c r="H167" s="2">
        <v>0</v>
      </c>
      <c r="I167" s="2">
        <v>3</v>
      </c>
      <c r="K167" s="2" t="str">
        <f t="shared" si="111"/>
        <v>11</v>
      </c>
      <c r="L167" s="2" t="str">
        <f t="shared" si="112"/>
        <v>11</v>
      </c>
      <c r="M167" s="2" t="str">
        <f t="shared" si="113"/>
        <v>00</v>
      </c>
      <c r="N167" s="2" t="str">
        <f t="shared" si="114"/>
        <v>11</v>
      </c>
      <c r="O167" s="2" t="str">
        <f t="shared" si="115"/>
        <v>11</v>
      </c>
      <c r="P167" s="2" t="str">
        <f t="shared" si="116"/>
        <v>11</v>
      </c>
      <c r="Q167" s="2" t="str">
        <f t="shared" si="117"/>
        <v>00</v>
      </c>
      <c r="R167" s="2" t="str">
        <f t="shared" si="118"/>
        <v>11</v>
      </c>
      <c r="T167" t="str">
        <f t="shared" si="119"/>
        <v>1111001111110011</v>
      </c>
      <c r="V167" s="9" t="str">
        <f t="shared" si="120"/>
        <v>11110011</v>
      </c>
      <c r="W167" s="9" t="str">
        <f t="shared" si="121"/>
        <v>11110011</v>
      </c>
      <c r="X167" s="9" t="str">
        <f t="shared" si="122"/>
        <v>F3</v>
      </c>
      <c r="Y167" s="9" t="str">
        <f t="shared" si="123"/>
        <v>F3</v>
      </c>
    </row>
    <row r="168" spans="1:36" x14ac:dyDescent="0.3">
      <c r="B168" s="2">
        <v>3</v>
      </c>
      <c r="C168" s="2">
        <v>3</v>
      </c>
      <c r="D168" s="2">
        <v>0</v>
      </c>
      <c r="E168" s="2">
        <v>1</v>
      </c>
      <c r="F168" s="2">
        <v>3</v>
      </c>
      <c r="G168" s="2">
        <v>3</v>
      </c>
      <c r="H168" s="2">
        <v>0</v>
      </c>
      <c r="I168" s="2">
        <v>1</v>
      </c>
      <c r="K168" s="2" t="str">
        <f t="shared" si="111"/>
        <v>11</v>
      </c>
      <c r="L168" s="2" t="str">
        <f t="shared" si="112"/>
        <v>11</v>
      </c>
      <c r="M168" s="2" t="str">
        <f t="shared" si="113"/>
        <v>00</v>
      </c>
      <c r="N168" s="2" t="str">
        <f t="shared" si="114"/>
        <v>01</v>
      </c>
      <c r="O168" s="2" t="str">
        <f t="shared" si="115"/>
        <v>11</v>
      </c>
      <c r="P168" s="2" t="str">
        <f t="shared" si="116"/>
        <v>11</v>
      </c>
      <c r="Q168" s="2" t="str">
        <f t="shared" si="117"/>
        <v>00</v>
      </c>
      <c r="R168" s="2" t="str">
        <f t="shared" si="118"/>
        <v>01</v>
      </c>
      <c r="T168" t="str">
        <f t="shared" si="119"/>
        <v>1111000111110001</v>
      </c>
      <c r="V168" s="9" t="str">
        <f t="shared" si="120"/>
        <v>11110001</v>
      </c>
      <c r="W168" s="9" t="str">
        <f t="shared" si="121"/>
        <v>11110001</v>
      </c>
      <c r="X168" s="9" t="str">
        <f t="shared" si="122"/>
        <v>F1</v>
      </c>
      <c r="Y168" s="9" t="str">
        <f t="shared" si="123"/>
        <v>F1</v>
      </c>
    </row>
    <row r="169" spans="1:36" x14ac:dyDescent="0.3">
      <c r="B169" s="2">
        <v>1</v>
      </c>
      <c r="C169" s="2">
        <v>3</v>
      </c>
      <c r="D169" s="2">
        <v>0</v>
      </c>
      <c r="E169" s="2">
        <v>1</v>
      </c>
      <c r="F169" s="2">
        <v>1</v>
      </c>
      <c r="G169" s="2">
        <v>3</v>
      </c>
      <c r="H169" s="2">
        <v>0</v>
      </c>
      <c r="I169" s="2">
        <v>1</v>
      </c>
      <c r="K169" s="2" t="str">
        <f t="shared" si="111"/>
        <v>01</v>
      </c>
      <c r="L169" s="2" t="str">
        <f t="shared" si="112"/>
        <v>11</v>
      </c>
      <c r="M169" s="2" t="str">
        <f t="shared" si="113"/>
        <v>00</v>
      </c>
      <c r="N169" s="2" t="str">
        <f t="shared" si="114"/>
        <v>01</v>
      </c>
      <c r="O169" s="2" t="str">
        <f t="shared" si="115"/>
        <v>01</v>
      </c>
      <c r="P169" s="2" t="str">
        <f t="shared" si="116"/>
        <v>11</v>
      </c>
      <c r="Q169" s="2" t="str">
        <f t="shared" si="117"/>
        <v>00</v>
      </c>
      <c r="R169" s="2" t="str">
        <f t="shared" si="118"/>
        <v>01</v>
      </c>
      <c r="T169" t="str">
        <f t="shared" si="119"/>
        <v>0111000101110001</v>
      </c>
      <c r="V169" s="9" t="str">
        <f t="shared" si="120"/>
        <v>01110001</v>
      </c>
      <c r="W169" s="9" t="str">
        <f t="shared" si="121"/>
        <v>01110001</v>
      </c>
      <c r="X169" s="9" t="str">
        <f t="shared" si="122"/>
        <v>71</v>
      </c>
      <c r="Y169" s="9" t="str">
        <f t="shared" si="123"/>
        <v>71</v>
      </c>
    </row>
    <row r="170" spans="1:36" x14ac:dyDescent="0.3">
      <c r="B170" s="2">
        <v>0</v>
      </c>
      <c r="C170" s="2">
        <v>3</v>
      </c>
      <c r="D170" s="2">
        <v>0</v>
      </c>
      <c r="E170" s="2">
        <v>0</v>
      </c>
      <c r="F170" s="2">
        <v>0</v>
      </c>
      <c r="G170" s="2">
        <v>3</v>
      </c>
      <c r="H170" s="2">
        <v>0</v>
      </c>
      <c r="I170" s="2">
        <v>0</v>
      </c>
      <c r="K170" s="2" t="str">
        <f t="shared" si="111"/>
        <v>00</v>
      </c>
      <c r="L170" s="2" t="str">
        <f t="shared" si="112"/>
        <v>11</v>
      </c>
      <c r="M170" s="2" t="str">
        <f t="shared" si="113"/>
        <v>00</v>
      </c>
      <c r="N170" s="2" t="str">
        <f t="shared" si="114"/>
        <v>00</v>
      </c>
      <c r="O170" s="2" t="str">
        <f t="shared" si="115"/>
        <v>00</v>
      </c>
      <c r="P170" s="2" t="str">
        <f t="shared" si="116"/>
        <v>11</v>
      </c>
      <c r="Q170" s="2" t="str">
        <f t="shared" si="117"/>
        <v>00</v>
      </c>
      <c r="R170" s="2" t="str">
        <f t="shared" si="118"/>
        <v>00</v>
      </c>
      <c r="T170" t="str">
        <f t="shared" si="119"/>
        <v>0011000000110000</v>
      </c>
      <c r="V170" s="10" t="str">
        <f t="shared" si="120"/>
        <v>00110000</v>
      </c>
      <c r="W170" s="10" t="str">
        <f t="shared" si="121"/>
        <v>00110000</v>
      </c>
      <c r="X170" s="10" t="str">
        <f t="shared" si="122"/>
        <v>30</v>
      </c>
      <c r="Y170" s="10" t="str">
        <f t="shared" si="123"/>
        <v>30</v>
      </c>
    </row>
    <row r="171" spans="1:36" x14ac:dyDescent="0.3">
      <c r="A171" t="s">
        <v>18</v>
      </c>
      <c r="AJ171" t="str">
        <f>";"&amp;PROPER(A171)</f>
        <v>;Magic Wall 4</v>
      </c>
    </row>
    <row r="172" spans="1:36" x14ac:dyDescent="0.3">
      <c r="B172" s="2">
        <v>0</v>
      </c>
      <c r="C172" s="2">
        <v>3</v>
      </c>
      <c r="D172" s="2">
        <v>3</v>
      </c>
      <c r="E172" s="2">
        <v>3</v>
      </c>
      <c r="F172" s="2">
        <v>0</v>
      </c>
      <c r="G172" s="2">
        <v>3</v>
      </c>
      <c r="H172" s="2">
        <v>3</v>
      </c>
      <c r="I172" s="2">
        <v>3</v>
      </c>
      <c r="K172" s="2" t="str">
        <f t="shared" ref="K172:K187" si="125">DEC2BIN(B172,2)</f>
        <v>00</v>
      </c>
      <c r="L172" s="2" t="str">
        <f t="shared" ref="L172:L187" si="126">DEC2BIN(C172,2)</f>
        <v>11</v>
      </c>
      <c r="M172" s="2" t="str">
        <f t="shared" ref="M172:M187" si="127">DEC2BIN(D172,2)</f>
        <v>11</v>
      </c>
      <c r="N172" s="2" t="str">
        <f t="shared" ref="N172:N187" si="128">DEC2BIN(E172,2)</f>
        <v>11</v>
      </c>
      <c r="O172" s="2" t="str">
        <f t="shared" ref="O172:O187" si="129">DEC2BIN(F172,2)</f>
        <v>00</v>
      </c>
      <c r="P172" s="2" t="str">
        <f t="shared" ref="P172:P187" si="130">DEC2BIN(G172,2)</f>
        <v>11</v>
      </c>
      <c r="Q172" s="2" t="str">
        <f t="shared" ref="Q172:Q187" si="131">DEC2BIN(H172,2)</f>
        <v>11</v>
      </c>
      <c r="R172" s="2" t="str">
        <f t="shared" ref="R172:R187" si="132">DEC2BIN(I172,2)</f>
        <v>11</v>
      </c>
      <c r="T172" t="str">
        <f t="shared" ref="T172:T187" si="133">_xlfn.CONCAT(K172:R172)</f>
        <v>0011111100111111</v>
      </c>
      <c r="V172" s="8" t="str">
        <f>LEFT(T172,8)</f>
        <v>00111111</v>
      </c>
      <c r="W172" s="8" t="str">
        <f>RIGHT(T172,8)</f>
        <v>00111111</v>
      </c>
      <c r="X172" s="8" t="str">
        <f>BIN2HEX(V172,2)</f>
        <v>3F</v>
      </c>
      <c r="Y172" s="8" t="str">
        <f>BIN2HEX(W172,2)</f>
        <v>3F</v>
      </c>
      <c r="AA172" t="str" cm="1">
        <f t="array" ref="AA172:AH172">TRANSPOSE(X172:X179)</f>
        <v>3F</v>
      </c>
      <c r="AB172" t="str">
        <v>1F</v>
      </c>
      <c r="AC172" t="str">
        <v>17</v>
      </c>
      <c r="AD172" t="str">
        <v>03</v>
      </c>
      <c r="AE172" t="str">
        <v>F3</v>
      </c>
      <c r="AF172" t="str">
        <v>F1</v>
      </c>
      <c r="AG172" t="str">
        <v>D1</v>
      </c>
      <c r="AH172" t="str">
        <v>C0</v>
      </c>
      <c r="AJ172" t="str">
        <f>LOWER("!byte $"&amp;AA172&amp;", $"&amp;AB172&amp;", $"&amp;AC172&amp;", $"&amp;AD172&amp;", $"&amp;AE172&amp;", $"&amp;AF172&amp;", $"&amp;AG172&amp;", $"&amp;AH172)</f>
        <v>!byte $3f, $1f, $17, $03, $f3, $f1, $d1, $c0</v>
      </c>
    </row>
    <row r="173" spans="1:36" x14ac:dyDescent="0.3">
      <c r="B173" s="2">
        <v>0</v>
      </c>
      <c r="C173" s="2">
        <v>1</v>
      </c>
      <c r="D173" s="2">
        <v>3</v>
      </c>
      <c r="E173" s="2">
        <v>3</v>
      </c>
      <c r="F173" s="2">
        <v>0</v>
      </c>
      <c r="G173" s="2">
        <v>1</v>
      </c>
      <c r="H173" s="2">
        <v>3</v>
      </c>
      <c r="I173" s="2">
        <v>3</v>
      </c>
      <c r="K173" s="2" t="str">
        <f t="shared" si="125"/>
        <v>00</v>
      </c>
      <c r="L173" s="2" t="str">
        <f t="shared" si="126"/>
        <v>01</v>
      </c>
      <c r="M173" s="2" t="str">
        <f t="shared" si="127"/>
        <v>11</v>
      </c>
      <c r="N173" s="2" t="str">
        <f t="shared" si="128"/>
        <v>11</v>
      </c>
      <c r="O173" s="2" t="str">
        <f t="shared" si="129"/>
        <v>00</v>
      </c>
      <c r="P173" s="2" t="str">
        <f t="shared" si="130"/>
        <v>01</v>
      </c>
      <c r="Q173" s="2" t="str">
        <f t="shared" si="131"/>
        <v>11</v>
      </c>
      <c r="R173" s="2" t="str">
        <f t="shared" si="132"/>
        <v>11</v>
      </c>
      <c r="T173" t="str">
        <f t="shared" si="133"/>
        <v>0001111100011111</v>
      </c>
      <c r="V173" s="9" t="str">
        <f t="shared" ref="V173:V187" si="134">LEFT(T173,8)</f>
        <v>00011111</v>
      </c>
      <c r="W173" s="9" t="str">
        <f t="shared" ref="W173:W187" si="135">RIGHT(T173,8)</f>
        <v>00011111</v>
      </c>
      <c r="X173" s="9" t="str">
        <f t="shared" ref="X173:X187" si="136">BIN2HEX(V173,2)</f>
        <v>1F</v>
      </c>
      <c r="Y173" s="9" t="str">
        <f t="shared" ref="Y173:Y187" si="137">BIN2HEX(W173,2)</f>
        <v>1F</v>
      </c>
      <c r="AA173" t="str" cm="1">
        <f t="array" ref="AA173:AH173">TRANSPOSE(X180:X187)</f>
        <v>3F</v>
      </c>
      <c r="AB173" t="str">
        <v>1F</v>
      </c>
      <c r="AC173" t="str">
        <v>17</v>
      </c>
      <c r="AD173" t="str">
        <v>03</v>
      </c>
      <c r="AE173" t="str">
        <v>F3</v>
      </c>
      <c r="AF173" t="str">
        <v>F1</v>
      </c>
      <c r="AG173" t="str">
        <v>D1</v>
      </c>
      <c r="AH173" t="str">
        <v>C0</v>
      </c>
      <c r="AJ173" t="str">
        <f t="shared" ref="AJ173:AJ175" si="138">LOWER("!byte $"&amp;AA173&amp;", $"&amp;AB173&amp;", $"&amp;AC173&amp;", $"&amp;AD173&amp;", $"&amp;AE173&amp;", $"&amp;AF173&amp;", $"&amp;AG173&amp;", $"&amp;AH173)</f>
        <v>!byte $3f, $1f, $17, $03, $f3, $f1, $d1, $c0</v>
      </c>
    </row>
    <row r="174" spans="1:36" x14ac:dyDescent="0.3">
      <c r="B174" s="2">
        <v>0</v>
      </c>
      <c r="C174" s="2">
        <v>1</v>
      </c>
      <c r="D174" s="2">
        <v>1</v>
      </c>
      <c r="E174" s="2">
        <v>3</v>
      </c>
      <c r="F174" s="2">
        <v>0</v>
      </c>
      <c r="G174" s="2">
        <v>1</v>
      </c>
      <c r="H174" s="2">
        <v>1</v>
      </c>
      <c r="I174" s="2">
        <v>3</v>
      </c>
      <c r="K174" s="2" t="str">
        <f t="shared" si="125"/>
        <v>00</v>
      </c>
      <c r="L174" s="2" t="str">
        <f t="shared" si="126"/>
        <v>01</v>
      </c>
      <c r="M174" s="2" t="str">
        <f t="shared" si="127"/>
        <v>01</v>
      </c>
      <c r="N174" s="2" t="str">
        <f t="shared" si="128"/>
        <v>11</v>
      </c>
      <c r="O174" s="2" t="str">
        <f t="shared" si="129"/>
        <v>00</v>
      </c>
      <c r="P174" s="2" t="str">
        <f t="shared" si="130"/>
        <v>01</v>
      </c>
      <c r="Q174" s="2" t="str">
        <f t="shared" si="131"/>
        <v>01</v>
      </c>
      <c r="R174" s="2" t="str">
        <f t="shared" si="132"/>
        <v>11</v>
      </c>
      <c r="T174" t="str">
        <f t="shared" si="133"/>
        <v>0001011100010111</v>
      </c>
      <c r="V174" s="9" t="str">
        <f t="shared" si="134"/>
        <v>00010111</v>
      </c>
      <c r="W174" s="9" t="str">
        <f t="shared" si="135"/>
        <v>00010111</v>
      </c>
      <c r="X174" s="9" t="str">
        <f t="shared" si="136"/>
        <v>17</v>
      </c>
      <c r="Y174" s="9" t="str">
        <f t="shared" si="137"/>
        <v>17</v>
      </c>
      <c r="AA174" t="str" cm="1">
        <f t="array" ref="AA174:AH174">TRANSPOSE(Y172:Y179)</f>
        <v>3F</v>
      </c>
      <c r="AB174" t="str">
        <v>1F</v>
      </c>
      <c r="AC174" t="str">
        <v>17</v>
      </c>
      <c r="AD174" t="str">
        <v>03</v>
      </c>
      <c r="AE174" t="str">
        <v>F3</v>
      </c>
      <c r="AF174" t="str">
        <v>F1</v>
      </c>
      <c r="AG174" t="str">
        <v>D1</v>
      </c>
      <c r="AH174" t="str">
        <v>C0</v>
      </c>
      <c r="AJ174" t="str">
        <f t="shared" si="138"/>
        <v>!byte $3f, $1f, $17, $03, $f3, $f1, $d1, $c0</v>
      </c>
    </row>
    <row r="175" spans="1:36" x14ac:dyDescent="0.3"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0</v>
      </c>
      <c r="H175" s="2">
        <v>0</v>
      </c>
      <c r="I175" s="2">
        <v>3</v>
      </c>
      <c r="K175" s="2" t="str">
        <f t="shared" si="125"/>
        <v>00</v>
      </c>
      <c r="L175" s="2" t="str">
        <f t="shared" si="126"/>
        <v>00</v>
      </c>
      <c r="M175" s="2" t="str">
        <f t="shared" si="127"/>
        <v>00</v>
      </c>
      <c r="N175" s="2" t="str">
        <f t="shared" si="128"/>
        <v>11</v>
      </c>
      <c r="O175" s="2" t="str">
        <f t="shared" si="129"/>
        <v>00</v>
      </c>
      <c r="P175" s="2" t="str">
        <f t="shared" si="130"/>
        <v>00</v>
      </c>
      <c r="Q175" s="2" t="str">
        <f t="shared" si="131"/>
        <v>00</v>
      </c>
      <c r="R175" s="2" t="str">
        <f t="shared" si="132"/>
        <v>11</v>
      </c>
      <c r="T175" t="str">
        <f t="shared" si="133"/>
        <v>0000001100000011</v>
      </c>
      <c r="V175" s="9" t="str">
        <f t="shared" si="134"/>
        <v>00000011</v>
      </c>
      <c r="W175" s="9" t="str">
        <f t="shared" si="135"/>
        <v>00000011</v>
      </c>
      <c r="X175" s="9" t="str">
        <f t="shared" si="136"/>
        <v>03</v>
      </c>
      <c r="Y175" s="9" t="str">
        <f t="shared" si="137"/>
        <v>03</v>
      </c>
      <c r="AA175" t="str" cm="1">
        <f t="array" ref="AA175:AH175">TRANSPOSE(Y180:Y187)</f>
        <v>3F</v>
      </c>
      <c r="AB175" t="str">
        <v>1F</v>
      </c>
      <c r="AC175" t="str">
        <v>17</v>
      </c>
      <c r="AD175" t="str">
        <v>03</v>
      </c>
      <c r="AE175" t="str">
        <v>F3</v>
      </c>
      <c r="AF175" t="str">
        <v>F1</v>
      </c>
      <c r="AG175" t="str">
        <v>D1</v>
      </c>
      <c r="AH175" t="str">
        <v>C0</v>
      </c>
      <c r="AJ175" t="str">
        <f t="shared" si="138"/>
        <v>!byte $3f, $1f, $17, $03, $f3, $f1, $d1, $c0</v>
      </c>
    </row>
    <row r="176" spans="1:36" x14ac:dyDescent="0.3">
      <c r="B176" s="2">
        <v>3</v>
      </c>
      <c r="C176" s="2">
        <v>3</v>
      </c>
      <c r="D176" s="2">
        <v>0</v>
      </c>
      <c r="E176" s="2">
        <v>3</v>
      </c>
      <c r="F176" s="2">
        <v>3</v>
      </c>
      <c r="G176" s="2">
        <v>3</v>
      </c>
      <c r="H176" s="2">
        <v>0</v>
      </c>
      <c r="I176" s="2">
        <v>3</v>
      </c>
      <c r="K176" s="2" t="str">
        <f t="shared" si="125"/>
        <v>11</v>
      </c>
      <c r="L176" s="2" t="str">
        <f t="shared" si="126"/>
        <v>11</v>
      </c>
      <c r="M176" s="2" t="str">
        <f t="shared" si="127"/>
        <v>00</v>
      </c>
      <c r="N176" s="2" t="str">
        <f t="shared" si="128"/>
        <v>11</v>
      </c>
      <c r="O176" s="2" t="str">
        <f t="shared" si="129"/>
        <v>11</v>
      </c>
      <c r="P176" s="2" t="str">
        <f t="shared" si="130"/>
        <v>11</v>
      </c>
      <c r="Q176" s="2" t="str">
        <f t="shared" si="131"/>
        <v>00</v>
      </c>
      <c r="R176" s="2" t="str">
        <f t="shared" si="132"/>
        <v>11</v>
      </c>
      <c r="T176" t="str">
        <f t="shared" si="133"/>
        <v>1111001111110011</v>
      </c>
      <c r="V176" s="9" t="str">
        <f t="shared" si="134"/>
        <v>11110011</v>
      </c>
      <c r="W176" s="9" t="str">
        <f t="shared" si="135"/>
        <v>11110011</v>
      </c>
      <c r="X176" s="9" t="str">
        <f t="shared" si="136"/>
        <v>F3</v>
      </c>
      <c r="Y176" s="9" t="str">
        <f t="shared" si="137"/>
        <v>F3</v>
      </c>
    </row>
    <row r="177" spans="1:36" x14ac:dyDescent="0.3">
      <c r="B177" s="2">
        <v>3</v>
      </c>
      <c r="C177" s="2">
        <v>3</v>
      </c>
      <c r="D177" s="2">
        <v>0</v>
      </c>
      <c r="E177" s="2">
        <v>1</v>
      </c>
      <c r="F177" s="2">
        <v>3</v>
      </c>
      <c r="G177" s="2">
        <v>3</v>
      </c>
      <c r="H177" s="2">
        <v>0</v>
      </c>
      <c r="I177" s="2">
        <v>1</v>
      </c>
      <c r="K177" s="2" t="str">
        <f t="shared" si="125"/>
        <v>11</v>
      </c>
      <c r="L177" s="2" t="str">
        <f t="shared" si="126"/>
        <v>11</v>
      </c>
      <c r="M177" s="2" t="str">
        <f t="shared" si="127"/>
        <v>00</v>
      </c>
      <c r="N177" s="2" t="str">
        <f t="shared" si="128"/>
        <v>01</v>
      </c>
      <c r="O177" s="2" t="str">
        <f t="shared" si="129"/>
        <v>11</v>
      </c>
      <c r="P177" s="2" t="str">
        <f t="shared" si="130"/>
        <v>11</v>
      </c>
      <c r="Q177" s="2" t="str">
        <f t="shared" si="131"/>
        <v>00</v>
      </c>
      <c r="R177" s="2" t="str">
        <f t="shared" si="132"/>
        <v>01</v>
      </c>
      <c r="T177" t="str">
        <f t="shared" si="133"/>
        <v>1111000111110001</v>
      </c>
      <c r="V177" s="9" t="str">
        <f t="shared" si="134"/>
        <v>11110001</v>
      </c>
      <c r="W177" s="9" t="str">
        <f t="shared" si="135"/>
        <v>11110001</v>
      </c>
      <c r="X177" s="9" t="str">
        <f t="shared" si="136"/>
        <v>F1</v>
      </c>
      <c r="Y177" s="9" t="str">
        <f t="shared" si="137"/>
        <v>F1</v>
      </c>
    </row>
    <row r="178" spans="1:36" x14ac:dyDescent="0.3">
      <c r="B178" s="2">
        <v>3</v>
      </c>
      <c r="C178" s="2">
        <v>1</v>
      </c>
      <c r="D178" s="2">
        <v>0</v>
      </c>
      <c r="E178" s="2">
        <v>1</v>
      </c>
      <c r="F178" s="2">
        <v>3</v>
      </c>
      <c r="G178" s="2">
        <v>1</v>
      </c>
      <c r="H178" s="2">
        <v>0</v>
      </c>
      <c r="I178" s="2">
        <v>1</v>
      </c>
      <c r="K178" s="2" t="str">
        <f t="shared" si="125"/>
        <v>11</v>
      </c>
      <c r="L178" s="2" t="str">
        <f t="shared" si="126"/>
        <v>01</v>
      </c>
      <c r="M178" s="2" t="str">
        <f t="shared" si="127"/>
        <v>00</v>
      </c>
      <c r="N178" s="2" t="str">
        <f t="shared" si="128"/>
        <v>01</v>
      </c>
      <c r="O178" s="2" t="str">
        <f t="shared" si="129"/>
        <v>11</v>
      </c>
      <c r="P178" s="2" t="str">
        <f t="shared" si="130"/>
        <v>01</v>
      </c>
      <c r="Q178" s="2" t="str">
        <f t="shared" si="131"/>
        <v>00</v>
      </c>
      <c r="R178" s="2" t="str">
        <f t="shared" si="132"/>
        <v>01</v>
      </c>
      <c r="T178" t="str">
        <f t="shared" si="133"/>
        <v>1101000111010001</v>
      </c>
      <c r="V178" s="9" t="str">
        <f t="shared" si="134"/>
        <v>11010001</v>
      </c>
      <c r="W178" s="9" t="str">
        <f t="shared" si="135"/>
        <v>11010001</v>
      </c>
      <c r="X178" s="9" t="str">
        <f t="shared" si="136"/>
        <v>D1</v>
      </c>
      <c r="Y178" s="9" t="str">
        <f t="shared" si="137"/>
        <v>D1</v>
      </c>
    </row>
    <row r="179" spans="1:36" x14ac:dyDescent="0.3">
      <c r="B179" s="2">
        <v>3</v>
      </c>
      <c r="C179" s="2">
        <v>0</v>
      </c>
      <c r="D179" s="2">
        <v>0</v>
      </c>
      <c r="E179" s="2">
        <v>0</v>
      </c>
      <c r="F179" s="2">
        <v>3</v>
      </c>
      <c r="G179" s="2">
        <v>0</v>
      </c>
      <c r="H179" s="2">
        <v>0</v>
      </c>
      <c r="I179" s="2">
        <v>0</v>
      </c>
      <c r="K179" s="2" t="str">
        <f t="shared" si="125"/>
        <v>11</v>
      </c>
      <c r="L179" s="2" t="str">
        <f t="shared" si="126"/>
        <v>00</v>
      </c>
      <c r="M179" s="2" t="str">
        <f t="shared" si="127"/>
        <v>00</v>
      </c>
      <c r="N179" s="2" t="str">
        <f t="shared" si="128"/>
        <v>00</v>
      </c>
      <c r="O179" s="2" t="str">
        <f t="shared" si="129"/>
        <v>11</v>
      </c>
      <c r="P179" s="2" t="str">
        <f t="shared" si="130"/>
        <v>00</v>
      </c>
      <c r="Q179" s="2" t="str">
        <f t="shared" si="131"/>
        <v>00</v>
      </c>
      <c r="R179" s="2" t="str">
        <f t="shared" si="132"/>
        <v>00</v>
      </c>
      <c r="T179" t="str">
        <f t="shared" si="133"/>
        <v>1100000011000000</v>
      </c>
      <c r="V179" s="10" t="str">
        <f t="shared" si="134"/>
        <v>11000000</v>
      </c>
      <c r="W179" s="10" t="str">
        <f t="shared" si="135"/>
        <v>11000000</v>
      </c>
      <c r="X179" s="10" t="str">
        <f t="shared" si="136"/>
        <v>C0</v>
      </c>
      <c r="Y179" s="10" t="str">
        <f t="shared" si="137"/>
        <v>C0</v>
      </c>
    </row>
    <row r="180" spans="1:36" x14ac:dyDescent="0.3">
      <c r="B180" s="2">
        <v>0</v>
      </c>
      <c r="C180" s="2">
        <v>3</v>
      </c>
      <c r="D180" s="2">
        <v>3</v>
      </c>
      <c r="E180" s="2">
        <v>3</v>
      </c>
      <c r="F180" s="2">
        <v>0</v>
      </c>
      <c r="G180" s="2">
        <v>3</v>
      </c>
      <c r="H180" s="2">
        <v>3</v>
      </c>
      <c r="I180" s="2">
        <v>3</v>
      </c>
      <c r="K180" s="2" t="str">
        <f t="shared" si="125"/>
        <v>00</v>
      </c>
      <c r="L180" s="2" t="str">
        <f t="shared" si="126"/>
        <v>11</v>
      </c>
      <c r="M180" s="2" t="str">
        <f t="shared" si="127"/>
        <v>11</v>
      </c>
      <c r="N180" s="2" t="str">
        <f t="shared" si="128"/>
        <v>11</v>
      </c>
      <c r="O180" s="2" t="str">
        <f t="shared" si="129"/>
        <v>00</v>
      </c>
      <c r="P180" s="2" t="str">
        <f t="shared" si="130"/>
        <v>11</v>
      </c>
      <c r="Q180" s="2" t="str">
        <f t="shared" si="131"/>
        <v>11</v>
      </c>
      <c r="R180" s="2" t="str">
        <f t="shared" si="132"/>
        <v>11</v>
      </c>
      <c r="T180" t="str">
        <f t="shared" si="133"/>
        <v>0011111100111111</v>
      </c>
      <c r="V180" s="8" t="str">
        <f t="shared" si="134"/>
        <v>00111111</v>
      </c>
      <c r="W180" s="8" t="str">
        <f t="shared" si="135"/>
        <v>00111111</v>
      </c>
      <c r="X180" s="8" t="str">
        <f t="shared" si="136"/>
        <v>3F</v>
      </c>
      <c r="Y180" s="8" t="str">
        <f t="shared" si="137"/>
        <v>3F</v>
      </c>
    </row>
    <row r="181" spans="1:36" x14ac:dyDescent="0.3">
      <c r="B181" s="2">
        <v>0</v>
      </c>
      <c r="C181" s="2">
        <v>1</v>
      </c>
      <c r="D181" s="2">
        <v>3</v>
      </c>
      <c r="E181" s="2">
        <v>3</v>
      </c>
      <c r="F181" s="2">
        <v>0</v>
      </c>
      <c r="G181" s="2">
        <v>1</v>
      </c>
      <c r="H181" s="2">
        <v>3</v>
      </c>
      <c r="I181" s="2">
        <v>3</v>
      </c>
      <c r="K181" s="2" t="str">
        <f t="shared" si="125"/>
        <v>00</v>
      </c>
      <c r="L181" s="2" t="str">
        <f t="shared" si="126"/>
        <v>01</v>
      </c>
      <c r="M181" s="2" t="str">
        <f t="shared" si="127"/>
        <v>11</v>
      </c>
      <c r="N181" s="2" t="str">
        <f t="shared" si="128"/>
        <v>11</v>
      </c>
      <c r="O181" s="2" t="str">
        <f t="shared" si="129"/>
        <v>00</v>
      </c>
      <c r="P181" s="2" t="str">
        <f t="shared" si="130"/>
        <v>01</v>
      </c>
      <c r="Q181" s="2" t="str">
        <f t="shared" si="131"/>
        <v>11</v>
      </c>
      <c r="R181" s="2" t="str">
        <f t="shared" si="132"/>
        <v>11</v>
      </c>
      <c r="T181" t="str">
        <f t="shared" si="133"/>
        <v>0001111100011111</v>
      </c>
      <c r="V181" s="9" t="str">
        <f t="shared" si="134"/>
        <v>00011111</v>
      </c>
      <c r="W181" s="9" t="str">
        <f t="shared" si="135"/>
        <v>00011111</v>
      </c>
      <c r="X181" s="9" t="str">
        <f t="shared" si="136"/>
        <v>1F</v>
      </c>
      <c r="Y181" s="9" t="str">
        <f t="shared" si="137"/>
        <v>1F</v>
      </c>
    </row>
    <row r="182" spans="1:36" x14ac:dyDescent="0.3">
      <c r="B182" s="2">
        <v>0</v>
      </c>
      <c r="C182" s="2">
        <v>1</v>
      </c>
      <c r="D182" s="2">
        <v>1</v>
      </c>
      <c r="E182" s="2">
        <v>3</v>
      </c>
      <c r="F182" s="2">
        <v>0</v>
      </c>
      <c r="G182" s="2">
        <v>1</v>
      </c>
      <c r="H182" s="2">
        <v>1</v>
      </c>
      <c r="I182" s="2">
        <v>3</v>
      </c>
      <c r="K182" s="2" t="str">
        <f t="shared" si="125"/>
        <v>00</v>
      </c>
      <c r="L182" s="2" t="str">
        <f t="shared" si="126"/>
        <v>01</v>
      </c>
      <c r="M182" s="2" t="str">
        <f t="shared" si="127"/>
        <v>01</v>
      </c>
      <c r="N182" s="2" t="str">
        <f t="shared" si="128"/>
        <v>11</v>
      </c>
      <c r="O182" s="2" t="str">
        <f t="shared" si="129"/>
        <v>00</v>
      </c>
      <c r="P182" s="2" t="str">
        <f t="shared" si="130"/>
        <v>01</v>
      </c>
      <c r="Q182" s="2" t="str">
        <f t="shared" si="131"/>
        <v>01</v>
      </c>
      <c r="R182" s="2" t="str">
        <f t="shared" si="132"/>
        <v>11</v>
      </c>
      <c r="T182" t="str">
        <f t="shared" si="133"/>
        <v>0001011100010111</v>
      </c>
      <c r="V182" s="9" t="str">
        <f t="shared" si="134"/>
        <v>00010111</v>
      </c>
      <c r="W182" s="9" t="str">
        <f t="shared" si="135"/>
        <v>00010111</v>
      </c>
      <c r="X182" s="9" t="str">
        <f t="shared" si="136"/>
        <v>17</v>
      </c>
      <c r="Y182" s="9" t="str">
        <f t="shared" si="137"/>
        <v>17</v>
      </c>
    </row>
    <row r="183" spans="1:36" x14ac:dyDescent="0.3">
      <c r="B183" s="2">
        <v>0</v>
      </c>
      <c r="C183" s="2">
        <v>0</v>
      </c>
      <c r="D183" s="2">
        <v>0</v>
      </c>
      <c r="E183" s="2">
        <v>3</v>
      </c>
      <c r="F183" s="2">
        <v>0</v>
      </c>
      <c r="G183" s="2">
        <v>0</v>
      </c>
      <c r="H183" s="2">
        <v>0</v>
      </c>
      <c r="I183" s="2">
        <v>3</v>
      </c>
      <c r="K183" s="2" t="str">
        <f t="shared" si="125"/>
        <v>00</v>
      </c>
      <c r="L183" s="2" t="str">
        <f t="shared" si="126"/>
        <v>00</v>
      </c>
      <c r="M183" s="2" t="str">
        <f t="shared" si="127"/>
        <v>00</v>
      </c>
      <c r="N183" s="2" t="str">
        <f t="shared" si="128"/>
        <v>11</v>
      </c>
      <c r="O183" s="2" t="str">
        <f t="shared" si="129"/>
        <v>00</v>
      </c>
      <c r="P183" s="2" t="str">
        <f t="shared" si="130"/>
        <v>00</v>
      </c>
      <c r="Q183" s="2" t="str">
        <f t="shared" si="131"/>
        <v>00</v>
      </c>
      <c r="R183" s="2" t="str">
        <f t="shared" si="132"/>
        <v>11</v>
      </c>
      <c r="T183" t="str">
        <f t="shared" si="133"/>
        <v>0000001100000011</v>
      </c>
      <c r="V183" s="9" t="str">
        <f t="shared" si="134"/>
        <v>00000011</v>
      </c>
      <c r="W183" s="9" t="str">
        <f t="shared" si="135"/>
        <v>00000011</v>
      </c>
      <c r="X183" s="9" t="str">
        <f t="shared" si="136"/>
        <v>03</v>
      </c>
      <c r="Y183" s="9" t="str">
        <f t="shared" si="137"/>
        <v>03</v>
      </c>
    </row>
    <row r="184" spans="1:36" x14ac:dyDescent="0.3">
      <c r="B184" s="2">
        <v>3</v>
      </c>
      <c r="C184" s="2">
        <v>3</v>
      </c>
      <c r="D184" s="2">
        <v>0</v>
      </c>
      <c r="E184" s="2">
        <v>3</v>
      </c>
      <c r="F184" s="2">
        <v>3</v>
      </c>
      <c r="G184" s="2">
        <v>3</v>
      </c>
      <c r="H184" s="2">
        <v>0</v>
      </c>
      <c r="I184" s="2">
        <v>3</v>
      </c>
      <c r="K184" s="2" t="str">
        <f t="shared" si="125"/>
        <v>11</v>
      </c>
      <c r="L184" s="2" t="str">
        <f t="shared" si="126"/>
        <v>11</v>
      </c>
      <c r="M184" s="2" t="str">
        <f t="shared" si="127"/>
        <v>00</v>
      </c>
      <c r="N184" s="2" t="str">
        <f t="shared" si="128"/>
        <v>11</v>
      </c>
      <c r="O184" s="2" t="str">
        <f t="shared" si="129"/>
        <v>11</v>
      </c>
      <c r="P184" s="2" t="str">
        <f t="shared" si="130"/>
        <v>11</v>
      </c>
      <c r="Q184" s="2" t="str">
        <f t="shared" si="131"/>
        <v>00</v>
      </c>
      <c r="R184" s="2" t="str">
        <f t="shared" si="132"/>
        <v>11</v>
      </c>
      <c r="T184" t="str">
        <f t="shared" si="133"/>
        <v>1111001111110011</v>
      </c>
      <c r="V184" s="9" t="str">
        <f t="shared" si="134"/>
        <v>11110011</v>
      </c>
      <c r="W184" s="9" t="str">
        <f t="shared" si="135"/>
        <v>11110011</v>
      </c>
      <c r="X184" s="9" t="str">
        <f t="shared" si="136"/>
        <v>F3</v>
      </c>
      <c r="Y184" s="9" t="str">
        <f t="shared" si="137"/>
        <v>F3</v>
      </c>
    </row>
    <row r="185" spans="1:36" x14ac:dyDescent="0.3">
      <c r="B185" s="2">
        <v>3</v>
      </c>
      <c r="C185" s="2">
        <v>3</v>
      </c>
      <c r="D185" s="2">
        <v>0</v>
      </c>
      <c r="E185" s="2">
        <v>1</v>
      </c>
      <c r="F185" s="2">
        <v>3</v>
      </c>
      <c r="G185" s="2">
        <v>3</v>
      </c>
      <c r="H185" s="2">
        <v>0</v>
      </c>
      <c r="I185" s="2">
        <v>1</v>
      </c>
      <c r="K185" s="2" t="str">
        <f t="shared" si="125"/>
        <v>11</v>
      </c>
      <c r="L185" s="2" t="str">
        <f t="shared" si="126"/>
        <v>11</v>
      </c>
      <c r="M185" s="2" t="str">
        <f t="shared" si="127"/>
        <v>00</v>
      </c>
      <c r="N185" s="2" t="str">
        <f t="shared" si="128"/>
        <v>01</v>
      </c>
      <c r="O185" s="2" t="str">
        <f t="shared" si="129"/>
        <v>11</v>
      </c>
      <c r="P185" s="2" t="str">
        <f t="shared" si="130"/>
        <v>11</v>
      </c>
      <c r="Q185" s="2" t="str">
        <f t="shared" si="131"/>
        <v>00</v>
      </c>
      <c r="R185" s="2" t="str">
        <f t="shared" si="132"/>
        <v>01</v>
      </c>
      <c r="T185" t="str">
        <f t="shared" si="133"/>
        <v>1111000111110001</v>
      </c>
      <c r="V185" s="9" t="str">
        <f t="shared" si="134"/>
        <v>11110001</v>
      </c>
      <c r="W185" s="9" t="str">
        <f t="shared" si="135"/>
        <v>11110001</v>
      </c>
      <c r="X185" s="9" t="str">
        <f t="shared" si="136"/>
        <v>F1</v>
      </c>
      <c r="Y185" s="9" t="str">
        <f t="shared" si="137"/>
        <v>F1</v>
      </c>
    </row>
    <row r="186" spans="1:36" x14ac:dyDescent="0.3">
      <c r="B186" s="2">
        <v>3</v>
      </c>
      <c r="C186" s="2">
        <v>1</v>
      </c>
      <c r="D186" s="2">
        <v>0</v>
      </c>
      <c r="E186" s="2">
        <v>1</v>
      </c>
      <c r="F186" s="2">
        <v>3</v>
      </c>
      <c r="G186" s="2">
        <v>1</v>
      </c>
      <c r="H186" s="2">
        <v>0</v>
      </c>
      <c r="I186" s="2">
        <v>1</v>
      </c>
      <c r="K186" s="2" t="str">
        <f t="shared" si="125"/>
        <v>11</v>
      </c>
      <c r="L186" s="2" t="str">
        <f t="shared" si="126"/>
        <v>01</v>
      </c>
      <c r="M186" s="2" t="str">
        <f t="shared" si="127"/>
        <v>00</v>
      </c>
      <c r="N186" s="2" t="str">
        <f t="shared" si="128"/>
        <v>01</v>
      </c>
      <c r="O186" s="2" t="str">
        <f t="shared" si="129"/>
        <v>11</v>
      </c>
      <c r="P186" s="2" t="str">
        <f t="shared" si="130"/>
        <v>01</v>
      </c>
      <c r="Q186" s="2" t="str">
        <f t="shared" si="131"/>
        <v>00</v>
      </c>
      <c r="R186" s="2" t="str">
        <f t="shared" si="132"/>
        <v>01</v>
      </c>
      <c r="T186" t="str">
        <f t="shared" si="133"/>
        <v>1101000111010001</v>
      </c>
      <c r="V186" s="9" t="str">
        <f t="shared" si="134"/>
        <v>11010001</v>
      </c>
      <c r="W186" s="9" t="str">
        <f t="shared" si="135"/>
        <v>11010001</v>
      </c>
      <c r="X186" s="9" t="str">
        <f t="shared" si="136"/>
        <v>D1</v>
      </c>
      <c r="Y186" s="9" t="str">
        <f t="shared" si="137"/>
        <v>D1</v>
      </c>
    </row>
    <row r="187" spans="1:36" x14ac:dyDescent="0.3">
      <c r="B187" s="2">
        <v>3</v>
      </c>
      <c r="C187" s="2">
        <v>0</v>
      </c>
      <c r="D187" s="2">
        <v>0</v>
      </c>
      <c r="E187" s="2">
        <v>0</v>
      </c>
      <c r="F187" s="2">
        <v>3</v>
      </c>
      <c r="G187" s="2">
        <v>0</v>
      </c>
      <c r="H187" s="2">
        <v>0</v>
      </c>
      <c r="I187" s="2">
        <v>0</v>
      </c>
      <c r="K187" s="2" t="str">
        <f t="shared" si="125"/>
        <v>11</v>
      </c>
      <c r="L187" s="2" t="str">
        <f t="shared" si="126"/>
        <v>00</v>
      </c>
      <c r="M187" s="2" t="str">
        <f t="shared" si="127"/>
        <v>00</v>
      </c>
      <c r="N187" s="2" t="str">
        <f t="shared" si="128"/>
        <v>00</v>
      </c>
      <c r="O187" s="2" t="str">
        <f t="shared" si="129"/>
        <v>11</v>
      </c>
      <c r="P187" s="2" t="str">
        <f t="shared" si="130"/>
        <v>00</v>
      </c>
      <c r="Q187" s="2" t="str">
        <f t="shared" si="131"/>
        <v>00</v>
      </c>
      <c r="R187" s="2" t="str">
        <f t="shared" si="132"/>
        <v>00</v>
      </c>
      <c r="T187" t="str">
        <f t="shared" si="133"/>
        <v>1100000011000000</v>
      </c>
      <c r="V187" s="10" t="str">
        <f t="shared" si="134"/>
        <v>11000000</v>
      </c>
      <c r="W187" s="10" t="str">
        <f t="shared" si="135"/>
        <v>11000000</v>
      </c>
      <c r="X187" s="10" t="str">
        <f t="shared" si="136"/>
        <v>C0</v>
      </c>
      <c r="Y187" s="10" t="str">
        <f t="shared" si="137"/>
        <v>C0</v>
      </c>
    </row>
    <row r="188" spans="1:36" x14ac:dyDescent="0.3">
      <c r="A188" t="s">
        <v>3</v>
      </c>
      <c r="AJ188" t="str">
        <f>";"&amp;PROPER(A188)</f>
        <v>;Box</v>
      </c>
    </row>
    <row r="189" spans="1:36" x14ac:dyDescent="0.3">
      <c r="B189" s="2">
        <v>1</v>
      </c>
      <c r="C189" s="2">
        <v>1</v>
      </c>
      <c r="D189" s="2">
        <v>1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K189" s="2" t="str">
        <f t="shared" ref="K189:K204" si="139">DEC2BIN(B189,2)</f>
        <v>01</v>
      </c>
      <c r="L189" s="2" t="str">
        <f t="shared" ref="L189:L204" si="140">DEC2BIN(C189,2)</f>
        <v>01</v>
      </c>
      <c r="M189" s="2" t="str">
        <f t="shared" ref="M189:M204" si="141">DEC2BIN(D189,2)</f>
        <v>01</v>
      </c>
      <c r="N189" s="2" t="str">
        <f t="shared" ref="N189:N204" si="142">DEC2BIN(E189,2)</f>
        <v>01</v>
      </c>
      <c r="O189" s="2" t="str">
        <f t="shared" ref="O189:O204" si="143">DEC2BIN(F189,2)</f>
        <v>01</v>
      </c>
      <c r="P189" s="2" t="str">
        <f t="shared" ref="P189:P204" si="144">DEC2BIN(G189,2)</f>
        <v>01</v>
      </c>
      <c r="Q189" s="2" t="str">
        <f t="shared" ref="Q189:Q204" si="145">DEC2BIN(H189,2)</f>
        <v>01</v>
      </c>
      <c r="R189" s="2" t="str">
        <f t="shared" ref="R189:R204" si="146">DEC2BIN(I189,2)</f>
        <v>01</v>
      </c>
      <c r="T189" t="str">
        <f t="shared" ref="T189:T204" si="147">_xlfn.CONCAT(K189:R189)</f>
        <v>0101010101010101</v>
      </c>
      <c r="V189" s="8" t="str">
        <f>LEFT(T189,8)</f>
        <v>01010101</v>
      </c>
      <c r="W189" s="8" t="str">
        <f>RIGHT(T189,8)</f>
        <v>01010101</v>
      </c>
      <c r="X189" s="8" t="str">
        <f>BIN2HEX(V189,2)</f>
        <v>55</v>
      </c>
      <c r="Y189" s="8" t="str">
        <f>BIN2HEX(W189,2)</f>
        <v>55</v>
      </c>
      <c r="AA189" t="str" cm="1">
        <f t="array" ref="AA189:AH189">TRANSPOSE(X189:X196)</f>
        <v>55</v>
      </c>
      <c r="AB189" t="str">
        <v>55</v>
      </c>
      <c r="AC189" t="str">
        <v>40</v>
      </c>
      <c r="AD189" t="str">
        <v>40</v>
      </c>
      <c r="AE189" t="str">
        <v>40</v>
      </c>
      <c r="AF189" t="str">
        <v>40</v>
      </c>
      <c r="AG189" t="str">
        <v>40</v>
      </c>
      <c r="AH189" t="str">
        <v>40</v>
      </c>
      <c r="AJ189" t="str">
        <f>LOWER("!byte $"&amp;AA189&amp;", $"&amp;AB189&amp;", $"&amp;AC189&amp;", $"&amp;AD189&amp;", $"&amp;AE189&amp;", $"&amp;AF189&amp;", $"&amp;AG189&amp;", $"&amp;AH189)</f>
        <v>!byte $55, $55, $40, $40, $40, $40, $40, $40</v>
      </c>
    </row>
    <row r="190" spans="1:36" x14ac:dyDescent="0.3">
      <c r="B190" s="2">
        <v>1</v>
      </c>
      <c r="C190" s="2">
        <v>1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K190" s="2" t="str">
        <f t="shared" si="139"/>
        <v>01</v>
      </c>
      <c r="L190" s="2" t="str">
        <f t="shared" si="140"/>
        <v>01</v>
      </c>
      <c r="M190" s="2" t="str">
        <f t="shared" si="141"/>
        <v>01</v>
      </c>
      <c r="N190" s="2" t="str">
        <f t="shared" si="142"/>
        <v>01</v>
      </c>
      <c r="O190" s="2" t="str">
        <f t="shared" si="143"/>
        <v>01</v>
      </c>
      <c r="P190" s="2" t="str">
        <f t="shared" si="144"/>
        <v>01</v>
      </c>
      <c r="Q190" s="2" t="str">
        <f t="shared" si="145"/>
        <v>01</v>
      </c>
      <c r="R190" s="2" t="str">
        <f t="shared" si="146"/>
        <v>01</v>
      </c>
      <c r="T190" t="str">
        <f t="shared" si="147"/>
        <v>0101010101010101</v>
      </c>
      <c r="V190" s="9" t="str">
        <f t="shared" ref="V190:V204" si="148">LEFT(T190,8)</f>
        <v>01010101</v>
      </c>
      <c r="W190" s="9" t="str">
        <f t="shared" ref="W190:W204" si="149">RIGHT(T190,8)</f>
        <v>01010101</v>
      </c>
      <c r="X190" s="9" t="str">
        <f t="shared" ref="X190:X204" si="150">BIN2HEX(V190,2)</f>
        <v>55</v>
      </c>
      <c r="Y190" s="9" t="str">
        <f t="shared" ref="Y190:Y204" si="151">BIN2HEX(W190,2)</f>
        <v>55</v>
      </c>
      <c r="AA190" t="str" cm="1">
        <f t="array" ref="AA190:AH190">TRANSPOSE(X197:X204)</f>
        <v>40</v>
      </c>
      <c r="AB190" t="str">
        <v>40</v>
      </c>
      <c r="AC190" t="str">
        <v>40</v>
      </c>
      <c r="AD190" t="str">
        <v>40</v>
      </c>
      <c r="AE190" t="str">
        <v>40</v>
      </c>
      <c r="AF190" t="str">
        <v>40</v>
      </c>
      <c r="AG190" t="str">
        <v>55</v>
      </c>
      <c r="AH190" t="str">
        <v>55</v>
      </c>
      <c r="AJ190" t="str">
        <f t="shared" ref="AJ190:AJ192" si="152">LOWER("!byte $"&amp;AA190&amp;", $"&amp;AB190&amp;", $"&amp;AC190&amp;", $"&amp;AD190&amp;", $"&amp;AE190&amp;", $"&amp;AF190&amp;", $"&amp;AG190&amp;", $"&amp;AH190)</f>
        <v>!byte $40, $40, $40, $40, $40, $40, $55, $55</v>
      </c>
    </row>
    <row r="191" spans="1:36" x14ac:dyDescent="0.3">
      <c r="B191" s="2">
        <v>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1</v>
      </c>
      <c r="K191" s="2" t="str">
        <f t="shared" si="139"/>
        <v>01</v>
      </c>
      <c r="L191" s="2" t="str">
        <f t="shared" si="140"/>
        <v>00</v>
      </c>
      <c r="M191" s="2" t="str">
        <f t="shared" si="141"/>
        <v>00</v>
      </c>
      <c r="N191" s="2" t="str">
        <f t="shared" si="142"/>
        <v>00</v>
      </c>
      <c r="O191" s="2" t="str">
        <f t="shared" si="143"/>
        <v>00</v>
      </c>
      <c r="P191" s="2" t="str">
        <f t="shared" si="144"/>
        <v>00</v>
      </c>
      <c r="Q191" s="2" t="str">
        <f t="shared" si="145"/>
        <v>00</v>
      </c>
      <c r="R191" s="2" t="str">
        <f t="shared" si="146"/>
        <v>01</v>
      </c>
      <c r="T191" t="str">
        <f t="shared" si="147"/>
        <v>0100000000000001</v>
      </c>
      <c r="V191" s="9" t="str">
        <f t="shared" si="148"/>
        <v>01000000</v>
      </c>
      <c r="W191" s="9" t="str">
        <f t="shared" si="149"/>
        <v>00000001</v>
      </c>
      <c r="X191" s="9" t="str">
        <f t="shared" si="150"/>
        <v>40</v>
      </c>
      <c r="Y191" s="9" t="str">
        <f t="shared" si="151"/>
        <v>01</v>
      </c>
      <c r="AA191" t="str" cm="1">
        <f t="array" ref="AA191:AH191">TRANSPOSE(Y189:Y196)</f>
        <v>55</v>
      </c>
      <c r="AB191" t="str">
        <v>55</v>
      </c>
      <c r="AC191" t="str">
        <v>01</v>
      </c>
      <c r="AD191" t="str">
        <v>01</v>
      </c>
      <c r="AE191" t="str">
        <v>01</v>
      </c>
      <c r="AF191" t="str">
        <v>01</v>
      </c>
      <c r="AG191" t="str">
        <v>01</v>
      </c>
      <c r="AH191" t="str">
        <v>01</v>
      </c>
      <c r="AJ191" t="str">
        <f t="shared" si="152"/>
        <v>!byte $55, $55, $01, $01, $01, $01, $01, $01</v>
      </c>
    </row>
    <row r="192" spans="1:36" x14ac:dyDescent="0.3">
      <c r="B192" s="2">
        <v>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1</v>
      </c>
      <c r="K192" s="2" t="str">
        <f t="shared" si="139"/>
        <v>01</v>
      </c>
      <c r="L192" s="2" t="str">
        <f t="shared" si="140"/>
        <v>00</v>
      </c>
      <c r="M192" s="2" t="str">
        <f t="shared" si="141"/>
        <v>00</v>
      </c>
      <c r="N192" s="2" t="str">
        <f t="shared" si="142"/>
        <v>00</v>
      </c>
      <c r="O192" s="2" t="str">
        <f t="shared" si="143"/>
        <v>00</v>
      </c>
      <c r="P192" s="2" t="str">
        <f t="shared" si="144"/>
        <v>00</v>
      </c>
      <c r="Q192" s="2" t="str">
        <f t="shared" si="145"/>
        <v>00</v>
      </c>
      <c r="R192" s="2" t="str">
        <f t="shared" si="146"/>
        <v>01</v>
      </c>
      <c r="T192" t="str">
        <f t="shared" si="147"/>
        <v>0100000000000001</v>
      </c>
      <c r="V192" s="9" t="str">
        <f t="shared" si="148"/>
        <v>01000000</v>
      </c>
      <c r="W192" s="9" t="str">
        <f t="shared" si="149"/>
        <v>00000001</v>
      </c>
      <c r="X192" s="9" t="str">
        <f t="shared" si="150"/>
        <v>40</v>
      </c>
      <c r="Y192" s="9" t="str">
        <f t="shared" si="151"/>
        <v>01</v>
      </c>
      <c r="AA192" t="str" cm="1">
        <f t="array" ref="AA192:AH192">TRANSPOSE(Y197:Y204)</f>
        <v>01</v>
      </c>
      <c r="AB192" t="str">
        <v>01</v>
      </c>
      <c r="AC192" t="str">
        <v>01</v>
      </c>
      <c r="AD192" t="str">
        <v>01</v>
      </c>
      <c r="AE192" t="str">
        <v>01</v>
      </c>
      <c r="AF192" t="str">
        <v>01</v>
      </c>
      <c r="AG192" t="str">
        <v>55</v>
      </c>
      <c r="AH192" t="str">
        <v>55</v>
      </c>
      <c r="AJ192" t="str">
        <f t="shared" si="152"/>
        <v>!byte $01, $01, $01, $01, $01, $01, $55, $55</v>
      </c>
    </row>
    <row r="193" spans="1:36" x14ac:dyDescent="0.3"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1</v>
      </c>
      <c r="K193" s="2" t="str">
        <f t="shared" si="139"/>
        <v>01</v>
      </c>
      <c r="L193" s="2" t="str">
        <f t="shared" si="140"/>
        <v>00</v>
      </c>
      <c r="M193" s="2" t="str">
        <f t="shared" si="141"/>
        <v>00</v>
      </c>
      <c r="N193" s="2" t="str">
        <f t="shared" si="142"/>
        <v>00</v>
      </c>
      <c r="O193" s="2" t="str">
        <f t="shared" si="143"/>
        <v>00</v>
      </c>
      <c r="P193" s="2" t="str">
        <f t="shared" si="144"/>
        <v>00</v>
      </c>
      <c r="Q193" s="2" t="str">
        <f t="shared" si="145"/>
        <v>00</v>
      </c>
      <c r="R193" s="2" t="str">
        <f t="shared" si="146"/>
        <v>01</v>
      </c>
      <c r="T193" t="str">
        <f t="shared" si="147"/>
        <v>0100000000000001</v>
      </c>
      <c r="V193" s="9" t="str">
        <f t="shared" si="148"/>
        <v>01000000</v>
      </c>
      <c r="W193" s="9" t="str">
        <f t="shared" si="149"/>
        <v>00000001</v>
      </c>
      <c r="X193" s="9" t="str">
        <f t="shared" si="150"/>
        <v>40</v>
      </c>
      <c r="Y193" s="9" t="str">
        <f t="shared" si="151"/>
        <v>01</v>
      </c>
    </row>
    <row r="194" spans="1:36" x14ac:dyDescent="0.3">
      <c r="B194" s="2">
        <v>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1</v>
      </c>
      <c r="K194" s="2" t="str">
        <f t="shared" si="139"/>
        <v>01</v>
      </c>
      <c r="L194" s="2" t="str">
        <f t="shared" si="140"/>
        <v>00</v>
      </c>
      <c r="M194" s="2" t="str">
        <f t="shared" si="141"/>
        <v>00</v>
      </c>
      <c r="N194" s="2" t="str">
        <f t="shared" si="142"/>
        <v>00</v>
      </c>
      <c r="O194" s="2" t="str">
        <f t="shared" si="143"/>
        <v>00</v>
      </c>
      <c r="P194" s="2" t="str">
        <f t="shared" si="144"/>
        <v>00</v>
      </c>
      <c r="Q194" s="2" t="str">
        <f t="shared" si="145"/>
        <v>00</v>
      </c>
      <c r="R194" s="2" t="str">
        <f t="shared" si="146"/>
        <v>01</v>
      </c>
      <c r="T194" t="str">
        <f t="shared" si="147"/>
        <v>0100000000000001</v>
      </c>
      <c r="V194" s="9" t="str">
        <f t="shared" si="148"/>
        <v>01000000</v>
      </c>
      <c r="W194" s="9" t="str">
        <f t="shared" si="149"/>
        <v>00000001</v>
      </c>
      <c r="X194" s="9" t="str">
        <f t="shared" si="150"/>
        <v>40</v>
      </c>
      <c r="Y194" s="9" t="str">
        <f t="shared" si="151"/>
        <v>01</v>
      </c>
    </row>
    <row r="195" spans="1:36" x14ac:dyDescent="0.3">
      <c r="B195" s="2">
        <v>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1</v>
      </c>
      <c r="K195" s="2" t="str">
        <f t="shared" si="139"/>
        <v>01</v>
      </c>
      <c r="L195" s="2" t="str">
        <f t="shared" si="140"/>
        <v>00</v>
      </c>
      <c r="M195" s="2" t="str">
        <f t="shared" si="141"/>
        <v>00</v>
      </c>
      <c r="N195" s="2" t="str">
        <f t="shared" si="142"/>
        <v>00</v>
      </c>
      <c r="O195" s="2" t="str">
        <f t="shared" si="143"/>
        <v>00</v>
      </c>
      <c r="P195" s="2" t="str">
        <f t="shared" si="144"/>
        <v>00</v>
      </c>
      <c r="Q195" s="2" t="str">
        <f t="shared" si="145"/>
        <v>00</v>
      </c>
      <c r="R195" s="2" t="str">
        <f t="shared" si="146"/>
        <v>01</v>
      </c>
      <c r="T195" t="str">
        <f t="shared" si="147"/>
        <v>0100000000000001</v>
      </c>
      <c r="V195" s="9" t="str">
        <f t="shared" si="148"/>
        <v>01000000</v>
      </c>
      <c r="W195" s="9" t="str">
        <f t="shared" si="149"/>
        <v>00000001</v>
      </c>
      <c r="X195" s="9" t="str">
        <f t="shared" si="150"/>
        <v>40</v>
      </c>
      <c r="Y195" s="9" t="str">
        <f t="shared" si="151"/>
        <v>01</v>
      </c>
    </row>
    <row r="196" spans="1:36" x14ac:dyDescent="0.3">
      <c r="B196" s="2">
        <v>1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1</v>
      </c>
      <c r="K196" s="2" t="str">
        <f t="shared" si="139"/>
        <v>01</v>
      </c>
      <c r="L196" s="2" t="str">
        <f t="shared" si="140"/>
        <v>00</v>
      </c>
      <c r="M196" s="2" t="str">
        <f t="shared" si="141"/>
        <v>00</v>
      </c>
      <c r="N196" s="2" t="str">
        <f t="shared" si="142"/>
        <v>00</v>
      </c>
      <c r="O196" s="2" t="str">
        <f t="shared" si="143"/>
        <v>00</v>
      </c>
      <c r="P196" s="2" t="str">
        <f t="shared" si="144"/>
        <v>00</v>
      </c>
      <c r="Q196" s="2" t="str">
        <f t="shared" si="145"/>
        <v>00</v>
      </c>
      <c r="R196" s="2" t="str">
        <f t="shared" si="146"/>
        <v>01</v>
      </c>
      <c r="T196" t="str">
        <f t="shared" si="147"/>
        <v>0100000000000001</v>
      </c>
      <c r="V196" s="10" t="str">
        <f t="shared" si="148"/>
        <v>01000000</v>
      </c>
      <c r="W196" s="10" t="str">
        <f t="shared" si="149"/>
        <v>00000001</v>
      </c>
      <c r="X196" s="10" t="str">
        <f t="shared" si="150"/>
        <v>40</v>
      </c>
      <c r="Y196" s="10" t="str">
        <f t="shared" si="151"/>
        <v>01</v>
      </c>
    </row>
    <row r="197" spans="1:36" x14ac:dyDescent="0.3">
      <c r="B197" s="2">
        <v>1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1</v>
      </c>
      <c r="K197" s="2" t="str">
        <f t="shared" si="139"/>
        <v>01</v>
      </c>
      <c r="L197" s="2" t="str">
        <f t="shared" si="140"/>
        <v>00</v>
      </c>
      <c r="M197" s="2" t="str">
        <f t="shared" si="141"/>
        <v>00</v>
      </c>
      <c r="N197" s="2" t="str">
        <f t="shared" si="142"/>
        <v>00</v>
      </c>
      <c r="O197" s="2" t="str">
        <f t="shared" si="143"/>
        <v>00</v>
      </c>
      <c r="P197" s="2" t="str">
        <f t="shared" si="144"/>
        <v>00</v>
      </c>
      <c r="Q197" s="2" t="str">
        <f t="shared" si="145"/>
        <v>00</v>
      </c>
      <c r="R197" s="2" t="str">
        <f t="shared" si="146"/>
        <v>01</v>
      </c>
      <c r="T197" t="str">
        <f t="shared" si="147"/>
        <v>0100000000000001</v>
      </c>
      <c r="V197" s="8" t="str">
        <f t="shared" si="148"/>
        <v>01000000</v>
      </c>
      <c r="W197" s="8" t="str">
        <f t="shared" si="149"/>
        <v>00000001</v>
      </c>
      <c r="X197" s="8" t="str">
        <f t="shared" si="150"/>
        <v>40</v>
      </c>
      <c r="Y197" s="8" t="str">
        <f t="shared" si="151"/>
        <v>01</v>
      </c>
    </row>
    <row r="198" spans="1:36" x14ac:dyDescent="0.3">
      <c r="B198" s="2">
        <v>1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1</v>
      </c>
      <c r="K198" s="2" t="str">
        <f t="shared" si="139"/>
        <v>01</v>
      </c>
      <c r="L198" s="2" t="str">
        <f t="shared" si="140"/>
        <v>00</v>
      </c>
      <c r="M198" s="2" t="str">
        <f t="shared" si="141"/>
        <v>00</v>
      </c>
      <c r="N198" s="2" t="str">
        <f t="shared" si="142"/>
        <v>00</v>
      </c>
      <c r="O198" s="2" t="str">
        <f t="shared" si="143"/>
        <v>00</v>
      </c>
      <c r="P198" s="2" t="str">
        <f t="shared" si="144"/>
        <v>00</v>
      </c>
      <c r="Q198" s="2" t="str">
        <f t="shared" si="145"/>
        <v>00</v>
      </c>
      <c r="R198" s="2" t="str">
        <f t="shared" si="146"/>
        <v>01</v>
      </c>
      <c r="T198" t="str">
        <f t="shared" si="147"/>
        <v>0100000000000001</v>
      </c>
      <c r="V198" s="9" t="str">
        <f t="shared" si="148"/>
        <v>01000000</v>
      </c>
      <c r="W198" s="9" t="str">
        <f t="shared" si="149"/>
        <v>00000001</v>
      </c>
      <c r="X198" s="9" t="str">
        <f t="shared" si="150"/>
        <v>40</v>
      </c>
      <c r="Y198" s="9" t="str">
        <f t="shared" si="151"/>
        <v>01</v>
      </c>
    </row>
    <row r="199" spans="1:36" x14ac:dyDescent="0.3">
      <c r="B199" s="2">
        <v>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1</v>
      </c>
      <c r="K199" s="2" t="str">
        <f t="shared" si="139"/>
        <v>01</v>
      </c>
      <c r="L199" s="2" t="str">
        <f t="shared" si="140"/>
        <v>00</v>
      </c>
      <c r="M199" s="2" t="str">
        <f t="shared" si="141"/>
        <v>00</v>
      </c>
      <c r="N199" s="2" t="str">
        <f t="shared" si="142"/>
        <v>00</v>
      </c>
      <c r="O199" s="2" t="str">
        <f t="shared" si="143"/>
        <v>00</v>
      </c>
      <c r="P199" s="2" t="str">
        <f t="shared" si="144"/>
        <v>00</v>
      </c>
      <c r="Q199" s="2" t="str">
        <f t="shared" si="145"/>
        <v>00</v>
      </c>
      <c r="R199" s="2" t="str">
        <f t="shared" si="146"/>
        <v>01</v>
      </c>
      <c r="T199" t="str">
        <f t="shared" si="147"/>
        <v>0100000000000001</v>
      </c>
      <c r="V199" s="9" t="str">
        <f t="shared" si="148"/>
        <v>01000000</v>
      </c>
      <c r="W199" s="9" t="str">
        <f t="shared" si="149"/>
        <v>00000001</v>
      </c>
      <c r="X199" s="9" t="str">
        <f t="shared" si="150"/>
        <v>40</v>
      </c>
      <c r="Y199" s="9" t="str">
        <f t="shared" si="151"/>
        <v>01</v>
      </c>
    </row>
    <row r="200" spans="1:36" x14ac:dyDescent="0.3">
      <c r="B200" s="2">
        <v>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K200" s="2" t="str">
        <f t="shared" si="139"/>
        <v>01</v>
      </c>
      <c r="L200" s="2" t="str">
        <f t="shared" si="140"/>
        <v>00</v>
      </c>
      <c r="M200" s="2" t="str">
        <f t="shared" si="141"/>
        <v>00</v>
      </c>
      <c r="N200" s="2" t="str">
        <f t="shared" si="142"/>
        <v>00</v>
      </c>
      <c r="O200" s="2" t="str">
        <f t="shared" si="143"/>
        <v>00</v>
      </c>
      <c r="P200" s="2" t="str">
        <f t="shared" si="144"/>
        <v>00</v>
      </c>
      <c r="Q200" s="2" t="str">
        <f t="shared" si="145"/>
        <v>00</v>
      </c>
      <c r="R200" s="2" t="str">
        <f t="shared" si="146"/>
        <v>01</v>
      </c>
      <c r="T200" t="str">
        <f t="shared" si="147"/>
        <v>0100000000000001</v>
      </c>
      <c r="V200" s="9" t="str">
        <f t="shared" si="148"/>
        <v>01000000</v>
      </c>
      <c r="W200" s="9" t="str">
        <f t="shared" si="149"/>
        <v>00000001</v>
      </c>
      <c r="X200" s="9" t="str">
        <f t="shared" si="150"/>
        <v>40</v>
      </c>
      <c r="Y200" s="9" t="str">
        <f t="shared" si="151"/>
        <v>01</v>
      </c>
    </row>
    <row r="201" spans="1:36" x14ac:dyDescent="0.3">
      <c r="B201" s="2">
        <v>1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1</v>
      </c>
      <c r="K201" s="2" t="str">
        <f t="shared" si="139"/>
        <v>01</v>
      </c>
      <c r="L201" s="2" t="str">
        <f t="shared" si="140"/>
        <v>00</v>
      </c>
      <c r="M201" s="2" t="str">
        <f t="shared" si="141"/>
        <v>00</v>
      </c>
      <c r="N201" s="2" t="str">
        <f t="shared" si="142"/>
        <v>00</v>
      </c>
      <c r="O201" s="2" t="str">
        <f t="shared" si="143"/>
        <v>00</v>
      </c>
      <c r="P201" s="2" t="str">
        <f t="shared" si="144"/>
        <v>00</v>
      </c>
      <c r="Q201" s="2" t="str">
        <f t="shared" si="145"/>
        <v>00</v>
      </c>
      <c r="R201" s="2" t="str">
        <f t="shared" si="146"/>
        <v>01</v>
      </c>
      <c r="T201" t="str">
        <f t="shared" si="147"/>
        <v>0100000000000001</v>
      </c>
      <c r="V201" s="9" t="str">
        <f t="shared" si="148"/>
        <v>01000000</v>
      </c>
      <c r="W201" s="9" t="str">
        <f t="shared" si="149"/>
        <v>00000001</v>
      </c>
      <c r="X201" s="9" t="str">
        <f t="shared" si="150"/>
        <v>40</v>
      </c>
      <c r="Y201" s="9" t="str">
        <f t="shared" si="151"/>
        <v>01</v>
      </c>
    </row>
    <row r="202" spans="1:36" x14ac:dyDescent="0.3">
      <c r="B202" s="2">
        <v>1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1</v>
      </c>
      <c r="K202" s="2" t="str">
        <f t="shared" si="139"/>
        <v>01</v>
      </c>
      <c r="L202" s="2" t="str">
        <f t="shared" si="140"/>
        <v>00</v>
      </c>
      <c r="M202" s="2" t="str">
        <f t="shared" si="141"/>
        <v>00</v>
      </c>
      <c r="N202" s="2" t="str">
        <f t="shared" si="142"/>
        <v>00</v>
      </c>
      <c r="O202" s="2" t="str">
        <f t="shared" si="143"/>
        <v>00</v>
      </c>
      <c r="P202" s="2" t="str">
        <f t="shared" si="144"/>
        <v>00</v>
      </c>
      <c r="Q202" s="2" t="str">
        <f t="shared" si="145"/>
        <v>00</v>
      </c>
      <c r="R202" s="2" t="str">
        <f t="shared" si="146"/>
        <v>01</v>
      </c>
      <c r="T202" t="str">
        <f t="shared" si="147"/>
        <v>0100000000000001</v>
      </c>
      <c r="V202" s="9" t="str">
        <f t="shared" si="148"/>
        <v>01000000</v>
      </c>
      <c r="W202" s="9" t="str">
        <f t="shared" si="149"/>
        <v>00000001</v>
      </c>
      <c r="X202" s="9" t="str">
        <f t="shared" si="150"/>
        <v>40</v>
      </c>
      <c r="Y202" s="9" t="str">
        <f t="shared" si="151"/>
        <v>01</v>
      </c>
    </row>
    <row r="203" spans="1:36" x14ac:dyDescent="0.3">
      <c r="B203" s="2">
        <v>1</v>
      </c>
      <c r="C203" s="2">
        <v>1</v>
      </c>
      <c r="D203" s="2">
        <v>1</v>
      </c>
      <c r="E203" s="2">
        <v>1</v>
      </c>
      <c r="F203" s="2">
        <v>1</v>
      </c>
      <c r="G203" s="2">
        <v>1</v>
      </c>
      <c r="H203" s="2">
        <v>1</v>
      </c>
      <c r="I203" s="2">
        <v>1</v>
      </c>
      <c r="K203" s="2" t="str">
        <f t="shared" si="139"/>
        <v>01</v>
      </c>
      <c r="L203" s="2" t="str">
        <f t="shared" si="140"/>
        <v>01</v>
      </c>
      <c r="M203" s="2" t="str">
        <f t="shared" si="141"/>
        <v>01</v>
      </c>
      <c r="N203" s="2" t="str">
        <f t="shared" si="142"/>
        <v>01</v>
      </c>
      <c r="O203" s="2" t="str">
        <f t="shared" si="143"/>
        <v>01</v>
      </c>
      <c r="P203" s="2" t="str">
        <f t="shared" si="144"/>
        <v>01</v>
      </c>
      <c r="Q203" s="2" t="str">
        <f t="shared" si="145"/>
        <v>01</v>
      </c>
      <c r="R203" s="2" t="str">
        <f t="shared" si="146"/>
        <v>01</v>
      </c>
      <c r="T203" t="str">
        <f t="shared" si="147"/>
        <v>0101010101010101</v>
      </c>
      <c r="V203" s="9" t="str">
        <f t="shared" si="148"/>
        <v>01010101</v>
      </c>
      <c r="W203" s="9" t="str">
        <f t="shared" si="149"/>
        <v>01010101</v>
      </c>
      <c r="X203" s="9" t="str">
        <f t="shared" si="150"/>
        <v>55</v>
      </c>
      <c r="Y203" s="9" t="str">
        <f t="shared" si="151"/>
        <v>55</v>
      </c>
    </row>
    <row r="204" spans="1:36" x14ac:dyDescent="0.3">
      <c r="B204" s="2">
        <v>1</v>
      </c>
      <c r="C204" s="2">
        <v>1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  <c r="K204" s="2" t="str">
        <f t="shared" si="139"/>
        <v>01</v>
      </c>
      <c r="L204" s="2" t="str">
        <f t="shared" si="140"/>
        <v>01</v>
      </c>
      <c r="M204" s="2" t="str">
        <f t="shared" si="141"/>
        <v>01</v>
      </c>
      <c r="N204" s="2" t="str">
        <f t="shared" si="142"/>
        <v>01</v>
      </c>
      <c r="O204" s="2" t="str">
        <f t="shared" si="143"/>
        <v>01</v>
      </c>
      <c r="P204" s="2" t="str">
        <f t="shared" si="144"/>
        <v>01</v>
      </c>
      <c r="Q204" s="2" t="str">
        <f t="shared" si="145"/>
        <v>01</v>
      </c>
      <c r="R204" s="2" t="str">
        <f t="shared" si="146"/>
        <v>01</v>
      </c>
      <c r="T204" t="str">
        <f t="shared" si="147"/>
        <v>0101010101010101</v>
      </c>
      <c r="V204" s="10" t="str">
        <f t="shared" si="148"/>
        <v>01010101</v>
      </c>
      <c r="W204" s="10" t="str">
        <f t="shared" si="149"/>
        <v>01010101</v>
      </c>
      <c r="X204" s="10" t="str">
        <f t="shared" si="150"/>
        <v>55</v>
      </c>
      <c r="Y204" s="10" t="str">
        <f t="shared" si="151"/>
        <v>55</v>
      </c>
    </row>
    <row r="205" spans="1:36" x14ac:dyDescent="0.3">
      <c r="A205" t="s">
        <v>7</v>
      </c>
      <c r="T205" t="str">
        <f t="shared" si="29"/>
        <v/>
      </c>
      <c r="AJ205" t="str">
        <f>";"&amp;PROPER(A205)</f>
        <v>;Diamond 1</v>
      </c>
    </row>
    <row r="206" spans="1:36" x14ac:dyDescent="0.3">
      <c r="B206" s="2">
        <v>0</v>
      </c>
      <c r="C206" s="2">
        <v>0</v>
      </c>
      <c r="D206" s="2">
        <v>0</v>
      </c>
      <c r="E206" s="2">
        <v>1</v>
      </c>
      <c r="F206" s="2">
        <v>3</v>
      </c>
      <c r="G206" s="2">
        <v>0</v>
      </c>
      <c r="H206" s="2">
        <v>0</v>
      </c>
      <c r="I206" s="2">
        <v>0</v>
      </c>
      <c r="K206" s="2" t="str">
        <f t="shared" ref="K206:R221" si="153">DEC2BIN(B206,2)</f>
        <v>00</v>
      </c>
      <c r="L206" s="2" t="str">
        <f t="shared" si="153"/>
        <v>00</v>
      </c>
      <c r="M206" s="2" t="str">
        <f t="shared" si="153"/>
        <v>00</v>
      </c>
      <c r="N206" s="2" t="str">
        <f t="shared" si="153"/>
        <v>01</v>
      </c>
      <c r="O206" s="2" t="str">
        <f t="shared" si="153"/>
        <v>11</v>
      </c>
      <c r="P206" s="2" t="str">
        <f t="shared" si="153"/>
        <v>00</v>
      </c>
      <c r="Q206" s="2" t="str">
        <f t="shared" si="153"/>
        <v>00</v>
      </c>
      <c r="R206" s="2" t="str">
        <f t="shared" si="153"/>
        <v>00</v>
      </c>
      <c r="T206" t="str">
        <f t="shared" si="29"/>
        <v>0000000111000000</v>
      </c>
      <c r="V206" s="8" t="str">
        <f>LEFT(T206,8)</f>
        <v>00000001</v>
      </c>
      <c r="W206" s="8" t="str">
        <f>RIGHT(T206,8)</f>
        <v>11000000</v>
      </c>
      <c r="X206" s="8" t="str">
        <f>BIN2HEX(V206,2)</f>
        <v>01</v>
      </c>
      <c r="Y206" s="8" t="str">
        <f>BIN2HEX(W206,2)</f>
        <v>C0</v>
      </c>
      <c r="AA206" t="str" cm="1">
        <f t="array" ref="AA206:AH206">TRANSPOSE(X206:X213)</f>
        <v>01</v>
      </c>
      <c r="AB206" t="str">
        <v>02</v>
      </c>
      <c r="AC206" t="str">
        <v>07</v>
      </c>
      <c r="AD206" t="str">
        <v>0B</v>
      </c>
      <c r="AE206" t="str">
        <v>15</v>
      </c>
      <c r="AF206" t="str">
        <v>2A</v>
      </c>
      <c r="AG206" t="str">
        <v>40</v>
      </c>
      <c r="AH206" t="str">
        <v>80</v>
      </c>
      <c r="AJ206" t="str">
        <f>LOWER("!byte $"&amp;AA206&amp;", $"&amp;AB206&amp;", $"&amp;AC206&amp;", $"&amp;AD206&amp;", $"&amp;AE206&amp;", $"&amp;AF206&amp;", $"&amp;AG206&amp;", $"&amp;AH206)</f>
        <v>!byte $01, $02, $07, $0b, $15, $2a, $40, $80</v>
      </c>
    </row>
    <row r="207" spans="1:36" x14ac:dyDescent="0.3">
      <c r="B207" s="2">
        <v>0</v>
      </c>
      <c r="C207" s="2">
        <v>0</v>
      </c>
      <c r="D207" s="2">
        <v>0</v>
      </c>
      <c r="E207" s="2">
        <v>2</v>
      </c>
      <c r="F207" s="2">
        <v>1</v>
      </c>
      <c r="G207" s="2">
        <v>0</v>
      </c>
      <c r="H207" s="2">
        <v>0</v>
      </c>
      <c r="I207" s="2">
        <v>0</v>
      </c>
      <c r="K207" s="2" t="str">
        <f t="shared" si="153"/>
        <v>00</v>
      </c>
      <c r="L207" s="2" t="str">
        <f t="shared" si="153"/>
        <v>00</v>
      </c>
      <c r="M207" s="2" t="str">
        <f t="shared" si="153"/>
        <v>00</v>
      </c>
      <c r="N207" s="2" t="str">
        <f t="shared" si="153"/>
        <v>10</v>
      </c>
      <c r="O207" s="2" t="str">
        <f t="shared" si="153"/>
        <v>01</v>
      </c>
      <c r="P207" s="2" t="str">
        <f t="shared" si="153"/>
        <v>00</v>
      </c>
      <c r="Q207" s="2" t="str">
        <f t="shared" si="153"/>
        <v>00</v>
      </c>
      <c r="R207" s="2" t="str">
        <f t="shared" si="153"/>
        <v>00</v>
      </c>
      <c r="T207" t="str">
        <f t="shared" si="29"/>
        <v>0000001001000000</v>
      </c>
      <c r="V207" s="9" t="str">
        <f t="shared" ref="V207:V221" si="154">LEFT(T207,8)</f>
        <v>00000010</v>
      </c>
      <c r="W207" s="9" t="str">
        <f t="shared" ref="W207:W221" si="155">RIGHT(T207,8)</f>
        <v>01000000</v>
      </c>
      <c r="X207" s="9" t="str">
        <f t="shared" ref="X207:X221" si="156">BIN2HEX(V207,2)</f>
        <v>02</v>
      </c>
      <c r="Y207" s="9" t="str">
        <f t="shared" ref="Y207:Y221" si="157">BIN2HEX(W207,2)</f>
        <v>40</v>
      </c>
      <c r="AA207" t="str" cm="1">
        <f t="array" ref="AA207:AH207">TRANSPOSE(X214:X221)</f>
        <v>6A</v>
      </c>
      <c r="AB207" t="str">
        <v>95</v>
      </c>
      <c r="AC207" t="str">
        <v>1F</v>
      </c>
      <c r="AD207" t="str">
        <v>2F</v>
      </c>
      <c r="AE207" t="str">
        <v>05</v>
      </c>
      <c r="AF207" t="str">
        <v>0A</v>
      </c>
      <c r="AG207" t="str">
        <v>02</v>
      </c>
      <c r="AH207" t="str">
        <v>02</v>
      </c>
      <c r="AJ207" t="str">
        <f t="shared" ref="AJ207:AJ209" si="158">LOWER("!byte $"&amp;AA207&amp;", $"&amp;AB207&amp;", $"&amp;AC207&amp;", $"&amp;AD207&amp;", $"&amp;AE207&amp;", $"&amp;AF207&amp;", $"&amp;AG207&amp;", $"&amp;AH207)</f>
        <v>!byte $6a, $95, $1f, $2f, $05, $0a, $02, $02</v>
      </c>
    </row>
    <row r="208" spans="1:36" x14ac:dyDescent="0.3">
      <c r="B208" s="2">
        <v>0</v>
      </c>
      <c r="C208" s="2">
        <v>0</v>
      </c>
      <c r="D208" s="2">
        <v>1</v>
      </c>
      <c r="E208" s="2">
        <v>3</v>
      </c>
      <c r="F208" s="2">
        <v>3</v>
      </c>
      <c r="G208" s="2">
        <v>3</v>
      </c>
      <c r="H208" s="2">
        <v>0</v>
      </c>
      <c r="I208" s="2">
        <v>0</v>
      </c>
      <c r="K208" s="2" t="str">
        <f t="shared" si="153"/>
        <v>00</v>
      </c>
      <c r="L208" s="2" t="str">
        <f t="shared" si="153"/>
        <v>00</v>
      </c>
      <c r="M208" s="2" t="str">
        <f t="shared" si="153"/>
        <v>01</v>
      </c>
      <c r="N208" s="2" t="str">
        <f t="shared" si="153"/>
        <v>11</v>
      </c>
      <c r="O208" s="2" t="str">
        <f t="shared" si="153"/>
        <v>11</v>
      </c>
      <c r="P208" s="2" t="str">
        <f t="shared" si="153"/>
        <v>11</v>
      </c>
      <c r="Q208" s="2" t="str">
        <f t="shared" si="153"/>
        <v>00</v>
      </c>
      <c r="R208" s="2" t="str">
        <f t="shared" si="153"/>
        <v>00</v>
      </c>
      <c r="T208" t="str">
        <f t="shared" si="29"/>
        <v>0000011111110000</v>
      </c>
      <c r="V208" s="9" t="str">
        <f t="shared" si="154"/>
        <v>00000111</v>
      </c>
      <c r="W208" s="9" t="str">
        <f t="shared" si="155"/>
        <v>11110000</v>
      </c>
      <c r="X208" s="9" t="str">
        <f t="shared" si="156"/>
        <v>07</v>
      </c>
      <c r="Y208" s="9" t="str">
        <f t="shared" si="157"/>
        <v>F0</v>
      </c>
      <c r="AA208" t="str" cm="1">
        <f t="array" ref="AA208:AH208">TRANSPOSE(Y206:Y213)</f>
        <v>C0</v>
      </c>
      <c r="AB208" t="str">
        <v>40</v>
      </c>
      <c r="AC208" t="str">
        <v>F0</v>
      </c>
      <c r="AD208" t="str">
        <v>D0</v>
      </c>
      <c r="AE208" t="str">
        <v>5C</v>
      </c>
      <c r="AF208" t="str">
        <v>A4</v>
      </c>
      <c r="AG208" t="str">
        <v>03</v>
      </c>
      <c r="AH208" t="str">
        <v>01</v>
      </c>
      <c r="AJ208" t="str">
        <f t="shared" si="158"/>
        <v>!byte $c0, $40, $f0, $d0, $5c, $a4, $03, $01</v>
      </c>
    </row>
    <row r="209" spans="1:36" x14ac:dyDescent="0.3">
      <c r="B209" s="2">
        <v>0</v>
      </c>
      <c r="C209" s="2">
        <v>0</v>
      </c>
      <c r="D209" s="2">
        <v>2</v>
      </c>
      <c r="E209" s="2">
        <v>3</v>
      </c>
      <c r="F209" s="2">
        <v>3</v>
      </c>
      <c r="G209" s="2">
        <v>1</v>
      </c>
      <c r="H209" s="2">
        <v>0</v>
      </c>
      <c r="I209" s="2">
        <v>0</v>
      </c>
      <c r="K209" s="2" t="str">
        <f t="shared" si="153"/>
        <v>00</v>
      </c>
      <c r="L209" s="2" t="str">
        <f t="shared" si="153"/>
        <v>00</v>
      </c>
      <c r="M209" s="2" t="str">
        <f t="shared" si="153"/>
        <v>10</v>
      </c>
      <c r="N209" s="2" t="str">
        <f t="shared" si="153"/>
        <v>11</v>
      </c>
      <c r="O209" s="2" t="str">
        <f t="shared" si="153"/>
        <v>11</v>
      </c>
      <c r="P209" s="2" t="str">
        <f t="shared" si="153"/>
        <v>01</v>
      </c>
      <c r="Q209" s="2" t="str">
        <f t="shared" si="153"/>
        <v>00</v>
      </c>
      <c r="R209" s="2" t="str">
        <f t="shared" si="153"/>
        <v>00</v>
      </c>
      <c r="T209" t="str">
        <f t="shared" si="29"/>
        <v>0000101111010000</v>
      </c>
      <c r="V209" s="9" t="str">
        <f t="shared" si="154"/>
        <v>00001011</v>
      </c>
      <c r="W209" s="9" t="str">
        <f t="shared" si="155"/>
        <v>11010000</v>
      </c>
      <c r="X209" s="9" t="str">
        <f t="shared" si="156"/>
        <v>0B</v>
      </c>
      <c r="Y209" s="9" t="str">
        <f t="shared" si="157"/>
        <v>D0</v>
      </c>
      <c r="AA209" t="str" cm="1">
        <f t="array" ref="AA209:AH209">TRANSPOSE(Y214:Y221)</f>
        <v>AB</v>
      </c>
      <c r="AB209" t="str">
        <v>55</v>
      </c>
      <c r="AC209" t="str">
        <v>FC</v>
      </c>
      <c r="AD209" t="str">
        <v>F4</v>
      </c>
      <c r="AE209" t="str">
        <v>70</v>
      </c>
      <c r="AF209" t="str">
        <v>90</v>
      </c>
      <c r="AG209" t="str">
        <v>40</v>
      </c>
      <c r="AH209" t="str">
        <v>80</v>
      </c>
      <c r="AJ209" t="str">
        <f t="shared" si="158"/>
        <v>!byte $ab, $55, $fc, $f4, $70, $90, $40, $80</v>
      </c>
    </row>
    <row r="210" spans="1:36" x14ac:dyDescent="0.3">
      <c r="B210" s="2">
        <v>0</v>
      </c>
      <c r="C210" s="2">
        <v>1</v>
      </c>
      <c r="D210" s="2">
        <v>1</v>
      </c>
      <c r="E210" s="2">
        <v>1</v>
      </c>
      <c r="F210" s="2">
        <v>1</v>
      </c>
      <c r="G210" s="2">
        <v>1</v>
      </c>
      <c r="H210" s="2">
        <v>3</v>
      </c>
      <c r="I210" s="2">
        <v>0</v>
      </c>
      <c r="K210" s="2" t="str">
        <f t="shared" si="153"/>
        <v>00</v>
      </c>
      <c r="L210" s="2" t="str">
        <f t="shared" si="153"/>
        <v>01</v>
      </c>
      <c r="M210" s="2" t="str">
        <f t="shared" si="153"/>
        <v>01</v>
      </c>
      <c r="N210" s="2" t="str">
        <f t="shared" si="153"/>
        <v>01</v>
      </c>
      <c r="O210" s="2" t="str">
        <f t="shared" si="153"/>
        <v>01</v>
      </c>
      <c r="P210" s="2" t="str">
        <f t="shared" si="153"/>
        <v>01</v>
      </c>
      <c r="Q210" s="2" t="str">
        <f t="shared" si="153"/>
        <v>11</v>
      </c>
      <c r="R210" s="2" t="str">
        <f t="shared" si="153"/>
        <v>00</v>
      </c>
      <c r="T210" t="str">
        <f t="shared" si="29"/>
        <v>0001010101011100</v>
      </c>
      <c r="V210" s="9" t="str">
        <f t="shared" si="154"/>
        <v>00010101</v>
      </c>
      <c r="W210" s="9" t="str">
        <f t="shared" si="155"/>
        <v>01011100</v>
      </c>
      <c r="X210" s="9" t="str">
        <f t="shared" si="156"/>
        <v>15</v>
      </c>
      <c r="Y210" s="9" t="str">
        <f t="shared" si="157"/>
        <v>5C</v>
      </c>
    </row>
    <row r="211" spans="1:36" x14ac:dyDescent="0.3">
      <c r="B211" s="2">
        <v>0</v>
      </c>
      <c r="C211" s="2">
        <v>2</v>
      </c>
      <c r="D211" s="2">
        <v>2</v>
      </c>
      <c r="E211" s="2">
        <v>2</v>
      </c>
      <c r="F211" s="2">
        <v>2</v>
      </c>
      <c r="G211" s="2">
        <v>2</v>
      </c>
      <c r="H211" s="2">
        <v>1</v>
      </c>
      <c r="I211" s="2">
        <v>0</v>
      </c>
      <c r="K211" s="2" t="str">
        <f t="shared" si="153"/>
        <v>00</v>
      </c>
      <c r="L211" s="2" t="str">
        <f t="shared" si="153"/>
        <v>10</v>
      </c>
      <c r="M211" s="2" t="str">
        <f t="shared" si="153"/>
        <v>10</v>
      </c>
      <c r="N211" s="2" t="str">
        <f t="shared" si="153"/>
        <v>10</v>
      </c>
      <c r="O211" s="2" t="str">
        <f t="shared" si="153"/>
        <v>10</v>
      </c>
      <c r="P211" s="2" t="str">
        <f t="shared" si="153"/>
        <v>10</v>
      </c>
      <c r="Q211" s="2" t="str">
        <f t="shared" si="153"/>
        <v>01</v>
      </c>
      <c r="R211" s="2" t="str">
        <f t="shared" si="153"/>
        <v>00</v>
      </c>
      <c r="T211" t="str">
        <f t="shared" si="29"/>
        <v>0010101010100100</v>
      </c>
      <c r="V211" s="9" t="str">
        <f t="shared" si="154"/>
        <v>00101010</v>
      </c>
      <c r="W211" s="9" t="str">
        <f t="shared" si="155"/>
        <v>10100100</v>
      </c>
      <c r="X211" s="9" t="str">
        <f t="shared" si="156"/>
        <v>2A</v>
      </c>
      <c r="Y211" s="9" t="str">
        <f t="shared" si="157"/>
        <v>A4</v>
      </c>
    </row>
    <row r="212" spans="1:36" x14ac:dyDescent="0.3">
      <c r="B212" s="2">
        <v>1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3</v>
      </c>
      <c r="K212" s="2" t="str">
        <f t="shared" si="153"/>
        <v>01</v>
      </c>
      <c r="L212" s="2" t="str">
        <f t="shared" si="153"/>
        <v>00</v>
      </c>
      <c r="M212" s="2" t="str">
        <f t="shared" si="153"/>
        <v>00</v>
      </c>
      <c r="N212" s="2" t="str">
        <f t="shared" si="153"/>
        <v>00</v>
      </c>
      <c r="O212" s="2" t="str">
        <f t="shared" si="153"/>
        <v>00</v>
      </c>
      <c r="P212" s="2" t="str">
        <f t="shared" si="153"/>
        <v>00</v>
      </c>
      <c r="Q212" s="2" t="str">
        <f t="shared" si="153"/>
        <v>00</v>
      </c>
      <c r="R212" s="2" t="str">
        <f t="shared" si="153"/>
        <v>11</v>
      </c>
      <c r="T212" t="str">
        <f t="shared" si="29"/>
        <v>0100000000000011</v>
      </c>
      <c r="V212" s="9" t="str">
        <f t="shared" si="154"/>
        <v>01000000</v>
      </c>
      <c r="W212" s="9" t="str">
        <f t="shared" si="155"/>
        <v>00000011</v>
      </c>
      <c r="X212" s="9" t="str">
        <f t="shared" si="156"/>
        <v>40</v>
      </c>
      <c r="Y212" s="9" t="str">
        <f t="shared" si="157"/>
        <v>03</v>
      </c>
    </row>
    <row r="213" spans="1:36" x14ac:dyDescent="0.3">
      <c r="B213" s="2">
        <v>2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1</v>
      </c>
      <c r="K213" s="2" t="str">
        <f t="shared" si="153"/>
        <v>10</v>
      </c>
      <c r="L213" s="2" t="str">
        <f t="shared" si="153"/>
        <v>00</v>
      </c>
      <c r="M213" s="2" t="str">
        <f t="shared" si="153"/>
        <v>00</v>
      </c>
      <c r="N213" s="2" t="str">
        <f t="shared" si="153"/>
        <v>00</v>
      </c>
      <c r="O213" s="2" t="str">
        <f t="shared" si="153"/>
        <v>00</v>
      </c>
      <c r="P213" s="2" t="str">
        <f t="shared" si="153"/>
        <v>00</v>
      </c>
      <c r="Q213" s="2" t="str">
        <f t="shared" si="153"/>
        <v>00</v>
      </c>
      <c r="R213" s="2" t="str">
        <f t="shared" si="153"/>
        <v>01</v>
      </c>
      <c r="T213" t="str">
        <f t="shared" si="29"/>
        <v>1000000000000001</v>
      </c>
      <c r="V213" s="10" t="str">
        <f t="shared" si="154"/>
        <v>10000000</v>
      </c>
      <c r="W213" s="10" t="str">
        <f t="shared" si="155"/>
        <v>00000001</v>
      </c>
      <c r="X213" s="10" t="str">
        <f t="shared" si="156"/>
        <v>80</v>
      </c>
      <c r="Y213" s="10" t="str">
        <f t="shared" si="157"/>
        <v>01</v>
      </c>
    </row>
    <row r="214" spans="1:36" x14ac:dyDescent="0.3">
      <c r="B214" s="2">
        <v>1</v>
      </c>
      <c r="C214" s="2">
        <v>2</v>
      </c>
      <c r="D214" s="2">
        <v>2</v>
      </c>
      <c r="E214" s="2">
        <v>2</v>
      </c>
      <c r="F214" s="2">
        <v>2</v>
      </c>
      <c r="G214" s="2">
        <v>2</v>
      </c>
      <c r="H214" s="2">
        <v>2</v>
      </c>
      <c r="I214" s="2">
        <v>3</v>
      </c>
      <c r="K214" s="2" t="str">
        <f t="shared" si="153"/>
        <v>01</v>
      </c>
      <c r="L214" s="2" t="str">
        <f t="shared" si="153"/>
        <v>10</v>
      </c>
      <c r="M214" s="2" t="str">
        <f t="shared" si="153"/>
        <v>10</v>
      </c>
      <c r="N214" s="2" t="str">
        <f t="shared" si="153"/>
        <v>10</v>
      </c>
      <c r="O214" s="2" t="str">
        <f t="shared" si="153"/>
        <v>10</v>
      </c>
      <c r="P214" s="2" t="str">
        <f t="shared" si="153"/>
        <v>10</v>
      </c>
      <c r="Q214" s="2" t="str">
        <f t="shared" si="153"/>
        <v>10</v>
      </c>
      <c r="R214" s="2" t="str">
        <f t="shared" si="153"/>
        <v>11</v>
      </c>
      <c r="T214" t="str">
        <f t="shared" si="29"/>
        <v>0110101010101011</v>
      </c>
      <c r="V214" s="8" t="str">
        <f t="shared" si="154"/>
        <v>01101010</v>
      </c>
      <c r="W214" s="8" t="str">
        <f t="shared" si="155"/>
        <v>10101011</v>
      </c>
      <c r="X214" s="8" t="str">
        <f t="shared" si="156"/>
        <v>6A</v>
      </c>
      <c r="Y214" s="8" t="str">
        <f t="shared" si="157"/>
        <v>AB</v>
      </c>
    </row>
    <row r="215" spans="1:36" x14ac:dyDescent="0.3">
      <c r="B215" s="2">
        <v>2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2">
        <v>1</v>
      </c>
      <c r="K215" s="2" t="str">
        <f t="shared" si="153"/>
        <v>10</v>
      </c>
      <c r="L215" s="2" t="str">
        <f t="shared" si="153"/>
        <v>01</v>
      </c>
      <c r="M215" s="2" t="str">
        <f t="shared" si="153"/>
        <v>01</v>
      </c>
      <c r="N215" s="2" t="str">
        <f t="shared" si="153"/>
        <v>01</v>
      </c>
      <c r="O215" s="2" t="str">
        <f t="shared" si="153"/>
        <v>01</v>
      </c>
      <c r="P215" s="2" t="str">
        <f t="shared" si="153"/>
        <v>01</v>
      </c>
      <c r="Q215" s="2" t="str">
        <f t="shared" si="153"/>
        <v>01</v>
      </c>
      <c r="R215" s="2" t="str">
        <f t="shared" si="153"/>
        <v>01</v>
      </c>
      <c r="T215" t="str">
        <f t="shared" si="29"/>
        <v>1001010101010101</v>
      </c>
      <c r="V215" s="9" t="str">
        <f t="shared" si="154"/>
        <v>10010101</v>
      </c>
      <c r="W215" s="9" t="str">
        <f t="shared" si="155"/>
        <v>01010101</v>
      </c>
      <c r="X215" s="9" t="str">
        <f t="shared" si="156"/>
        <v>95</v>
      </c>
      <c r="Y215" s="9" t="str">
        <f t="shared" si="157"/>
        <v>55</v>
      </c>
    </row>
    <row r="216" spans="1:36" x14ac:dyDescent="0.3">
      <c r="B216" s="2">
        <v>0</v>
      </c>
      <c r="C216" s="2">
        <v>1</v>
      </c>
      <c r="D216" s="2">
        <v>3</v>
      </c>
      <c r="E216" s="2">
        <v>3</v>
      </c>
      <c r="F216" s="2">
        <v>3</v>
      </c>
      <c r="G216" s="2">
        <v>3</v>
      </c>
      <c r="H216" s="2">
        <v>3</v>
      </c>
      <c r="I216" s="2">
        <v>0</v>
      </c>
      <c r="K216" s="2" t="str">
        <f t="shared" si="153"/>
        <v>00</v>
      </c>
      <c r="L216" s="2" t="str">
        <f t="shared" si="153"/>
        <v>01</v>
      </c>
      <c r="M216" s="2" t="str">
        <f t="shared" si="153"/>
        <v>11</v>
      </c>
      <c r="N216" s="2" t="str">
        <f t="shared" si="153"/>
        <v>11</v>
      </c>
      <c r="O216" s="2" t="str">
        <f t="shared" si="153"/>
        <v>11</v>
      </c>
      <c r="P216" s="2" t="str">
        <f t="shared" si="153"/>
        <v>11</v>
      </c>
      <c r="Q216" s="2" t="str">
        <f t="shared" si="153"/>
        <v>11</v>
      </c>
      <c r="R216" s="2" t="str">
        <f t="shared" si="153"/>
        <v>00</v>
      </c>
      <c r="T216" t="str">
        <f t="shared" si="29"/>
        <v>0001111111111100</v>
      </c>
      <c r="V216" s="9" t="str">
        <f t="shared" si="154"/>
        <v>00011111</v>
      </c>
      <c r="W216" s="9" t="str">
        <f t="shared" si="155"/>
        <v>11111100</v>
      </c>
      <c r="X216" s="9" t="str">
        <f t="shared" si="156"/>
        <v>1F</v>
      </c>
      <c r="Y216" s="9" t="str">
        <f t="shared" si="157"/>
        <v>FC</v>
      </c>
    </row>
    <row r="217" spans="1:36" x14ac:dyDescent="0.3">
      <c r="B217" s="2">
        <v>0</v>
      </c>
      <c r="C217" s="2">
        <v>2</v>
      </c>
      <c r="D217" s="2">
        <v>3</v>
      </c>
      <c r="E217" s="2">
        <v>3</v>
      </c>
      <c r="F217" s="2">
        <v>3</v>
      </c>
      <c r="G217" s="2">
        <v>3</v>
      </c>
      <c r="H217" s="2">
        <v>1</v>
      </c>
      <c r="I217" s="2">
        <v>0</v>
      </c>
      <c r="K217" s="2" t="str">
        <f t="shared" si="153"/>
        <v>00</v>
      </c>
      <c r="L217" s="2" t="str">
        <f t="shared" si="153"/>
        <v>10</v>
      </c>
      <c r="M217" s="2" t="str">
        <f t="shared" si="153"/>
        <v>11</v>
      </c>
      <c r="N217" s="2" t="str">
        <f t="shared" si="153"/>
        <v>11</v>
      </c>
      <c r="O217" s="2" t="str">
        <f t="shared" si="153"/>
        <v>11</v>
      </c>
      <c r="P217" s="2" t="str">
        <f t="shared" si="153"/>
        <v>11</v>
      </c>
      <c r="Q217" s="2" t="str">
        <f t="shared" si="153"/>
        <v>01</v>
      </c>
      <c r="R217" s="2" t="str">
        <f t="shared" si="153"/>
        <v>00</v>
      </c>
      <c r="T217" t="str">
        <f t="shared" si="29"/>
        <v>0010111111110100</v>
      </c>
      <c r="V217" s="9" t="str">
        <f t="shared" si="154"/>
        <v>00101111</v>
      </c>
      <c r="W217" s="9" t="str">
        <f t="shared" si="155"/>
        <v>11110100</v>
      </c>
      <c r="X217" s="9" t="str">
        <f t="shared" si="156"/>
        <v>2F</v>
      </c>
      <c r="Y217" s="9" t="str">
        <f t="shared" si="157"/>
        <v>F4</v>
      </c>
    </row>
    <row r="218" spans="1:36" x14ac:dyDescent="0.3">
      <c r="B218" s="2">
        <v>0</v>
      </c>
      <c r="C218" s="2">
        <v>0</v>
      </c>
      <c r="D218" s="2">
        <v>1</v>
      </c>
      <c r="E218" s="2">
        <v>1</v>
      </c>
      <c r="F218" s="2">
        <v>1</v>
      </c>
      <c r="G218" s="2">
        <v>3</v>
      </c>
      <c r="H218" s="2">
        <v>0</v>
      </c>
      <c r="I218" s="2">
        <v>0</v>
      </c>
      <c r="K218" s="2" t="str">
        <f t="shared" si="153"/>
        <v>00</v>
      </c>
      <c r="L218" s="2" t="str">
        <f t="shared" si="153"/>
        <v>00</v>
      </c>
      <c r="M218" s="2" t="str">
        <f t="shared" si="153"/>
        <v>01</v>
      </c>
      <c r="N218" s="2" t="str">
        <f t="shared" si="153"/>
        <v>01</v>
      </c>
      <c r="O218" s="2" t="str">
        <f t="shared" si="153"/>
        <v>01</v>
      </c>
      <c r="P218" s="2" t="str">
        <f t="shared" si="153"/>
        <v>11</v>
      </c>
      <c r="Q218" s="2" t="str">
        <f t="shared" si="153"/>
        <v>00</v>
      </c>
      <c r="R218" s="2" t="str">
        <f t="shared" si="153"/>
        <v>00</v>
      </c>
      <c r="T218" t="str">
        <f t="shared" si="29"/>
        <v>0000010101110000</v>
      </c>
      <c r="V218" s="9" t="str">
        <f t="shared" si="154"/>
        <v>00000101</v>
      </c>
      <c r="W218" s="9" t="str">
        <f t="shared" si="155"/>
        <v>01110000</v>
      </c>
      <c r="X218" s="9" t="str">
        <f t="shared" si="156"/>
        <v>05</v>
      </c>
      <c r="Y218" s="9" t="str">
        <f t="shared" si="157"/>
        <v>70</v>
      </c>
    </row>
    <row r="219" spans="1:36" x14ac:dyDescent="0.3">
      <c r="B219" s="2">
        <v>0</v>
      </c>
      <c r="C219" s="2">
        <v>0</v>
      </c>
      <c r="D219" s="2">
        <v>2</v>
      </c>
      <c r="E219" s="2">
        <v>2</v>
      </c>
      <c r="F219" s="2">
        <v>2</v>
      </c>
      <c r="G219" s="2">
        <v>1</v>
      </c>
      <c r="H219" s="2">
        <v>0</v>
      </c>
      <c r="I219" s="2">
        <v>0</v>
      </c>
      <c r="K219" s="2" t="str">
        <f t="shared" si="153"/>
        <v>00</v>
      </c>
      <c r="L219" s="2" t="str">
        <f t="shared" si="153"/>
        <v>00</v>
      </c>
      <c r="M219" s="2" t="str">
        <f t="shared" si="153"/>
        <v>10</v>
      </c>
      <c r="N219" s="2" t="str">
        <f t="shared" si="153"/>
        <v>10</v>
      </c>
      <c r="O219" s="2" t="str">
        <f t="shared" si="153"/>
        <v>10</v>
      </c>
      <c r="P219" s="2" t="str">
        <f t="shared" si="153"/>
        <v>01</v>
      </c>
      <c r="Q219" s="2" t="str">
        <f t="shared" si="153"/>
        <v>00</v>
      </c>
      <c r="R219" s="2" t="str">
        <f t="shared" si="153"/>
        <v>00</v>
      </c>
      <c r="T219" t="str">
        <f t="shared" si="29"/>
        <v>0000101010010000</v>
      </c>
      <c r="V219" s="9" t="str">
        <f t="shared" si="154"/>
        <v>00001010</v>
      </c>
      <c r="W219" s="9" t="str">
        <f t="shared" si="155"/>
        <v>10010000</v>
      </c>
      <c r="X219" s="9" t="str">
        <f t="shared" si="156"/>
        <v>0A</v>
      </c>
      <c r="Y219" s="9" t="str">
        <f t="shared" si="157"/>
        <v>90</v>
      </c>
    </row>
    <row r="220" spans="1:36" x14ac:dyDescent="0.3">
      <c r="B220" s="2">
        <v>0</v>
      </c>
      <c r="C220" s="2">
        <v>0</v>
      </c>
      <c r="D220" s="2">
        <v>0</v>
      </c>
      <c r="E220" s="2">
        <v>2</v>
      </c>
      <c r="F220" s="2">
        <v>1</v>
      </c>
      <c r="G220" s="2">
        <v>0</v>
      </c>
      <c r="H220" s="2">
        <v>0</v>
      </c>
      <c r="I220" s="2">
        <v>0</v>
      </c>
      <c r="K220" s="2" t="str">
        <f t="shared" si="153"/>
        <v>00</v>
      </c>
      <c r="L220" s="2" t="str">
        <f t="shared" si="153"/>
        <v>00</v>
      </c>
      <c r="M220" s="2" t="str">
        <f t="shared" si="153"/>
        <v>00</v>
      </c>
      <c r="N220" s="2" t="str">
        <f t="shared" si="153"/>
        <v>10</v>
      </c>
      <c r="O220" s="2" t="str">
        <f t="shared" si="153"/>
        <v>01</v>
      </c>
      <c r="P220" s="2" t="str">
        <f t="shared" si="153"/>
        <v>00</v>
      </c>
      <c r="Q220" s="2" t="str">
        <f t="shared" si="153"/>
        <v>00</v>
      </c>
      <c r="R220" s="2" t="str">
        <f t="shared" si="153"/>
        <v>00</v>
      </c>
      <c r="T220" t="str">
        <f t="shared" si="29"/>
        <v>0000001001000000</v>
      </c>
      <c r="V220" s="9" t="str">
        <f t="shared" si="154"/>
        <v>00000010</v>
      </c>
      <c r="W220" s="9" t="str">
        <f t="shared" si="155"/>
        <v>01000000</v>
      </c>
      <c r="X220" s="9" t="str">
        <f t="shared" si="156"/>
        <v>02</v>
      </c>
      <c r="Y220" s="9" t="str">
        <f t="shared" si="157"/>
        <v>40</v>
      </c>
    </row>
    <row r="221" spans="1:36" x14ac:dyDescent="0.3">
      <c r="B221" s="2">
        <v>0</v>
      </c>
      <c r="C221" s="2">
        <v>0</v>
      </c>
      <c r="D221" s="2">
        <v>0</v>
      </c>
      <c r="E221" s="2">
        <v>2</v>
      </c>
      <c r="F221" s="2">
        <v>2</v>
      </c>
      <c r="G221" s="2">
        <v>0</v>
      </c>
      <c r="H221" s="2">
        <v>0</v>
      </c>
      <c r="I221" s="2">
        <v>0</v>
      </c>
      <c r="K221" s="2" t="str">
        <f t="shared" si="153"/>
        <v>00</v>
      </c>
      <c r="L221" s="2" t="str">
        <f t="shared" si="153"/>
        <v>00</v>
      </c>
      <c r="M221" s="2" t="str">
        <f t="shared" si="153"/>
        <v>00</v>
      </c>
      <c r="N221" s="2" t="str">
        <f t="shared" si="153"/>
        <v>10</v>
      </c>
      <c r="O221" s="2" t="str">
        <f t="shared" si="153"/>
        <v>10</v>
      </c>
      <c r="P221" s="2" t="str">
        <f t="shared" si="153"/>
        <v>00</v>
      </c>
      <c r="Q221" s="2" t="str">
        <f t="shared" si="153"/>
        <v>00</v>
      </c>
      <c r="R221" s="2" t="str">
        <f t="shared" si="153"/>
        <v>00</v>
      </c>
      <c r="T221" t="str">
        <f t="shared" si="29"/>
        <v>0000001010000000</v>
      </c>
      <c r="V221" s="10" t="str">
        <f t="shared" si="154"/>
        <v>00000010</v>
      </c>
      <c r="W221" s="10" t="str">
        <f t="shared" si="155"/>
        <v>10000000</v>
      </c>
      <c r="X221" s="10" t="str">
        <f t="shared" si="156"/>
        <v>02</v>
      </c>
      <c r="Y221" s="10" t="str">
        <f t="shared" si="157"/>
        <v>80</v>
      </c>
    </row>
    <row r="222" spans="1:36" x14ac:dyDescent="0.3">
      <c r="A222" t="s">
        <v>8</v>
      </c>
      <c r="AJ222" t="str">
        <f>";"&amp;PROPER(A222)</f>
        <v>;Diamond 2</v>
      </c>
    </row>
    <row r="223" spans="1:36" x14ac:dyDescent="0.3">
      <c r="B223" s="2">
        <v>0</v>
      </c>
      <c r="C223" s="2">
        <v>0</v>
      </c>
      <c r="D223" s="2">
        <v>0</v>
      </c>
      <c r="E223" s="2">
        <v>1</v>
      </c>
      <c r="F223" s="2">
        <v>3</v>
      </c>
      <c r="G223" s="2">
        <v>0</v>
      </c>
      <c r="H223" s="2">
        <v>0</v>
      </c>
      <c r="I223" s="2">
        <v>0</v>
      </c>
      <c r="K223" s="2" t="str">
        <f t="shared" ref="K223:R238" si="159">DEC2BIN(B223,2)</f>
        <v>00</v>
      </c>
      <c r="L223" s="2" t="str">
        <f t="shared" si="159"/>
        <v>00</v>
      </c>
      <c r="M223" s="2" t="str">
        <f t="shared" si="159"/>
        <v>00</v>
      </c>
      <c r="N223" s="2" t="str">
        <f t="shared" si="159"/>
        <v>01</v>
      </c>
      <c r="O223" s="2" t="str">
        <f t="shared" si="159"/>
        <v>11</v>
      </c>
      <c r="P223" s="2" t="str">
        <f t="shared" si="159"/>
        <v>00</v>
      </c>
      <c r="Q223" s="2" t="str">
        <f t="shared" si="159"/>
        <v>00</v>
      </c>
      <c r="R223" s="2" t="str">
        <f t="shared" si="159"/>
        <v>00</v>
      </c>
      <c r="T223" t="str">
        <f t="shared" si="29"/>
        <v>0000000111000000</v>
      </c>
      <c r="V223" s="8" t="str">
        <f>LEFT(T223,8)</f>
        <v>00000001</v>
      </c>
      <c r="W223" s="8" t="str">
        <f>RIGHT(T223,8)</f>
        <v>11000000</v>
      </c>
      <c r="X223" s="8" t="str">
        <f>BIN2HEX(V223,2)</f>
        <v>01</v>
      </c>
      <c r="Y223" s="8" t="str">
        <f>BIN2HEX(W223,2)</f>
        <v>C0</v>
      </c>
      <c r="AA223" t="str" cm="1">
        <f t="array" ref="AA223:AH223">TRANSPOSE(X223:X230)</f>
        <v>01</v>
      </c>
      <c r="AB223" t="str">
        <v>02</v>
      </c>
      <c r="AC223" t="str">
        <v>05</v>
      </c>
      <c r="AD223" t="str">
        <v>0A</v>
      </c>
      <c r="AE223" t="str">
        <v>10</v>
      </c>
      <c r="AF223" t="str">
        <v>20</v>
      </c>
      <c r="AG223" t="str">
        <v>6A</v>
      </c>
      <c r="AH223" t="str">
        <v>95</v>
      </c>
      <c r="AJ223" t="str">
        <f>LOWER("!byte $"&amp;AA223&amp;", $"&amp;AB223&amp;", $"&amp;AC223&amp;", $"&amp;AD223&amp;", $"&amp;AE223&amp;", $"&amp;AF223&amp;", $"&amp;AG223&amp;", $"&amp;AH223)</f>
        <v>!byte $01, $02, $05, $0a, $10, $20, $6a, $95</v>
      </c>
    </row>
    <row r="224" spans="1:36" x14ac:dyDescent="0.3">
      <c r="B224" s="2">
        <v>0</v>
      </c>
      <c r="C224" s="2">
        <v>0</v>
      </c>
      <c r="D224" s="2">
        <v>0</v>
      </c>
      <c r="E224" s="2">
        <v>2</v>
      </c>
      <c r="F224" s="2">
        <v>1</v>
      </c>
      <c r="G224" s="2">
        <v>0</v>
      </c>
      <c r="H224" s="2">
        <v>0</v>
      </c>
      <c r="I224" s="2">
        <v>0</v>
      </c>
      <c r="K224" s="2" t="str">
        <f t="shared" si="159"/>
        <v>00</v>
      </c>
      <c r="L224" s="2" t="str">
        <f t="shared" si="159"/>
        <v>00</v>
      </c>
      <c r="M224" s="2" t="str">
        <f t="shared" si="159"/>
        <v>00</v>
      </c>
      <c r="N224" s="2" t="str">
        <f t="shared" si="159"/>
        <v>10</v>
      </c>
      <c r="O224" s="2" t="str">
        <f t="shared" si="159"/>
        <v>01</v>
      </c>
      <c r="P224" s="2" t="str">
        <f t="shared" si="159"/>
        <v>00</v>
      </c>
      <c r="Q224" s="2" t="str">
        <f t="shared" si="159"/>
        <v>00</v>
      </c>
      <c r="R224" s="2" t="str">
        <f t="shared" si="159"/>
        <v>00</v>
      </c>
      <c r="T224" t="str">
        <f t="shared" si="29"/>
        <v>0000001001000000</v>
      </c>
      <c r="V224" s="9" t="str">
        <f t="shared" ref="V224:V238" si="160">LEFT(T224,8)</f>
        <v>00000010</v>
      </c>
      <c r="W224" s="9" t="str">
        <f t="shared" ref="W224:W238" si="161">RIGHT(T224,8)</f>
        <v>01000000</v>
      </c>
      <c r="X224" s="9" t="str">
        <f t="shared" ref="X224:X238" si="162">BIN2HEX(V224,2)</f>
        <v>02</v>
      </c>
      <c r="Y224" s="9" t="str">
        <f t="shared" ref="Y224:Y238" si="163">BIN2HEX(W224,2)</f>
        <v>40</v>
      </c>
      <c r="AA224" t="str" cm="1">
        <f t="array" ref="AA224:AH224">TRANSPOSE(X231:X238)</f>
        <v>7F</v>
      </c>
      <c r="AB224" t="str">
        <v>BF</v>
      </c>
      <c r="AC224" t="str">
        <v>15</v>
      </c>
      <c r="AD224" t="str">
        <v>2A</v>
      </c>
      <c r="AE224" t="str">
        <v>04</v>
      </c>
      <c r="AF224" t="str">
        <v>08</v>
      </c>
      <c r="AG224" t="str">
        <v>02</v>
      </c>
      <c r="AH224" t="str">
        <v>02</v>
      </c>
      <c r="AJ224" t="str">
        <f t="shared" ref="AJ224:AJ226" si="164">LOWER("!byte $"&amp;AA224&amp;", $"&amp;AB224&amp;", $"&amp;AC224&amp;", $"&amp;AD224&amp;", $"&amp;AE224&amp;", $"&amp;AF224&amp;", $"&amp;AG224&amp;", $"&amp;AH224)</f>
        <v>!byte $7f, $bf, $15, $2a, $04, $08, $02, $02</v>
      </c>
    </row>
    <row r="225" spans="1:36" x14ac:dyDescent="0.3">
      <c r="B225" s="2">
        <v>0</v>
      </c>
      <c r="C225" s="2">
        <v>0</v>
      </c>
      <c r="D225" s="2">
        <v>1</v>
      </c>
      <c r="E225" s="2">
        <v>1</v>
      </c>
      <c r="F225" s="2">
        <v>1</v>
      </c>
      <c r="G225" s="2">
        <v>3</v>
      </c>
      <c r="H225" s="2">
        <v>0</v>
      </c>
      <c r="I225" s="2">
        <v>0</v>
      </c>
      <c r="K225" s="2" t="str">
        <f t="shared" si="159"/>
        <v>00</v>
      </c>
      <c r="L225" s="2" t="str">
        <f t="shared" si="159"/>
        <v>00</v>
      </c>
      <c r="M225" s="2" t="str">
        <f t="shared" si="159"/>
        <v>01</v>
      </c>
      <c r="N225" s="2" t="str">
        <f t="shared" si="159"/>
        <v>01</v>
      </c>
      <c r="O225" s="2" t="str">
        <f t="shared" si="159"/>
        <v>01</v>
      </c>
      <c r="P225" s="2" t="str">
        <f t="shared" si="159"/>
        <v>11</v>
      </c>
      <c r="Q225" s="2" t="str">
        <f t="shared" si="159"/>
        <v>00</v>
      </c>
      <c r="R225" s="2" t="str">
        <f t="shared" si="159"/>
        <v>00</v>
      </c>
      <c r="T225" t="str">
        <f t="shared" si="29"/>
        <v>0000010101110000</v>
      </c>
      <c r="V225" s="9" t="str">
        <f t="shared" si="160"/>
        <v>00000101</v>
      </c>
      <c r="W225" s="9" t="str">
        <f t="shared" si="161"/>
        <v>01110000</v>
      </c>
      <c r="X225" s="9" t="str">
        <f t="shared" si="162"/>
        <v>05</v>
      </c>
      <c r="Y225" s="9" t="str">
        <f t="shared" si="163"/>
        <v>70</v>
      </c>
      <c r="AA225" t="str" cm="1">
        <f t="array" ref="AA225:AH225">TRANSPOSE(Y223:Y230)</f>
        <v>C0</v>
      </c>
      <c r="AB225" t="str">
        <v>40</v>
      </c>
      <c r="AC225" t="str">
        <v>70</v>
      </c>
      <c r="AD225" t="str">
        <v>90</v>
      </c>
      <c r="AE225" t="str">
        <v>0C</v>
      </c>
      <c r="AF225" t="str">
        <v>04</v>
      </c>
      <c r="AG225" t="str">
        <v>AB</v>
      </c>
      <c r="AH225" t="str">
        <v>55</v>
      </c>
      <c r="AJ225" t="str">
        <f t="shared" si="164"/>
        <v>!byte $c0, $40, $70, $90, $0c, $04, $ab, $55</v>
      </c>
    </row>
    <row r="226" spans="1:36" x14ac:dyDescent="0.3">
      <c r="B226" s="2">
        <v>0</v>
      </c>
      <c r="C226" s="2">
        <v>0</v>
      </c>
      <c r="D226" s="2">
        <v>2</v>
      </c>
      <c r="E226" s="2">
        <v>2</v>
      </c>
      <c r="F226" s="2">
        <v>2</v>
      </c>
      <c r="G226" s="2">
        <v>1</v>
      </c>
      <c r="H226" s="2">
        <v>0</v>
      </c>
      <c r="I226" s="2">
        <v>0</v>
      </c>
      <c r="K226" s="2" t="str">
        <f t="shared" si="159"/>
        <v>00</v>
      </c>
      <c r="L226" s="2" t="str">
        <f t="shared" si="159"/>
        <v>00</v>
      </c>
      <c r="M226" s="2" t="str">
        <f t="shared" si="159"/>
        <v>10</v>
      </c>
      <c r="N226" s="2" t="str">
        <f t="shared" si="159"/>
        <v>10</v>
      </c>
      <c r="O226" s="2" t="str">
        <f t="shared" si="159"/>
        <v>10</v>
      </c>
      <c r="P226" s="2" t="str">
        <f t="shared" si="159"/>
        <v>01</v>
      </c>
      <c r="Q226" s="2" t="str">
        <f t="shared" si="159"/>
        <v>00</v>
      </c>
      <c r="R226" s="2" t="str">
        <f t="shared" si="159"/>
        <v>00</v>
      </c>
      <c r="T226" t="str">
        <f t="shared" si="29"/>
        <v>0000101010010000</v>
      </c>
      <c r="V226" s="9" t="str">
        <f t="shared" si="160"/>
        <v>00001010</v>
      </c>
      <c r="W226" s="9" t="str">
        <f t="shared" si="161"/>
        <v>10010000</v>
      </c>
      <c r="X226" s="9" t="str">
        <f t="shared" si="162"/>
        <v>0A</v>
      </c>
      <c r="Y226" s="9" t="str">
        <f t="shared" si="163"/>
        <v>90</v>
      </c>
      <c r="AA226" t="str" cm="1">
        <f t="array" ref="AA226:AH226">TRANSPOSE(Y231:Y238)</f>
        <v>FF</v>
      </c>
      <c r="AB226" t="str">
        <v>FD</v>
      </c>
      <c r="AC226" t="str">
        <v>5C</v>
      </c>
      <c r="AD226" t="str">
        <v>A4</v>
      </c>
      <c r="AE226" t="str">
        <v>30</v>
      </c>
      <c r="AF226" t="str">
        <v>10</v>
      </c>
      <c r="AG226" t="str">
        <v>40</v>
      </c>
      <c r="AH226" t="str">
        <v>80</v>
      </c>
      <c r="AJ226" t="str">
        <f t="shared" si="164"/>
        <v>!byte $ff, $fd, $5c, $a4, $30, $10, $40, $80</v>
      </c>
    </row>
    <row r="227" spans="1:36" x14ac:dyDescent="0.3">
      <c r="B227" s="2">
        <v>0</v>
      </c>
      <c r="C227" s="2">
        <v>1</v>
      </c>
      <c r="D227" s="2">
        <v>0</v>
      </c>
      <c r="E227" s="2">
        <v>0</v>
      </c>
      <c r="F227" s="2">
        <v>0</v>
      </c>
      <c r="G227" s="2">
        <v>0</v>
      </c>
      <c r="H227" s="2">
        <v>3</v>
      </c>
      <c r="I227" s="2">
        <v>0</v>
      </c>
      <c r="K227" s="2" t="str">
        <f t="shared" si="159"/>
        <v>00</v>
      </c>
      <c r="L227" s="2" t="str">
        <f t="shared" si="159"/>
        <v>01</v>
      </c>
      <c r="M227" s="2" t="str">
        <f t="shared" si="159"/>
        <v>00</v>
      </c>
      <c r="N227" s="2" t="str">
        <f t="shared" si="159"/>
        <v>00</v>
      </c>
      <c r="O227" s="2" t="str">
        <f t="shared" si="159"/>
        <v>00</v>
      </c>
      <c r="P227" s="2" t="str">
        <f t="shared" si="159"/>
        <v>00</v>
      </c>
      <c r="Q227" s="2" t="str">
        <f t="shared" si="159"/>
        <v>11</v>
      </c>
      <c r="R227" s="2" t="str">
        <f t="shared" si="159"/>
        <v>00</v>
      </c>
      <c r="T227" t="str">
        <f t="shared" si="29"/>
        <v>0001000000001100</v>
      </c>
      <c r="V227" s="9" t="str">
        <f t="shared" si="160"/>
        <v>00010000</v>
      </c>
      <c r="W227" s="9" t="str">
        <f t="shared" si="161"/>
        <v>00001100</v>
      </c>
      <c r="X227" s="9" t="str">
        <f t="shared" si="162"/>
        <v>10</v>
      </c>
      <c r="Y227" s="9" t="str">
        <f t="shared" si="163"/>
        <v>0C</v>
      </c>
    </row>
    <row r="228" spans="1:36" x14ac:dyDescent="0.3">
      <c r="B228" s="2">
        <v>0</v>
      </c>
      <c r="C228" s="2">
        <v>2</v>
      </c>
      <c r="D228" s="2">
        <v>0</v>
      </c>
      <c r="E228" s="2">
        <v>0</v>
      </c>
      <c r="F228" s="2">
        <v>0</v>
      </c>
      <c r="G228" s="2">
        <v>0</v>
      </c>
      <c r="H228" s="2">
        <v>1</v>
      </c>
      <c r="I228" s="2">
        <v>0</v>
      </c>
      <c r="K228" s="2" t="str">
        <f t="shared" si="159"/>
        <v>00</v>
      </c>
      <c r="L228" s="2" t="str">
        <f t="shared" si="159"/>
        <v>10</v>
      </c>
      <c r="M228" s="2" t="str">
        <f t="shared" si="159"/>
        <v>00</v>
      </c>
      <c r="N228" s="2" t="str">
        <f t="shared" si="159"/>
        <v>00</v>
      </c>
      <c r="O228" s="2" t="str">
        <f t="shared" si="159"/>
        <v>00</v>
      </c>
      <c r="P228" s="2" t="str">
        <f t="shared" si="159"/>
        <v>00</v>
      </c>
      <c r="Q228" s="2" t="str">
        <f t="shared" si="159"/>
        <v>01</v>
      </c>
      <c r="R228" s="2" t="str">
        <f t="shared" si="159"/>
        <v>00</v>
      </c>
      <c r="T228" t="str">
        <f t="shared" si="29"/>
        <v>0010000000000100</v>
      </c>
      <c r="V228" s="9" t="str">
        <f t="shared" si="160"/>
        <v>00100000</v>
      </c>
      <c r="W228" s="9" t="str">
        <f t="shared" si="161"/>
        <v>00000100</v>
      </c>
      <c r="X228" s="9" t="str">
        <f t="shared" si="162"/>
        <v>20</v>
      </c>
      <c r="Y228" s="9" t="str">
        <f t="shared" si="163"/>
        <v>04</v>
      </c>
    </row>
    <row r="229" spans="1:36" x14ac:dyDescent="0.3">
      <c r="B229" s="2">
        <v>1</v>
      </c>
      <c r="C229" s="2">
        <v>2</v>
      </c>
      <c r="D229" s="2">
        <v>2</v>
      </c>
      <c r="E229" s="2">
        <v>2</v>
      </c>
      <c r="F229" s="2">
        <v>2</v>
      </c>
      <c r="G229" s="2">
        <v>2</v>
      </c>
      <c r="H229" s="2">
        <v>2</v>
      </c>
      <c r="I229" s="2">
        <v>3</v>
      </c>
      <c r="K229" s="2" t="str">
        <f t="shared" si="159"/>
        <v>01</v>
      </c>
      <c r="L229" s="2" t="str">
        <f t="shared" si="159"/>
        <v>10</v>
      </c>
      <c r="M229" s="2" t="str">
        <f t="shared" si="159"/>
        <v>10</v>
      </c>
      <c r="N229" s="2" t="str">
        <f t="shared" si="159"/>
        <v>10</v>
      </c>
      <c r="O229" s="2" t="str">
        <f t="shared" si="159"/>
        <v>10</v>
      </c>
      <c r="P229" s="2" t="str">
        <f t="shared" si="159"/>
        <v>10</v>
      </c>
      <c r="Q229" s="2" t="str">
        <f t="shared" si="159"/>
        <v>10</v>
      </c>
      <c r="R229" s="2" t="str">
        <f t="shared" si="159"/>
        <v>11</v>
      </c>
      <c r="T229" t="str">
        <f t="shared" si="29"/>
        <v>0110101010101011</v>
      </c>
      <c r="V229" s="9" t="str">
        <f t="shared" si="160"/>
        <v>01101010</v>
      </c>
      <c r="W229" s="9" t="str">
        <f t="shared" si="161"/>
        <v>10101011</v>
      </c>
      <c r="X229" s="9" t="str">
        <f t="shared" si="162"/>
        <v>6A</v>
      </c>
      <c r="Y229" s="9" t="str">
        <f t="shared" si="163"/>
        <v>AB</v>
      </c>
    </row>
    <row r="230" spans="1:36" x14ac:dyDescent="0.3">
      <c r="B230" s="2">
        <v>2</v>
      </c>
      <c r="C230" s="2">
        <v>1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K230" s="2" t="str">
        <f t="shared" si="159"/>
        <v>10</v>
      </c>
      <c r="L230" s="2" t="str">
        <f t="shared" si="159"/>
        <v>01</v>
      </c>
      <c r="M230" s="2" t="str">
        <f t="shared" si="159"/>
        <v>01</v>
      </c>
      <c r="N230" s="2" t="str">
        <f t="shared" si="159"/>
        <v>01</v>
      </c>
      <c r="O230" s="2" t="str">
        <f t="shared" si="159"/>
        <v>01</v>
      </c>
      <c r="P230" s="2" t="str">
        <f t="shared" si="159"/>
        <v>01</v>
      </c>
      <c r="Q230" s="2" t="str">
        <f t="shared" si="159"/>
        <v>01</v>
      </c>
      <c r="R230" s="2" t="str">
        <f t="shared" si="159"/>
        <v>01</v>
      </c>
      <c r="T230" t="str">
        <f t="shared" si="29"/>
        <v>1001010101010101</v>
      </c>
      <c r="V230" s="10" t="str">
        <f t="shared" si="160"/>
        <v>10010101</v>
      </c>
      <c r="W230" s="10" t="str">
        <f t="shared" si="161"/>
        <v>01010101</v>
      </c>
      <c r="X230" s="10" t="str">
        <f t="shared" si="162"/>
        <v>95</v>
      </c>
      <c r="Y230" s="10" t="str">
        <f t="shared" si="163"/>
        <v>55</v>
      </c>
    </row>
    <row r="231" spans="1:36" x14ac:dyDescent="0.3">
      <c r="B231" s="2">
        <v>1</v>
      </c>
      <c r="C231" s="2">
        <v>3</v>
      </c>
      <c r="D231" s="2">
        <v>3</v>
      </c>
      <c r="E231" s="2">
        <v>3</v>
      </c>
      <c r="F231" s="2">
        <v>3</v>
      </c>
      <c r="G231" s="2">
        <v>3</v>
      </c>
      <c r="H231" s="2">
        <v>3</v>
      </c>
      <c r="I231" s="2">
        <v>3</v>
      </c>
      <c r="K231" s="2" t="str">
        <f t="shared" si="159"/>
        <v>01</v>
      </c>
      <c r="L231" s="2" t="str">
        <f t="shared" si="159"/>
        <v>11</v>
      </c>
      <c r="M231" s="2" t="str">
        <f t="shared" si="159"/>
        <v>11</v>
      </c>
      <c r="N231" s="2" t="str">
        <f t="shared" si="159"/>
        <v>11</v>
      </c>
      <c r="O231" s="2" t="str">
        <f t="shared" si="159"/>
        <v>11</v>
      </c>
      <c r="P231" s="2" t="str">
        <f t="shared" si="159"/>
        <v>11</v>
      </c>
      <c r="Q231" s="2" t="str">
        <f t="shared" si="159"/>
        <v>11</v>
      </c>
      <c r="R231" s="2" t="str">
        <f t="shared" si="159"/>
        <v>11</v>
      </c>
      <c r="T231" t="str">
        <f t="shared" si="29"/>
        <v>0111111111111111</v>
      </c>
      <c r="V231" s="8" t="str">
        <f t="shared" si="160"/>
        <v>01111111</v>
      </c>
      <c r="W231" s="8" t="str">
        <f t="shared" si="161"/>
        <v>11111111</v>
      </c>
      <c r="X231" s="8" t="str">
        <f t="shared" si="162"/>
        <v>7F</v>
      </c>
      <c r="Y231" s="8" t="str">
        <f t="shared" si="163"/>
        <v>FF</v>
      </c>
    </row>
    <row r="232" spans="1:36" x14ac:dyDescent="0.3">
      <c r="B232" s="2">
        <v>2</v>
      </c>
      <c r="C232" s="2">
        <v>3</v>
      </c>
      <c r="D232" s="2">
        <v>3</v>
      </c>
      <c r="E232" s="2">
        <v>3</v>
      </c>
      <c r="F232" s="2">
        <v>3</v>
      </c>
      <c r="G232" s="2">
        <v>3</v>
      </c>
      <c r="H232" s="2">
        <v>3</v>
      </c>
      <c r="I232" s="2">
        <v>1</v>
      </c>
      <c r="K232" s="2" t="str">
        <f t="shared" si="159"/>
        <v>10</v>
      </c>
      <c r="L232" s="2" t="str">
        <f t="shared" si="159"/>
        <v>11</v>
      </c>
      <c r="M232" s="2" t="str">
        <f t="shared" si="159"/>
        <v>11</v>
      </c>
      <c r="N232" s="2" t="str">
        <f t="shared" si="159"/>
        <v>11</v>
      </c>
      <c r="O232" s="2" t="str">
        <f t="shared" si="159"/>
        <v>11</v>
      </c>
      <c r="P232" s="2" t="str">
        <f t="shared" si="159"/>
        <v>11</v>
      </c>
      <c r="Q232" s="2" t="str">
        <f t="shared" si="159"/>
        <v>11</v>
      </c>
      <c r="R232" s="2" t="str">
        <f t="shared" si="159"/>
        <v>01</v>
      </c>
      <c r="T232" t="str">
        <f t="shared" si="29"/>
        <v>1011111111111101</v>
      </c>
      <c r="V232" s="9" t="str">
        <f t="shared" si="160"/>
        <v>10111111</v>
      </c>
      <c r="W232" s="9" t="str">
        <f t="shared" si="161"/>
        <v>11111101</v>
      </c>
      <c r="X232" s="9" t="str">
        <f t="shared" si="162"/>
        <v>BF</v>
      </c>
      <c r="Y232" s="9" t="str">
        <f t="shared" si="163"/>
        <v>FD</v>
      </c>
    </row>
    <row r="233" spans="1:36" x14ac:dyDescent="0.3">
      <c r="B233" s="2">
        <v>0</v>
      </c>
      <c r="C233" s="2">
        <v>1</v>
      </c>
      <c r="D233" s="2">
        <v>1</v>
      </c>
      <c r="E233" s="2">
        <v>1</v>
      </c>
      <c r="F233" s="2">
        <v>1</v>
      </c>
      <c r="G233" s="2">
        <v>1</v>
      </c>
      <c r="H233" s="2">
        <v>3</v>
      </c>
      <c r="I233" s="2">
        <v>0</v>
      </c>
      <c r="K233" s="2" t="str">
        <f t="shared" si="159"/>
        <v>00</v>
      </c>
      <c r="L233" s="2" t="str">
        <f t="shared" si="159"/>
        <v>01</v>
      </c>
      <c r="M233" s="2" t="str">
        <f t="shared" si="159"/>
        <v>01</v>
      </c>
      <c r="N233" s="2" t="str">
        <f t="shared" si="159"/>
        <v>01</v>
      </c>
      <c r="O233" s="2" t="str">
        <f t="shared" si="159"/>
        <v>01</v>
      </c>
      <c r="P233" s="2" t="str">
        <f t="shared" si="159"/>
        <v>01</v>
      </c>
      <c r="Q233" s="2" t="str">
        <f t="shared" si="159"/>
        <v>11</v>
      </c>
      <c r="R233" s="2" t="str">
        <f t="shared" si="159"/>
        <v>00</v>
      </c>
      <c r="T233" t="str">
        <f t="shared" si="29"/>
        <v>0001010101011100</v>
      </c>
      <c r="V233" s="9" t="str">
        <f t="shared" si="160"/>
        <v>00010101</v>
      </c>
      <c r="W233" s="9" t="str">
        <f t="shared" si="161"/>
        <v>01011100</v>
      </c>
      <c r="X233" s="9" t="str">
        <f t="shared" si="162"/>
        <v>15</v>
      </c>
      <c r="Y233" s="9" t="str">
        <f t="shared" si="163"/>
        <v>5C</v>
      </c>
    </row>
    <row r="234" spans="1:36" x14ac:dyDescent="0.3">
      <c r="B234" s="2">
        <v>0</v>
      </c>
      <c r="C234" s="2">
        <v>2</v>
      </c>
      <c r="D234" s="2">
        <v>2</v>
      </c>
      <c r="E234" s="2">
        <v>2</v>
      </c>
      <c r="F234" s="2">
        <v>2</v>
      </c>
      <c r="G234" s="2">
        <v>2</v>
      </c>
      <c r="H234" s="2">
        <v>1</v>
      </c>
      <c r="I234" s="2">
        <v>0</v>
      </c>
      <c r="K234" s="2" t="str">
        <f t="shared" si="159"/>
        <v>00</v>
      </c>
      <c r="L234" s="2" t="str">
        <f t="shared" si="159"/>
        <v>10</v>
      </c>
      <c r="M234" s="2" t="str">
        <f t="shared" si="159"/>
        <v>10</v>
      </c>
      <c r="N234" s="2" t="str">
        <f t="shared" si="159"/>
        <v>10</v>
      </c>
      <c r="O234" s="2" t="str">
        <f t="shared" si="159"/>
        <v>10</v>
      </c>
      <c r="P234" s="2" t="str">
        <f t="shared" si="159"/>
        <v>10</v>
      </c>
      <c r="Q234" s="2" t="str">
        <f t="shared" si="159"/>
        <v>01</v>
      </c>
      <c r="R234" s="2" t="str">
        <f t="shared" si="159"/>
        <v>00</v>
      </c>
      <c r="T234" t="str">
        <f t="shared" si="29"/>
        <v>0010101010100100</v>
      </c>
      <c r="V234" s="9" t="str">
        <f t="shared" si="160"/>
        <v>00101010</v>
      </c>
      <c r="W234" s="9" t="str">
        <f t="shared" si="161"/>
        <v>10100100</v>
      </c>
      <c r="X234" s="9" t="str">
        <f t="shared" si="162"/>
        <v>2A</v>
      </c>
      <c r="Y234" s="9" t="str">
        <f t="shared" si="163"/>
        <v>A4</v>
      </c>
    </row>
    <row r="235" spans="1:36" x14ac:dyDescent="0.3">
      <c r="B235" s="2">
        <v>0</v>
      </c>
      <c r="C235" s="2">
        <v>0</v>
      </c>
      <c r="D235" s="2">
        <v>1</v>
      </c>
      <c r="E235" s="2">
        <v>0</v>
      </c>
      <c r="F235" s="2">
        <v>0</v>
      </c>
      <c r="G235" s="2">
        <v>3</v>
      </c>
      <c r="H235" s="2">
        <v>0</v>
      </c>
      <c r="I235" s="2">
        <v>0</v>
      </c>
      <c r="K235" s="2" t="str">
        <f t="shared" si="159"/>
        <v>00</v>
      </c>
      <c r="L235" s="2" t="str">
        <f t="shared" si="159"/>
        <v>00</v>
      </c>
      <c r="M235" s="2" t="str">
        <f t="shared" si="159"/>
        <v>01</v>
      </c>
      <c r="N235" s="2" t="str">
        <f t="shared" si="159"/>
        <v>00</v>
      </c>
      <c r="O235" s="2" t="str">
        <f t="shared" si="159"/>
        <v>00</v>
      </c>
      <c r="P235" s="2" t="str">
        <f t="shared" si="159"/>
        <v>11</v>
      </c>
      <c r="Q235" s="2" t="str">
        <f t="shared" si="159"/>
        <v>00</v>
      </c>
      <c r="R235" s="2" t="str">
        <f t="shared" si="159"/>
        <v>00</v>
      </c>
      <c r="T235" t="str">
        <f t="shared" si="29"/>
        <v>0000010000110000</v>
      </c>
      <c r="V235" s="9" t="str">
        <f t="shared" si="160"/>
        <v>00000100</v>
      </c>
      <c r="W235" s="9" t="str">
        <f t="shared" si="161"/>
        <v>00110000</v>
      </c>
      <c r="X235" s="9" t="str">
        <f t="shared" si="162"/>
        <v>04</v>
      </c>
      <c r="Y235" s="9" t="str">
        <f t="shared" si="163"/>
        <v>30</v>
      </c>
    </row>
    <row r="236" spans="1:36" x14ac:dyDescent="0.3">
      <c r="B236" s="2">
        <v>0</v>
      </c>
      <c r="C236" s="2">
        <v>0</v>
      </c>
      <c r="D236" s="2">
        <v>2</v>
      </c>
      <c r="E236" s="2">
        <v>0</v>
      </c>
      <c r="F236" s="2">
        <v>0</v>
      </c>
      <c r="G236" s="2">
        <v>1</v>
      </c>
      <c r="H236" s="2">
        <v>0</v>
      </c>
      <c r="I236" s="2">
        <v>0</v>
      </c>
      <c r="K236" s="2" t="str">
        <f t="shared" si="159"/>
        <v>00</v>
      </c>
      <c r="L236" s="2" t="str">
        <f t="shared" si="159"/>
        <v>00</v>
      </c>
      <c r="M236" s="2" t="str">
        <f t="shared" si="159"/>
        <v>10</v>
      </c>
      <c r="N236" s="2" t="str">
        <f t="shared" si="159"/>
        <v>00</v>
      </c>
      <c r="O236" s="2" t="str">
        <f t="shared" si="159"/>
        <v>00</v>
      </c>
      <c r="P236" s="2" t="str">
        <f t="shared" si="159"/>
        <v>01</v>
      </c>
      <c r="Q236" s="2" t="str">
        <f t="shared" si="159"/>
        <v>00</v>
      </c>
      <c r="R236" s="2" t="str">
        <f t="shared" si="159"/>
        <v>00</v>
      </c>
      <c r="T236" t="str">
        <f t="shared" si="29"/>
        <v>0000100000010000</v>
      </c>
      <c r="V236" s="9" t="str">
        <f t="shared" si="160"/>
        <v>00001000</v>
      </c>
      <c r="W236" s="9" t="str">
        <f t="shared" si="161"/>
        <v>00010000</v>
      </c>
      <c r="X236" s="9" t="str">
        <f t="shared" si="162"/>
        <v>08</v>
      </c>
      <c r="Y236" s="9" t="str">
        <f t="shared" si="163"/>
        <v>10</v>
      </c>
    </row>
    <row r="237" spans="1:36" x14ac:dyDescent="0.3">
      <c r="B237" s="2">
        <v>0</v>
      </c>
      <c r="C237" s="2">
        <v>0</v>
      </c>
      <c r="D237" s="2">
        <v>0</v>
      </c>
      <c r="E237" s="2">
        <v>2</v>
      </c>
      <c r="F237" s="2">
        <v>1</v>
      </c>
      <c r="G237" s="2">
        <v>0</v>
      </c>
      <c r="H237" s="2">
        <v>0</v>
      </c>
      <c r="I237" s="2">
        <v>0</v>
      </c>
      <c r="K237" s="2" t="str">
        <f t="shared" si="159"/>
        <v>00</v>
      </c>
      <c r="L237" s="2" t="str">
        <f t="shared" si="159"/>
        <v>00</v>
      </c>
      <c r="M237" s="2" t="str">
        <f t="shared" si="159"/>
        <v>00</v>
      </c>
      <c r="N237" s="2" t="str">
        <f t="shared" si="159"/>
        <v>10</v>
      </c>
      <c r="O237" s="2" t="str">
        <f t="shared" si="159"/>
        <v>01</v>
      </c>
      <c r="P237" s="2" t="str">
        <f t="shared" si="159"/>
        <v>00</v>
      </c>
      <c r="Q237" s="2" t="str">
        <f t="shared" si="159"/>
        <v>00</v>
      </c>
      <c r="R237" s="2" t="str">
        <f t="shared" si="159"/>
        <v>00</v>
      </c>
      <c r="T237" t="str">
        <f t="shared" ref="T237:T272" si="165">_xlfn.CONCAT(K237:R237)</f>
        <v>0000001001000000</v>
      </c>
      <c r="V237" s="9" t="str">
        <f t="shared" si="160"/>
        <v>00000010</v>
      </c>
      <c r="W237" s="9" t="str">
        <f t="shared" si="161"/>
        <v>01000000</v>
      </c>
      <c r="X237" s="9" t="str">
        <f t="shared" si="162"/>
        <v>02</v>
      </c>
      <c r="Y237" s="9" t="str">
        <f t="shared" si="163"/>
        <v>40</v>
      </c>
    </row>
    <row r="238" spans="1:36" x14ac:dyDescent="0.3">
      <c r="B238" s="2">
        <v>0</v>
      </c>
      <c r="C238" s="2">
        <v>0</v>
      </c>
      <c r="D238" s="2">
        <v>0</v>
      </c>
      <c r="E238" s="2">
        <v>2</v>
      </c>
      <c r="F238" s="2">
        <v>2</v>
      </c>
      <c r="G238" s="2">
        <v>0</v>
      </c>
      <c r="H238" s="2">
        <v>0</v>
      </c>
      <c r="I238" s="2">
        <v>0</v>
      </c>
      <c r="K238" s="2" t="str">
        <f t="shared" si="159"/>
        <v>00</v>
      </c>
      <c r="L238" s="2" t="str">
        <f t="shared" si="159"/>
        <v>00</v>
      </c>
      <c r="M238" s="2" t="str">
        <f t="shared" si="159"/>
        <v>00</v>
      </c>
      <c r="N238" s="2" t="str">
        <f t="shared" si="159"/>
        <v>10</v>
      </c>
      <c r="O238" s="2" t="str">
        <f t="shared" si="159"/>
        <v>10</v>
      </c>
      <c r="P238" s="2" t="str">
        <f t="shared" si="159"/>
        <v>00</v>
      </c>
      <c r="Q238" s="2" t="str">
        <f t="shared" si="159"/>
        <v>00</v>
      </c>
      <c r="R238" s="2" t="str">
        <f t="shared" si="159"/>
        <v>00</v>
      </c>
      <c r="T238" t="str">
        <f t="shared" si="165"/>
        <v>0000001010000000</v>
      </c>
      <c r="V238" s="10" t="str">
        <f t="shared" si="160"/>
        <v>00000010</v>
      </c>
      <c r="W238" s="10" t="str">
        <f t="shared" si="161"/>
        <v>10000000</v>
      </c>
      <c r="X238" s="10" t="str">
        <f t="shared" si="162"/>
        <v>02</v>
      </c>
      <c r="Y238" s="10" t="str">
        <f t="shared" si="163"/>
        <v>80</v>
      </c>
    </row>
    <row r="239" spans="1:36" x14ac:dyDescent="0.3">
      <c r="A239" t="s">
        <v>9</v>
      </c>
      <c r="AJ239" t="str">
        <f>";"&amp;PROPER(A239)</f>
        <v>;Diamond 3</v>
      </c>
    </row>
    <row r="240" spans="1:36" x14ac:dyDescent="0.3">
      <c r="B240" s="2">
        <v>0</v>
      </c>
      <c r="C240" s="2">
        <v>0</v>
      </c>
      <c r="D240" s="2">
        <v>0</v>
      </c>
      <c r="E240" s="2">
        <v>1</v>
      </c>
      <c r="F240" s="2">
        <v>3</v>
      </c>
      <c r="G240" s="2">
        <v>0</v>
      </c>
      <c r="H240" s="2">
        <v>0</v>
      </c>
      <c r="I240" s="2">
        <v>0</v>
      </c>
      <c r="K240" s="2" t="str">
        <f t="shared" ref="K240:R255" si="166">DEC2BIN(B240,2)</f>
        <v>00</v>
      </c>
      <c r="L240" s="2" t="str">
        <f t="shared" si="166"/>
        <v>00</v>
      </c>
      <c r="M240" s="2" t="str">
        <f t="shared" si="166"/>
        <v>00</v>
      </c>
      <c r="N240" s="2" t="str">
        <f t="shared" si="166"/>
        <v>01</v>
      </c>
      <c r="O240" s="2" t="str">
        <f t="shared" si="166"/>
        <v>11</v>
      </c>
      <c r="P240" s="2" t="str">
        <f t="shared" si="166"/>
        <v>00</v>
      </c>
      <c r="Q240" s="2" t="str">
        <f t="shared" si="166"/>
        <v>00</v>
      </c>
      <c r="R240" s="2" t="str">
        <f t="shared" si="166"/>
        <v>00</v>
      </c>
      <c r="T240" t="str">
        <f t="shared" si="165"/>
        <v>0000000111000000</v>
      </c>
      <c r="V240" s="8" t="str">
        <f>LEFT(T240,8)</f>
        <v>00000001</v>
      </c>
      <c r="W240" s="8" t="str">
        <f>RIGHT(T240,8)</f>
        <v>11000000</v>
      </c>
      <c r="X240" s="8" t="str">
        <f>BIN2HEX(V240,2)</f>
        <v>01</v>
      </c>
      <c r="Y240" s="8" t="str">
        <f>BIN2HEX(W240,2)</f>
        <v>C0</v>
      </c>
      <c r="AA240" t="str" cm="1">
        <f t="array" ref="AA240:AH240">TRANSPOSE(X240:X247)</f>
        <v>01</v>
      </c>
      <c r="AB240" t="str">
        <v>02</v>
      </c>
      <c r="AC240" t="str">
        <v>04</v>
      </c>
      <c r="AD240" t="str">
        <v>08</v>
      </c>
      <c r="AE240" t="str">
        <v>1A</v>
      </c>
      <c r="AF240" t="str">
        <v>25</v>
      </c>
      <c r="AG240" t="str">
        <v>7F</v>
      </c>
      <c r="AH240" t="str">
        <v>BF</v>
      </c>
      <c r="AJ240" t="str">
        <f>LOWER("!byte $"&amp;AA240&amp;", $"&amp;AB240&amp;", $"&amp;AC240&amp;", $"&amp;AD240&amp;", $"&amp;AE240&amp;", $"&amp;AF240&amp;", $"&amp;AG240&amp;", $"&amp;AH240)</f>
        <v>!byte $01, $02, $04, $08, $1a, $25, $7f, $bf</v>
      </c>
    </row>
    <row r="241" spans="1:36" x14ac:dyDescent="0.3">
      <c r="B241" s="2">
        <v>0</v>
      </c>
      <c r="C241" s="2">
        <v>0</v>
      </c>
      <c r="D241" s="2">
        <v>0</v>
      </c>
      <c r="E241" s="2">
        <v>2</v>
      </c>
      <c r="F241" s="2">
        <v>1</v>
      </c>
      <c r="G241" s="2">
        <v>0</v>
      </c>
      <c r="H241" s="2">
        <v>0</v>
      </c>
      <c r="I241" s="2">
        <v>0</v>
      </c>
      <c r="K241" s="2" t="str">
        <f t="shared" si="166"/>
        <v>00</v>
      </c>
      <c r="L241" s="2" t="str">
        <f t="shared" si="166"/>
        <v>00</v>
      </c>
      <c r="M241" s="2" t="str">
        <f t="shared" si="166"/>
        <v>00</v>
      </c>
      <c r="N241" s="2" t="str">
        <f t="shared" si="166"/>
        <v>10</v>
      </c>
      <c r="O241" s="2" t="str">
        <f t="shared" si="166"/>
        <v>01</v>
      </c>
      <c r="P241" s="2" t="str">
        <f t="shared" si="166"/>
        <v>00</v>
      </c>
      <c r="Q241" s="2" t="str">
        <f t="shared" si="166"/>
        <v>00</v>
      </c>
      <c r="R241" s="2" t="str">
        <f t="shared" si="166"/>
        <v>00</v>
      </c>
      <c r="T241" t="str">
        <f t="shared" si="165"/>
        <v>0000001001000000</v>
      </c>
      <c r="V241" s="9" t="str">
        <f t="shared" ref="V241:V255" si="167">LEFT(T241,8)</f>
        <v>00000010</v>
      </c>
      <c r="W241" s="9" t="str">
        <f t="shared" ref="W241:W255" si="168">RIGHT(T241,8)</f>
        <v>01000000</v>
      </c>
      <c r="X241" s="9" t="str">
        <f t="shared" ref="X241:X255" si="169">BIN2HEX(V241,2)</f>
        <v>02</v>
      </c>
      <c r="Y241" s="9" t="str">
        <f t="shared" ref="Y241:Y255" si="170">BIN2HEX(W241,2)</f>
        <v>40</v>
      </c>
      <c r="AA241" t="str" cm="1">
        <f t="array" ref="AA241:AH241">TRANSPOSE(X248:X255)</f>
        <v>55</v>
      </c>
      <c r="AB241" t="str">
        <v>AA</v>
      </c>
      <c r="AC241" t="str">
        <v>10</v>
      </c>
      <c r="AD241" t="str">
        <v>20</v>
      </c>
      <c r="AE241" t="str">
        <v>06</v>
      </c>
      <c r="AF241" t="str">
        <v>09</v>
      </c>
      <c r="AG241" t="str">
        <v>02</v>
      </c>
      <c r="AH241" t="str">
        <v>02</v>
      </c>
      <c r="AJ241" t="str">
        <f t="shared" ref="AJ241:AJ243" si="171">LOWER("!byte $"&amp;AA241&amp;", $"&amp;AB241&amp;", $"&amp;AC241&amp;", $"&amp;AD241&amp;", $"&amp;AE241&amp;", $"&amp;AF241&amp;", $"&amp;AG241&amp;", $"&amp;AH241)</f>
        <v>!byte $55, $aa, $10, $20, $06, $09, $02, $02</v>
      </c>
    </row>
    <row r="242" spans="1:36" x14ac:dyDescent="0.3">
      <c r="B242" s="2">
        <v>0</v>
      </c>
      <c r="C242" s="2">
        <v>0</v>
      </c>
      <c r="D242" s="2">
        <v>1</v>
      </c>
      <c r="E242" s="2">
        <v>0</v>
      </c>
      <c r="F242" s="2">
        <v>0</v>
      </c>
      <c r="G242" s="2">
        <v>3</v>
      </c>
      <c r="H242" s="2">
        <v>0</v>
      </c>
      <c r="I242" s="2">
        <v>0</v>
      </c>
      <c r="K242" s="2" t="str">
        <f t="shared" si="166"/>
        <v>00</v>
      </c>
      <c r="L242" s="2" t="str">
        <f t="shared" si="166"/>
        <v>00</v>
      </c>
      <c r="M242" s="2" t="str">
        <f t="shared" si="166"/>
        <v>01</v>
      </c>
      <c r="N242" s="2" t="str">
        <f t="shared" si="166"/>
        <v>00</v>
      </c>
      <c r="O242" s="2" t="str">
        <f t="shared" si="166"/>
        <v>00</v>
      </c>
      <c r="P242" s="2" t="str">
        <f t="shared" si="166"/>
        <v>11</v>
      </c>
      <c r="Q242" s="2" t="str">
        <f t="shared" si="166"/>
        <v>00</v>
      </c>
      <c r="R242" s="2" t="str">
        <f t="shared" si="166"/>
        <v>00</v>
      </c>
      <c r="T242" t="str">
        <f t="shared" si="165"/>
        <v>0000010000110000</v>
      </c>
      <c r="V242" s="9" t="str">
        <f t="shared" si="167"/>
        <v>00000100</v>
      </c>
      <c r="W242" s="9" t="str">
        <f t="shared" si="168"/>
        <v>00110000</v>
      </c>
      <c r="X242" s="9" t="str">
        <f t="shared" si="169"/>
        <v>04</v>
      </c>
      <c r="Y242" s="9" t="str">
        <f t="shared" si="170"/>
        <v>30</v>
      </c>
      <c r="AA242" t="str" cm="1">
        <f t="array" ref="AA242:AH242">TRANSPOSE(Y240:Y247)</f>
        <v>C0</v>
      </c>
      <c r="AB242" t="str">
        <v>40</v>
      </c>
      <c r="AC242" t="str">
        <v>30</v>
      </c>
      <c r="AD242" t="str">
        <v>10</v>
      </c>
      <c r="AE242" t="str">
        <v>AC</v>
      </c>
      <c r="AF242" t="str">
        <v>54</v>
      </c>
      <c r="AG242" t="str">
        <v>FF</v>
      </c>
      <c r="AH242" t="str">
        <v>FD</v>
      </c>
      <c r="AJ242" t="str">
        <f t="shared" si="171"/>
        <v>!byte $c0, $40, $30, $10, $ac, $54, $ff, $fd</v>
      </c>
    </row>
    <row r="243" spans="1:36" x14ac:dyDescent="0.3">
      <c r="B243" s="2">
        <v>0</v>
      </c>
      <c r="C243" s="2">
        <v>0</v>
      </c>
      <c r="D243" s="2">
        <v>2</v>
      </c>
      <c r="E243" s="2">
        <v>0</v>
      </c>
      <c r="F243" s="2">
        <v>0</v>
      </c>
      <c r="G243" s="2">
        <v>1</v>
      </c>
      <c r="H243" s="2">
        <v>0</v>
      </c>
      <c r="I243" s="2">
        <v>0</v>
      </c>
      <c r="K243" s="2" t="str">
        <f t="shared" si="166"/>
        <v>00</v>
      </c>
      <c r="L243" s="2" t="str">
        <f t="shared" si="166"/>
        <v>00</v>
      </c>
      <c r="M243" s="2" t="str">
        <f t="shared" si="166"/>
        <v>10</v>
      </c>
      <c r="N243" s="2" t="str">
        <f t="shared" si="166"/>
        <v>00</v>
      </c>
      <c r="O243" s="2" t="str">
        <f t="shared" si="166"/>
        <v>00</v>
      </c>
      <c r="P243" s="2" t="str">
        <f t="shared" si="166"/>
        <v>01</v>
      </c>
      <c r="Q243" s="2" t="str">
        <f t="shared" si="166"/>
        <v>00</v>
      </c>
      <c r="R243" s="2" t="str">
        <f t="shared" si="166"/>
        <v>00</v>
      </c>
      <c r="T243" t="str">
        <f t="shared" si="165"/>
        <v>0000100000010000</v>
      </c>
      <c r="V243" s="9" t="str">
        <f t="shared" si="167"/>
        <v>00001000</v>
      </c>
      <c r="W243" s="9" t="str">
        <f t="shared" si="168"/>
        <v>00010000</v>
      </c>
      <c r="X243" s="9" t="str">
        <f t="shared" si="169"/>
        <v>08</v>
      </c>
      <c r="Y243" s="9" t="str">
        <f t="shared" si="170"/>
        <v>10</v>
      </c>
      <c r="AA243" t="str" cm="1">
        <f t="array" ref="AA243:AH243">TRANSPOSE(Y248:Y255)</f>
        <v>57</v>
      </c>
      <c r="AB243" t="str">
        <v>A9</v>
      </c>
      <c r="AC243" t="str">
        <v>0C</v>
      </c>
      <c r="AD243" t="str">
        <v>04</v>
      </c>
      <c r="AE243" t="str">
        <v>B0</v>
      </c>
      <c r="AF243" t="str">
        <v>50</v>
      </c>
      <c r="AG243" t="str">
        <v>40</v>
      </c>
      <c r="AH243" t="str">
        <v>80</v>
      </c>
      <c r="AJ243" t="str">
        <f t="shared" si="171"/>
        <v>!byte $57, $a9, $0c, $04, $b0, $50, $40, $80</v>
      </c>
    </row>
    <row r="244" spans="1:36" x14ac:dyDescent="0.3">
      <c r="B244" s="2">
        <v>0</v>
      </c>
      <c r="C244" s="2">
        <v>1</v>
      </c>
      <c r="D244" s="2">
        <v>2</v>
      </c>
      <c r="E244" s="2">
        <v>2</v>
      </c>
      <c r="F244" s="2">
        <v>2</v>
      </c>
      <c r="G244" s="2">
        <v>2</v>
      </c>
      <c r="H244" s="2">
        <v>3</v>
      </c>
      <c r="I244" s="2">
        <v>0</v>
      </c>
      <c r="K244" s="2" t="str">
        <f t="shared" si="166"/>
        <v>00</v>
      </c>
      <c r="L244" s="2" t="str">
        <f t="shared" si="166"/>
        <v>01</v>
      </c>
      <c r="M244" s="2" t="str">
        <f t="shared" si="166"/>
        <v>10</v>
      </c>
      <c r="N244" s="2" t="str">
        <f t="shared" si="166"/>
        <v>10</v>
      </c>
      <c r="O244" s="2" t="str">
        <f t="shared" si="166"/>
        <v>10</v>
      </c>
      <c r="P244" s="2" t="str">
        <f t="shared" si="166"/>
        <v>10</v>
      </c>
      <c r="Q244" s="2" t="str">
        <f t="shared" si="166"/>
        <v>11</v>
      </c>
      <c r="R244" s="2" t="str">
        <f t="shared" si="166"/>
        <v>00</v>
      </c>
      <c r="T244" t="str">
        <f t="shared" si="165"/>
        <v>0001101010101100</v>
      </c>
      <c r="V244" s="9" t="str">
        <f t="shared" si="167"/>
        <v>00011010</v>
      </c>
      <c r="W244" s="9" t="str">
        <f t="shared" si="168"/>
        <v>10101100</v>
      </c>
      <c r="X244" s="9" t="str">
        <f t="shared" si="169"/>
        <v>1A</v>
      </c>
      <c r="Y244" s="9" t="str">
        <f t="shared" si="170"/>
        <v>AC</v>
      </c>
    </row>
    <row r="245" spans="1:36" x14ac:dyDescent="0.3">
      <c r="B245" s="2">
        <v>0</v>
      </c>
      <c r="C245" s="2">
        <v>2</v>
      </c>
      <c r="D245" s="2">
        <v>1</v>
      </c>
      <c r="E245" s="2">
        <v>1</v>
      </c>
      <c r="F245" s="2">
        <v>1</v>
      </c>
      <c r="G245" s="2">
        <v>1</v>
      </c>
      <c r="H245" s="2">
        <v>1</v>
      </c>
      <c r="I245" s="2">
        <v>0</v>
      </c>
      <c r="K245" s="2" t="str">
        <f t="shared" si="166"/>
        <v>00</v>
      </c>
      <c r="L245" s="2" t="str">
        <f t="shared" si="166"/>
        <v>10</v>
      </c>
      <c r="M245" s="2" t="str">
        <f t="shared" si="166"/>
        <v>01</v>
      </c>
      <c r="N245" s="2" t="str">
        <f t="shared" si="166"/>
        <v>01</v>
      </c>
      <c r="O245" s="2" t="str">
        <f t="shared" si="166"/>
        <v>01</v>
      </c>
      <c r="P245" s="2" t="str">
        <f t="shared" si="166"/>
        <v>01</v>
      </c>
      <c r="Q245" s="2" t="str">
        <f t="shared" si="166"/>
        <v>01</v>
      </c>
      <c r="R245" s="2" t="str">
        <f t="shared" si="166"/>
        <v>00</v>
      </c>
      <c r="T245" t="str">
        <f t="shared" si="165"/>
        <v>0010010101010100</v>
      </c>
      <c r="V245" s="9" t="str">
        <f t="shared" si="167"/>
        <v>00100101</v>
      </c>
      <c r="W245" s="9" t="str">
        <f t="shared" si="168"/>
        <v>01010100</v>
      </c>
      <c r="X245" s="9" t="str">
        <f t="shared" si="169"/>
        <v>25</v>
      </c>
      <c r="Y245" s="9" t="str">
        <f t="shared" si="170"/>
        <v>54</v>
      </c>
    </row>
    <row r="246" spans="1:36" x14ac:dyDescent="0.3">
      <c r="B246" s="2">
        <v>1</v>
      </c>
      <c r="C246" s="2">
        <v>3</v>
      </c>
      <c r="D246" s="2">
        <v>3</v>
      </c>
      <c r="E246" s="2">
        <v>3</v>
      </c>
      <c r="F246" s="2">
        <v>3</v>
      </c>
      <c r="G246" s="2">
        <v>3</v>
      </c>
      <c r="H246" s="2">
        <v>3</v>
      </c>
      <c r="I246" s="2">
        <v>3</v>
      </c>
      <c r="K246" s="2" t="str">
        <f t="shared" si="166"/>
        <v>01</v>
      </c>
      <c r="L246" s="2" t="str">
        <f t="shared" si="166"/>
        <v>11</v>
      </c>
      <c r="M246" s="2" t="str">
        <f t="shared" si="166"/>
        <v>11</v>
      </c>
      <c r="N246" s="2" t="str">
        <f t="shared" si="166"/>
        <v>11</v>
      </c>
      <c r="O246" s="2" t="str">
        <f t="shared" si="166"/>
        <v>11</v>
      </c>
      <c r="P246" s="2" t="str">
        <f t="shared" si="166"/>
        <v>11</v>
      </c>
      <c r="Q246" s="2" t="str">
        <f t="shared" si="166"/>
        <v>11</v>
      </c>
      <c r="R246" s="2" t="str">
        <f t="shared" si="166"/>
        <v>11</v>
      </c>
      <c r="T246" t="str">
        <f t="shared" si="165"/>
        <v>0111111111111111</v>
      </c>
      <c r="V246" s="9" t="str">
        <f t="shared" si="167"/>
        <v>01111111</v>
      </c>
      <c r="W246" s="9" t="str">
        <f t="shared" si="168"/>
        <v>11111111</v>
      </c>
      <c r="X246" s="9" t="str">
        <f t="shared" si="169"/>
        <v>7F</v>
      </c>
      <c r="Y246" s="9" t="str">
        <f t="shared" si="170"/>
        <v>FF</v>
      </c>
    </row>
    <row r="247" spans="1:36" x14ac:dyDescent="0.3">
      <c r="B247" s="2">
        <v>2</v>
      </c>
      <c r="C247" s="2">
        <v>3</v>
      </c>
      <c r="D247" s="2">
        <v>3</v>
      </c>
      <c r="E247" s="2">
        <v>3</v>
      </c>
      <c r="F247" s="2">
        <v>3</v>
      </c>
      <c r="G247" s="2">
        <v>3</v>
      </c>
      <c r="H247" s="2">
        <v>3</v>
      </c>
      <c r="I247" s="2">
        <v>1</v>
      </c>
      <c r="K247" s="2" t="str">
        <f t="shared" si="166"/>
        <v>10</v>
      </c>
      <c r="L247" s="2" t="str">
        <f t="shared" si="166"/>
        <v>11</v>
      </c>
      <c r="M247" s="2" t="str">
        <f t="shared" si="166"/>
        <v>11</v>
      </c>
      <c r="N247" s="2" t="str">
        <f t="shared" si="166"/>
        <v>11</v>
      </c>
      <c r="O247" s="2" t="str">
        <f t="shared" si="166"/>
        <v>11</v>
      </c>
      <c r="P247" s="2" t="str">
        <f t="shared" si="166"/>
        <v>11</v>
      </c>
      <c r="Q247" s="2" t="str">
        <f t="shared" si="166"/>
        <v>11</v>
      </c>
      <c r="R247" s="2" t="str">
        <f t="shared" si="166"/>
        <v>01</v>
      </c>
      <c r="T247" t="str">
        <f t="shared" si="165"/>
        <v>1011111111111101</v>
      </c>
      <c r="V247" s="10" t="str">
        <f t="shared" si="167"/>
        <v>10111111</v>
      </c>
      <c r="W247" s="10" t="str">
        <f t="shared" si="168"/>
        <v>11111101</v>
      </c>
      <c r="X247" s="10" t="str">
        <f t="shared" si="169"/>
        <v>BF</v>
      </c>
      <c r="Y247" s="10" t="str">
        <f t="shared" si="170"/>
        <v>FD</v>
      </c>
    </row>
    <row r="248" spans="1:36" x14ac:dyDescent="0.3">
      <c r="B248" s="2">
        <v>1</v>
      </c>
      <c r="C248" s="2">
        <v>1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3</v>
      </c>
      <c r="K248" s="2" t="str">
        <f t="shared" si="166"/>
        <v>01</v>
      </c>
      <c r="L248" s="2" t="str">
        <f t="shared" si="166"/>
        <v>01</v>
      </c>
      <c r="M248" s="2" t="str">
        <f t="shared" si="166"/>
        <v>01</v>
      </c>
      <c r="N248" s="2" t="str">
        <f t="shared" si="166"/>
        <v>01</v>
      </c>
      <c r="O248" s="2" t="str">
        <f t="shared" si="166"/>
        <v>01</v>
      </c>
      <c r="P248" s="2" t="str">
        <f t="shared" si="166"/>
        <v>01</v>
      </c>
      <c r="Q248" s="2" t="str">
        <f t="shared" si="166"/>
        <v>01</v>
      </c>
      <c r="R248" s="2" t="str">
        <f t="shared" si="166"/>
        <v>11</v>
      </c>
      <c r="T248" t="str">
        <f t="shared" si="165"/>
        <v>0101010101010111</v>
      </c>
      <c r="V248" s="8" t="str">
        <f t="shared" si="167"/>
        <v>01010101</v>
      </c>
      <c r="W248" s="8" t="str">
        <f t="shared" si="168"/>
        <v>01010111</v>
      </c>
      <c r="X248" s="8" t="str">
        <f t="shared" si="169"/>
        <v>55</v>
      </c>
      <c r="Y248" s="8" t="str">
        <f t="shared" si="170"/>
        <v>57</v>
      </c>
    </row>
    <row r="249" spans="1:36" x14ac:dyDescent="0.3">
      <c r="B249" s="2">
        <v>2</v>
      </c>
      <c r="C249" s="2">
        <v>2</v>
      </c>
      <c r="D249" s="2">
        <v>2</v>
      </c>
      <c r="E249" s="2">
        <v>2</v>
      </c>
      <c r="F249" s="2">
        <v>2</v>
      </c>
      <c r="G249" s="2">
        <v>2</v>
      </c>
      <c r="H249" s="2">
        <v>2</v>
      </c>
      <c r="I249" s="2">
        <v>1</v>
      </c>
      <c r="K249" s="2" t="str">
        <f t="shared" si="166"/>
        <v>10</v>
      </c>
      <c r="L249" s="2" t="str">
        <f t="shared" si="166"/>
        <v>10</v>
      </c>
      <c r="M249" s="2" t="str">
        <f t="shared" si="166"/>
        <v>10</v>
      </c>
      <c r="N249" s="2" t="str">
        <f t="shared" si="166"/>
        <v>10</v>
      </c>
      <c r="O249" s="2" t="str">
        <f t="shared" si="166"/>
        <v>10</v>
      </c>
      <c r="P249" s="2" t="str">
        <f t="shared" si="166"/>
        <v>10</v>
      </c>
      <c r="Q249" s="2" t="str">
        <f t="shared" si="166"/>
        <v>10</v>
      </c>
      <c r="R249" s="2" t="str">
        <f t="shared" si="166"/>
        <v>01</v>
      </c>
      <c r="T249" t="str">
        <f t="shared" si="165"/>
        <v>1010101010101001</v>
      </c>
      <c r="V249" s="9" t="str">
        <f t="shared" si="167"/>
        <v>10101010</v>
      </c>
      <c r="W249" s="9" t="str">
        <f t="shared" si="168"/>
        <v>10101001</v>
      </c>
      <c r="X249" s="9" t="str">
        <f t="shared" si="169"/>
        <v>AA</v>
      </c>
      <c r="Y249" s="9" t="str">
        <f t="shared" si="170"/>
        <v>A9</v>
      </c>
    </row>
    <row r="250" spans="1:36" x14ac:dyDescent="0.3">
      <c r="B250" s="2">
        <v>0</v>
      </c>
      <c r="C250" s="2">
        <v>1</v>
      </c>
      <c r="D250" s="2">
        <v>0</v>
      </c>
      <c r="E250" s="2">
        <v>0</v>
      </c>
      <c r="F250" s="2">
        <v>0</v>
      </c>
      <c r="G250" s="2">
        <v>0</v>
      </c>
      <c r="H250" s="2">
        <v>3</v>
      </c>
      <c r="I250" s="2">
        <v>0</v>
      </c>
      <c r="K250" s="2" t="str">
        <f t="shared" si="166"/>
        <v>00</v>
      </c>
      <c r="L250" s="2" t="str">
        <f t="shared" si="166"/>
        <v>01</v>
      </c>
      <c r="M250" s="2" t="str">
        <f t="shared" si="166"/>
        <v>00</v>
      </c>
      <c r="N250" s="2" t="str">
        <f t="shared" si="166"/>
        <v>00</v>
      </c>
      <c r="O250" s="2" t="str">
        <f t="shared" si="166"/>
        <v>00</v>
      </c>
      <c r="P250" s="2" t="str">
        <f t="shared" si="166"/>
        <v>00</v>
      </c>
      <c r="Q250" s="2" t="str">
        <f t="shared" si="166"/>
        <v>11</v>
      </c>
      <c r="R250" s="2" t="str">
        <f t="shared" si="166"/>
        <v>00</v>
      </c>
      <c r="T250" t="str">
        <f t="shared" si="165"/>
        <v>0001000000001100</v>
      </c>
      <c r="V250" s="9" t="str">
        <f t="shared" si="167"/>
        <v>00010000</v>
      </c>
      <c r="W250" s="9" t="str">
        <f t="shared" si="168"/>
        <v>00001100</v>
      </c>
      <c r="X250" s="9" t="str">
        <f t="shared" si="169"/>
        <v>10</v>
      </c>
      <c r="Y250" s="9" t="str">
        <f t="shared" si="170"/>
        <v>0C</v>
      </c>
    </row>
    <row r="251" spans="1:36" x14ac:dyDescent="0.3">
      <c r="B251" s="2">
        <v>0</v>
      </c>
      <c r="C251" s="2">
        <v>2</v>
      </c>
      <c r="D251" s="2">
        <v>0</v>
      </c>
      <c r="E251" s="2">
        <v>0</v>
      </c>
      <c r="F251" s="2">
        <v>0</v>
      </c>
      <c r="G251" s="2">
        <v>0</v>
      </c>
      <c r="H251" s="2">
        <v>1</v>
      </c>
      <c r="I251" s="2">
        <v>0</v>
      </c>
      <c r="K251" s="2" t="str">
        <f t="shared" si="166"/>
        <v>00</v>
      </c>
      <c r="L251" s="2" t="str">
        <f t="shared" si="166"/>
        <v>10</v>
      </c>
      <c r="M251" s="2" t="str">
        <f t="shared" si="166"/>
        <v>00</v>
      </c>
      <c r="N251" s="2" t="str">
        <f t="shared" si="166"/>
        <v>00</v>
      </c>
      <c r="O251" s="2" t="str">
        <f t="shared" si="166"/>
        <v>00</v>
      </c>
      <c r="P251" s="2" t="str">
        <f t="shared" si="166"/>
        <v>00</v>
      </c>
      <c r="Q251" s="2" t="str">
        <f t="shared" si="166"/>
        <v>01</v>
      </c>
      <c r="R251" s="2" t="str">
        <f t="shared" si="166"/>
        <v>00</v>
      </c>
      <c r="T251" t="str">
        <f t="shared" si="165"/>
        <v>0010000000000100</v>
      </c>
      <c r="V251" s="9" t="str">
        <f t="shared" si="167"/>
        <v>00100000</v>
      </c>
      <c r="W251" s="9" t="str">
        <f t="shared" si="168"/>
        <v>00000100</v>
      </c>
      <c r="X251" s="9" t="str">
        <f t="shared" si="169"/>
        <v>20</v>
      </c>
      <c r="Y251" s="9" t="str">
        <f t="shared" si="170"/>
        <v>04</v>
      </c>
    </row>
    <row r="252" spans="1:36" x14ac:dyDescent="0.3">
      <c r="B252" s="2">
        <v>0</v>
      </c>
      <c r="C252" s="2">
        <v>0</v>
      </c>
      <c r="D252" s="2">
        <v>1</v>
      </c>
      <c r="E252" s="2">
        <v>2</v>
      </c>
      <c r="F252" s="2">
        <v>2</v>
      </c>
      <c r="G252" s="2">
        <v>3</v>
      </c>
      <c r="H252" s="2">
        <v>0</v>
      </c>
      <c r="I252" s="2">
        <v>0</v>
      </c>
      <c r="K252" s="2" t="str">
        <f t="shared" si="166"/>
        <v>00</v>
      </c>
      <c r="L252" s="2" t="str">
        <f t="shared" si="166"/>
        <v>00</v>
      </c>
      <c r="M252" s="2" t="str">
        <f t="shared" si="166"/>
        <v>01</v>
      </c>
      <c r="N252" s="2" t="str">
        <f t="shared" si="166"/>
        <v>10</v>
      </c>
      <c r="O252" s="2" t="str">
        <f t="shared" si="166"/>
        <v>10</v>
      </c>
      <c r="P252" s="2" t="str">
        <f t="shared" si="166"/>
        <v>11</v>
      </c>
      <c r="Q252" s="2" t="str">
        <f t="shared" si="166"/>
        <v>00</v>
      </c>
      <c r="R252" s="2" t="str">
        <f t="shared" si="166"/>
        <v>00</v>
      </c>
      <c r="T252" t="str">
        <f t="shared" si="165"/>
        <v>0000011010110000</v>
      </c>
      <c r="V252" s="9" t="str">
        <f t="shared" si="167"/>
        <v>00000110</v>
      </c>
      <c r="W252" s="9" t="str">
        <f t="shared" si="168"/>
        <v>10110000</v>
      </c>
      <c r="X252" s="9" t="str">
        <f t="shared" si="169"/>
        <v>06</v>
      </c>
      <c r="Y252" s="9" t="str">
        <f t="shared" si="170"/>
        <v>B0</v>
      </c>
    </row>
    <row r="253" spans="1:36" x14ac:dyDescent="0.3">
      <c r="B253" s="2">
        <v>0</v>
      </c>
      <c r="C253" s="2">
        <v>0</v>
      </c>
      <c r="D253" s="2">
        <v>2</v>
      </c>
      <c r="E253" s="2">
        <v>1</v>
      </c>
      <c r="F253" s="2">
        <v>1</v>
      </c>
      <c r="G253" s="2">
        <v>1</v>
      </c>
      <c r="H253" s="2">
        <v>0</v>
      </c>
      <c r="I253" s="2">
        <v>0</v>
      </c>
      <c r="K253" s="2" t="str">
        <f t="shared" si="166"/>
        <v>00</v>
      </c>
      <c r="L253" s="2" t="str">
        <f t="shared" si="166"/>
        <v>00</v>
      </c>
      <c r="M253" s="2" t="str">
        <f t="shared" si="166"/>
        <v>10</v>
      </c>
      <c r="N253" s="2" t="str">
        <f t="shared" si="166"/>
        <v>01</v>
      </c>
      <c r="O253" s="2" t="str">
        <f t="shared" si="166"/>
        <v>01</v>
      </c>
      <c r="P253" s="2" t="str">
        <f t="shared" si="166"/>
        <v>01</v>
      </c>
      <c r="Q253" s="2" t="str">
        <f t="shared" si="166"/>
        <v>00</v>
      </c>
      <c r="R253" s="2" t="str">
        <f t="shared" si="166"/>
        <v>00</v>
      </c>
      <c r="T253" t="str">
        <f t="shared" si="165"/>
        <v>0000100101010000</v>
      </c>
      <c r="V253" s="9" t="str">
        <f t="shared" si="167"/>
        <v>00001001</v>
      </c>
      <c r="W253" s="9" t="str">
        <f t="shared" si="168"/>
        <v>01010000</v>
      </c>
      <c r="X253" s="9" t="str">
        <f t="shared" si="169"/>
        <v>09</v>
      </c>
      <c r="Y253" s="9" t="str">
        <f t="shared" si="170"/>
        <v>50</v>
      </c>
    </row>
    <row r="254" spans="1:36" x14ac:dyDescent="0.3">
      <c r="B254" s="2">
        <v>0</v>
      </c>
      <c r="C254" s="2">
        <v>0</v>
      </c>
      <c r="D254" s="2">
        <v>0</v>
      </c>
      <c r="E254" s="2">
        <v>2</v>
      </c>
      <c r="F254" s="2">
        <v>1</v>
      </c>
      <c r="G254" s="2">
        <v>0</v>
      </c>
      <c r="H254" s="2">
        <v>0</v>
      </c>
      <c r="I254" s="2">
        <v>0</v>
      </c>
      <c r="K254" s="2" t="str">
        <f t="shared" si="166"/>
        <v>00</v>
      </c>
      <c r="L254" s="2" t="str">
        <f t="shared" si="166"/>
        <v>00</v>
      </c>
      <c r="M254" s="2" t="str">
        <f t="shared" si="166"/>
        <v>00</v>
      </c>
      <c r="N254" s="2" t="str">
        <f t="shared" si="166"/>
        <v>10</v>
      </c>
      <c r="O254" s="2" t="str">
        <f t="shared" si="166"/>
        <v>01</v>
      </c>
      <c r="P254" s="2" t="str">
        <f t="shared" si="166"/>
        <v>00</v>
      </c>
      <c r="Q254" s="2" t="str">
        <f t="shared" si="166"/>
        <v>00</v>
      </c>
      <c r="R254" s="2" t="str">
        <f t="shared" si="166"/>
        <v>00</v>
      </c>
      <c r="T254" t="str">
        <f t="shared" si="165"/>
        <v>0000001001000000</v>
      </c>
      <c r="V254" s="9" t="str">
        <f t="shared" si="167"/>
        <v>00000010</v>
      </c>
      <c r="W254" s="9" t="str">
        <f t="shared" si="168"/>
        <v>01000000</v>
      </c>
      <c r="X254" s="9" t="str">
        <f t="shared" si="169"/>
        <v>02</v>
      </c>
      <c r="Y254" s="9" t="str">
        <f t="shared" si="170"/>
        <v>40</v>
      </c>
    </row>
    <row r="255" spans="1:36" x14ac:dyDescent="0.3">
      <c r="B255" s="2">
        <v>0</v>
      </c>
      <c r="C255" s="2">
        <v>0</v>
      </c>
      <c r="D255" s="2">
        <v>0</v>
      </c>
      <c r="E255" s="2">
        <v>2</v>
      </c>
      <c r="F255" s="2">
        <v>2</v>
      </c>
      <c r="G255" s="2">
        <v>0</v>
      </c>
      <c r="H255" s="2">
        <v>0</v>
      </c>
      <c r="I255" s="2">
        <v>0</v>
      </c>
      <c r="K255" s="2" t="str">
        <f t="shared" si="166"/>
        <v>00</v>
      </c>
      <c r="L255" s="2" t="str">
        <f t="shared" si="166"/>
        <v>00</v>
      </c>
      <c r="M255" s="2" t="str">
        <f t="shared" si="166"/>
        <v>00</v>
      </c>
      <c r="N255" s="2" t="str">
        <f t="shared" si="166"/>
        <v>10</v>
      </c>
      <c r="O255" s="2" t="str">
        <f t="shared" si="166"/>
        <v>10</v>
      </c>
      <c r="P255" s="2" t="str">
        <f t="shared" si="166"/>
        <v>00</v>
      </c>
      <c r="Q255" s="2" t="str">
        <f t="shared" si="166"/>
        <v>00</v>
      </c>
      <c r="R255" s="2" t="str">
        <f t="shared" si="166"/>
        <v>00</v>
      </c>
      <c r="T255" t="str">
        <f t="shared" si="165"/>
        <v>0000001010000000</v>
      </c>
      <c r="V255" s="10" t="str">
        <f t="shared" si="167"/>
        <v>00000010</v>
      </c>
      <c r="W255" s="10" t="str">
        <f t="shared" si="168"/>
        <v>10000000</v>
      </c>
      <c r="X255" s="10" t="str">
        <f t="shared" si="169"/>
        <v>02</v>
      </c>
      <c r="Y255" s="10" t="str">
        <f t="shared" si="170"/>
        <v>80</v>
      </c>
    </row>
    <row r="256" spans="1:36" x14ac:dyDescent="0.3">
      <c r="A256" t="s">
        <v>10</v>
      </c>
      <c r="AJ256" t="str">
        <f>";"&amp;PROPER(A256)</f>
        <v>;Diamond 4</v>
      </c>
    </row>
    <row r="257" spans="2:36" x14ac:dyDescent="0.3">
      <c r="B257" s="2">
        <v>0</v>
      </c>
      <c r="C257" s="2">
        <v>0</v>
      </c>
      <c r="D257" s="2">
        <v>0</v>
      </c>
      <c r="E257" s="2">
        <v>1</v>
      </c>
      <c r="F257" s="2">
        <v>3</v>
      </c>
      <c r="G257" s="2">
        <v>0</v>
      </c>
      <c r="H257" s="2">
        <v>0</v>
      </c>
      <c r="I257" s="2">
        <v>0</v>
      </c>
      <c r="K257" s="2" t="str">
        <f t="shared" ref="K257:R272" si="172">DEC2BIN(B257,2)</f>
        <v>00</v>
      </c>
      <c r="L257" s="2" t="str">
        <f t="shared" si="172"/>
        <v>00</v>
      </c>
      <c r="M257" s="2" t="str">
        <f t="shared" si="172"/>
        <v>00</v>
      </c>
      <c r="N257" s="2" t="str">
        <f t="shared" si="172"/>
        <v>01</v>
      </c>
      <c r="O257" s="2" t="str">
        <f t="shared" si="172"/>
        <v>11</v>
      </c>
      <c r="P257" s="2" t="str">
        <f t="shared" si="172"/>
        <v>00</v>
      </c>
      <c r="Q257" s="2" t="str">
        <f t="shared" si="172"/>
        <v>00</v>
      </c>
      <c r="R257" s="2" t="str">
        <f t="shared" si="172"/>
        <v>00</v>
      </c>
      <c r="T257" t="str">
        <f t="shared" si="165"/>
        <v>0000000111000000</v>
      </c>
      <c r="V257" s="8" t="str">
        <f>LEFT(T257,8)</f>
        <v>00000001</v>
      </c>
      <c r="W257" s="8" t="str">
        <f>RIGHT(T257,8)</f>
        <v>11000000</v>
      </c>
      <c r="X257" s="8" t="str">
        <f>BIN2HEX(V257,2)</f>
        <v>01</v>
      </c>
      <c r="Y257" s="8" t="str">
        <f>BIN2HEX(W257,2)</f>
        <v>C0</v>
      </c>
      <c r="AA257" t="str" cm="1">
        <f t="array" ref="AA257:AH257">TRANSPOSE(X257:X264)</f>
        <v>01</v>
      </c>
      <c r="AB257" t="str">
        <v>02</v>
      </c>
      <c r="AC257" t="str">
        <v>06</v>
      </c>
      <c r="AD257" t="str">
        <v>09</v>
      </c>
      <c r="AE257" t="str">
        <v>1F</v>
      </c>
      <c r="AF257" t="str">
        <v>2F</v>
      </c>
      <c r="AG257" t="str">
        <v>55</v>
      </c>
      <c r="AH257" t="str">
        <v>AA</v>
      </c>
      <c r="AJ257" t="str">
        <f>LOWER("!byte $"&amp;AA257&amp;", $"&amp;AB257&amp;", $"&amp;AC257&amp;", $"&amp;AD257&amp;", $"&amp;AE257&amp;", $"&amp;AF257&amp;", $"&amp;AG257&amp;", $"&amp;AH257)</f>
        <v>!byte $01, $02, $06, $09, $1f, $2f, $55, $aa</v>
      </c>
    </row>
    <row r="258" spans="2:36" x14ac:dyDescent="0.3">
      <c r="B258" s="2">
        <v>0</v>
      </c>
      <c r="C258" s="2">
        <v>0</v>
      </c>
      <c r="D258" s="2">
        <v>0</v>
      </c>
      <c r="E258" s="2">
        <v>2</v>
      </c>
      <c r="F258" s="2">
        <v>1</v>
      </c>
      <c r="G258" s="2">
        <v>0</v>
      </c>
      <c r="H258" s="2">
        <v>0</v>
      </c>
      <c r="I258" s="2">
        <v>0</v>
      </c>
      <c r="K258" s="2" t="str">
        <f t="shared" si="172"/>
        <v>00</v>
      </c>
      <c r="L258" s="2" t="str">
        <f t="shared" si="172"/>
        <v>00</v>
      </c>
      <c r="M258" s="2" t="str">
        <f t="shared" si="172"/>
        <v>00</v>
      </c>
      <c r="N258" s="2" t="str">
        <f t="shared" si="172"/>
        <v>10</v>
      </c>
      <c r="O258" s="2" t="str">
        <f t="shared" si="172"/>
        <v>01</v>
      </c>
      <c r="P258" s="2" t="str">
        <f t="shared" si="172"/>
        <v>00</v>
      </c>
      <c r="Q258" s="2" t="str">
        <f t="shared" si="172"/>
        <v>00</v>
      </c>
      <c r="R258" s="2" t="str">
        <f t="shared" si="172"/>
        <v>00</v>
      </c>
      <c r="T258" t="str">
        <f t="shared" si="165"/>
        <v>0000001001000000</v>
      </c>
      <c r="V258" s="9" t="str">
        <f t="shared" ref="V258:V272" si="173">LEFT(T258,8)</f>
        <v>00000010</v>
      </c>
      <c r="W258" s="9" t="str">
        <f t="shared" ref="W258:W272" si="174">RIGHT(T258,8)</f>
        <v>01000000</v>
      </c>
      <c r="X258" s="9" t="str">
        <f t="shared" ref="X258:X272" si="175">BIN2HEX(V258,2)</f>
        <v>02</v>
      </c>
      <c r="Y258" s="9" t="str">
        <f t="shared" ref="Y258:Y272" si="176">BIN2HEX(W258,2)</f>
        <v>40</v>
      </c>
      <c r="AA258" t="str" cm="1">
        <f t="array" ref="AA258:AH258">TRANSPOSE(X265:X272)</f>
        <v>40</v>
      </c>
      <c r="AB258" t="str">
        <v>80</v>
      </c>
      <c r="AC258" t="str">
        <v>1A</v>
      </c>
      <c r="AD258" t="str">
        <v>25</v>
      </c>
      <c r="AE258" t="str">
        <v>07</v>
      </c>
      <c r="AF258" t="str">
        <v>0B</v>
      </c>
      <c r="AG258" t="str">
        <v>02</v>
      </c>
      <c r="AH258" t="str">
        <v>02</v>
      </c>
      <c r="AJ258" t="str">
        <f t="shared" ref="AJ258:AJ260" si="177">LOWER("!byte $"&amp;AA258&amp;", $"&amp;AB258&amp;", $"&amp;AC258&amp;", $"&amp;AD258&amp;", $"&amp;AE258&amp;", $"&amp;AF258&amp;", $"&amp;AG258&amp;", $"&amp;AH258)</f>
        <v>!byte $40, $80, $1a, $25, $07, $0b, $02, $02</v>
      </c>
    </row>
    <row r="259" spans="2:36" x14ac:dyDescent="0.3">
      <c r="B259" s="2">
        <v>0</v>
      </c>
      <c r="C259" s="2">
        <v>0</v>
      </c>
      <c r="D259" s="2">
        <v>1</v>
      </c>
      <c r="E259" s="2">
        <v>2</v>
      </c>
      <c r="F259" s="2">
        <v>2</v>
      </c>
      <c r="G259" s="2">
        <v>3</v>
      </c>
      <c r="H259" s="2">
        <v>0</v>
      </c>
      <c r="I259" s="2">
        <v>0</v>
      </c>
      <c r="K259" s="2" t="str">
        <f t="shared" si="172"/>
        <v>00</v>
      </c>
      <c r="L259" s="2" t="str">
        <f t="shared" si="172"/>
        <v>00</v>
      </c>
      <c r="M259" s="2" t="str">
        <f t="shared" si="172"/>
        <v>01</v>
      </c>
      <c r="N259" s="2" t="str">
        <f t="shared" si="172"/>
        <v>10</v>
      </c>
      <c r="O259" s="2" t="str">
        <f t="shared" si="172"/>
        <v>10</v>
      </c>
      <c r="P259" s="2" t="str">
        <f t="shared" si="172"/>
        <v>11</v>
      </c>
      <c r="Q259" s="2" t="str">
        <f t="shared" si="172"/>
        <v>00</v>
      </c>
      <c r="R259" s="2" t="str">
        <f t="shared" si="172"/>
        <v>00</v>
      </c>
      <c r="T259" t="str">
        <f t="shared" si="165"/>
        <v>0000011010110000</v>
      </c>
      <c r="V259" s="9" t="str">
        <f t="shared" si="173"/>
        <v>00000110</v>
      </c>
      <c r="W259" s="9" t="str">
        <f t="shared" si="174"/>
        <v>10110000</v>
      </c>
      <c r="X259" s="9" t="str">
        <f t="shared" si="175"/>
        <v>06</v>
      </c>
      <c r="Y259" s="9" t="str">
        <f t="shared" si="176"/>
        <v>B0</v>
      </c>
      <c r="AA259" t="str" cm="1">
        <f t="array" ref="AA259:AH259">TRANSPOSE(Y257:Y264)</f>
        <v>C0</v>
      </c>
      <c r="AB259" t="str">
        <v>40</v>
      </c>
      <c r="AC259" t="str">
        <v>B0</v>
      </c>
      <c r="AD259" t="str">
        <v>50</v>
      </c>
      <c r="AE259" t="str">
        <v>FC</v>
      </c>
      <c r="AF259" t="str">
        <v>F4</v>
      </c>
      <c r="AG259" t="str">
        <v>57</v>
      </c>
      <c r="AH259" t="str">
        <v>A9</v>
      </c>
      <c r="AJ259" t="str">
        <f t="shared" si="177"/>
        <v>!byte $c0, $40, $b0, $50, $fc, $f4, $57, $a9</v>
      </c>
    </row>
    <row r="260" spans="2:36" x14ac:dyDescent="0.3">
      <c r="B260" s="2">
        <v>0</v>
      </c>
      <c r="C260" s="2">
        <v>0</v>
      </c>
      <c r="D260" s="2">
        <v>2</v>
      </c>
      <c r="E260" s="2">
        <v>1</v>
      </c>
      <c r="F260" s="2">
        <v>1</v>
      </c>
      <c r="G260" s="2">
        <v>1</v>
      </c>
      <c r="H260" s="2">
        <v>0</v>
      </c>
      <c r="I260" s="2">
        <v>0</v>
      </c>
      <c r="K260" s="2" t="str">
        <f t="shared" si="172"/>
        <v>00</v>
      </c>
      <c r="L260" s="2" t="str">
        <f t="shared" si="172"/>
        <v>00</v>
      </c>
      <c r="M260" s="2" t="str">
        <f t="shared" si="172"/>
        <v>10</v>
      </c>
      <c r="N260" s="2" t="str">
        <f t="shared" si="172"/>
        <v>01</v>
      </c>
      <c r="O260" s="2" t="str">
        <f t="shared" si="172"/>
        <v>01</v>
      </c>
      <c r="P260" s="2" t="str">
        <f t="shared" si="172"/>
        <v>01</v>
      </c>
      <c r="Q260" s="2" t="str">
        <f t="shared" si="172"/>
        <v>00</v>
      </c>
      <c r="R260" s="2" t="str">
        <f t="shared" si="172"/>
        <v>00</v>
      </c>
      <c r="T260" t="str">
        <f t="shared" si="165"/>
        <v>0000100101010000</v>
      </c>
      <c r="V260" s="9" t="str">
        <f t="shared" si="173"/>
        <v>00001001</v>
      </c>
      <c r="W260" s="9" t="str">
        <f t="shared" si="174"/>
        <v>01010000</v>
      </c>
      <c r="X260" s="9" t="str">
        <f t="shared" si="175"/>
        <v>09</v>
      </c>
      <c r="Y260" s="9" t="str">
        <f t="shared" si="176"/>
        <v>50</v>
      </c>
      <c r="AA260" t="str" cm="1">
        <f t="array" ref="AA260:AH260">TRANSPOSE(Y265:Y272)</f>
        <v>03</v>
      </c>
      <c r="AB260" t="str">
        <v>01</v>
      </c>
      <c r="AC260" t="str">
        <v>AC</v>
      </c>
      <c r="AD260" t="str">
        <v>54</v>
      </c>
      <c r="AE260" t="str">
        <v>F0</v>
      </c>
      <c r="AF260" t="str">
        <v>D0</v>
      </c>
      <c r="AG260" t="str">
        <v>40</v>
      </c>
      <c r="AH260" t="str">
        <v>40</v>
      </c>
      <c r="AJ260" t="str">
        <f t="shared" si="177"/>
        <v>!byte $03, $01, $ac, $54, $f0, $d0, $40, $40</v>
      </c>
    </row>
    <row r="261" spans="2:36" x14ac:dyDescent="0.3">
      <c r="B261" s="2">
        <v>0</v>
      </c>
      <c r="C261" s="2">
        <v>1</v>
      </c>
      <c r="D261" s="2">
        <v>3</v>
      </c>
      <c r="E261" s="2">
        <v>3</v>
      </c>
      <c r="F261" s="2">
        <v>3</v>
      </c>
      <c r="G261" s="2">
        <v>3</v>
      </c>
      <c r="H261" s="2">
        <v>3</v>
      </c>
      <c r="I261" s="2">
        <v>0</v>
      </c>
      <c r="K261" s="2" t="str">
        <f t="shared" si="172"/>
        <v>00</v>
      </c>
      <c r="L261" s="2" t="str">
        <f t="shared" si="172"/>
        <v>01</v>
      </c>
      <c r="M261" s="2" t="str">
        <f t="shared" si="172"/>
        <v>11</v>
      </c>
      <c r="N261" s="2" t="str">
        <f t="shared" si="172"/>
        <v>11</v>
      </c>
      <c r="O261" s="2" t="str">
        <f t="shared" si="172"/>
        <v>11</v>
      </c>
      <c r="P261" s="2" t="str">
        <f t="shared" si="172"/>
        <v>11</v>
      </c>
      <c r="Q261" s="2" t="str">
        <f t="shared" si="172"/>
        <v>11</v>
      </c>
      <c r="R261" s="2" t="str">
        <f t="shared" si="172"/>
        <v>00</v>
      </c>
      <c r="T261" t="str">
        <f t="shared" si="165"/>
        <v>0001111111111100</v>
      </c>
      <c r="V261" s="9" t="str">
        <f t="shared" si="173"/>
        <v>00011111</v>
      </c>
      <c r="W261" s="9" t="str">
        <f t="shared" si="174"/>
        <v>11111100</v>
      </c>
      <c r="X261" s="9" t="str">
        <f t="shared" si="175"/>
        <v>1F</v>
      </c>
      <c r="Y261" s="9" t="str">
        <f t="shared" si="176"/>
        <v>FC</v>
      </c>
    </row>
    <row r="262" spans="2:36" x14ac:dyDescent="0.3">
      <c r="B262" s="2">
        <v>0</v>
      </c>
      <c r="C262" s="2">
        <v>2</v>
      </c>
      <c r="D262" s="2">
        <v>3</v>
      </c>
      <c r="E262" s="2">
        <v>3</v>
      </c>
      <c r="F262" s="2">
        <v>3</v>
      </c>
      <c r="G262" s="2">
        <v>3</v>
      </c>
      <c r="H262" s="2">
        <v>1</v>
      </c>
      <c r="I262" s="2">
        <v>0</v>
      </c>
      <c r="K262" s="2" t="str">
        <f t="shared" si="172"/>
        <v>00</v>
      </c>
      <c r="L262" s="2" t="str">
        <f t="shared" si="172"/>
        <v>10</v>
      </c>
      <c r="M262" s="2" t="str">
        <f t="shared" si="172"/>
        <v>11</v>
      </c>
      <c r="N262" s="2" t="str">
        <f t="shared" si="172"/>
        <v>11</v>
      </c>
      <c r="O262" s="2" t="str">
        <f t="shared" si="172"/>
        <v>11</v>
      </c>
      <c r="P262" s="2" t="str">
        <f t="shared" si="172"/>
        <v>11</v>
      </c>
      <c r="Q262" s="2" t="str">
        <f t="shared" si="172"/>
        <v>01</v>
      </c>
      <c r="R262" s="2" t="str">
        <f t="shared" si="172"/>
        <v>00</v>
      </c>
      <c r="T262" t="str">
        <f t="shared" si="165"/>
        <v>0010111111110100</v>
      </c>
      <c r="V262" s="9" t="str">
        <f t="shared" si="173"/>
        <v>00101111</v>
      </c>
      <c r="W262" s="9" t="str">
        <f t="shared" si="174"/>
        <v>11110100</v>
      </c>
      <c r="X262" s="9" t="str">
        <f t="shared" si="175"/>
        <v>2F</v>
      </c>
      <c r="Y262" s="9" t="str">
        <f t="shared" si="176"/>
        <v>F4</v>
      </c>
    </row>
    <row r="263" spans="2:36" x14ac:dyDescent="0.3">
      <c r="B263" s="2">
        <v>1</v>
      </c>
      <c r="C263" s="2">
        <v>1</v>
      </c>
      <c r="D263" s="2">
        <v>1</v>
      </c>
      <c r="E263" s="2">
        <v>1</v>
      </c>
      <c r="F263" s="2">
        <v>1</v>
      </c>
      <c r="G263" s="2">
        <v>1</v>
      </c>
      <c r="H263" s="2">
        <v>1</v>
      </c>
      <c r="I263" s="2">
        <v>3</v>
      </c>
      <c r="K263" s="2" t="str">
        <f t="shared" si="172"/>
        <v>01</v>
      </c>
      <c r="L263" s="2" t="str">
        <f t="shared" si="172"/>
        <v>01</v>
      </c>
      <c r="M263" s="2" t="str">
        <f t="shared" si="172"/>
        <v>01</v>
      </c>
      <c r="N263" s="2" t="str">
        <f t="shared" si="172"/>
        <v>01</v>
      </c>
      <c r="O263" s="2" t="str">
        <f t="shared" si="172"/>
        <v>01</v>
      </c>
      <c r="P263" s="2" t="str">
        <f t="shared" si="172"/>
        <v>01</v>
      </c>
      <c r="Q263" s="2" t="str">
        <f t="shared" si="172"/>
        <v>01</v>
      </c>
      <c r="R263" s="2" t="str">
        <f t="shared" si="172"/>
        <v>11</v>
      </c>
      <c r="T263" t="str">
        <f t="shared" si="165"/>
        <v>0101010101010111</v>
      </c>
      <c r="V263" s="9" t="str">
        <f t="shared" si="173"/>
        <v>01010101</v>
      </c>
      <c r="W263" s="9" t="str">
        <f t="shared" si="174"/>
        <v>01010111</v>
      </c>
      <c r="X263" s="9" t="str">
        <f t="shared" si="175"/>
        <v>55</v>
      </c>
      <c r="Y263" s="9" t="str">
        <f t="shared" si="176"/>
        <v>57</v>
      </c>
    </row>
    <row r="264" spans="2:36" x14ac:dyDescent="0.3">
      <c r="B264" s="2">
        <v>2</v>
      </c>
      <c r="C264" s="2">
        <v>2</v>
      </c>
      <c r="D264" s="2">
        <v>2</v>
      </c>
      <c r="E264" s="2">
        <v>2</v>
      </c>
      <c r="F264" s="2">
        <v>2</v>
      </c>
      <c r="G264" s="2">
        <v>2</v>
      </c>
      <c r="H264" s="2">
        <v>2</v>
      </c>
      <c r="I264" s="2">
        <v>1</v>
      </c>
      <c r="K264" s="2" t="str">
        <f t="shared" si="172"/>
        <v>10</v>
      </c>
      <c r="L264" s="2" t="str">
        <f t="shared" si="172"/>
        <v>10</v>
      </c>
      <c r="M264" s="2" t="str">
        <f t="shared" si="172"/>
        <v>10</v>
      </c>
      <c r="N264" s="2" t="str">
        <f t="shared" si="172"/>
        <v>10</v>
      </c>
      <c r="O264" s="2" t="str">
        <f t="shared" si="172"/>
        <v>10</v>
      </c>
      <c r="P264" s="2" t="str">
        <f t="shared" si="172"/>
        <v>10</v>
      </c>
      <c r="Q264" s="2" t="str">
        <f t="shared" si="172"/>
        <v>10</v>
      </c>
      <c r="R264" s="2" t="str">
        <f t="shared" si="172"/>
        <v>01</v>
      </c>
      <c r="T264" t="str">
        <f t="shared" si="165"/>
        <v>1010101010101001</v>
      </c>
      <c r="V264" s="10" t="str">
        <f t="shared" si="173"/>
        <v>10101010</v>
      </c>
      <c r="W264" s="10" t="str">
        <f t="shared" si="174"/>
        <v>10101001</v>
      </c>
      <c r="X264" s="10" t="str">
        <f t="shared" si="175"/>
        <v>AA</v>
      </c>
      <c r="Y264" s="10" t="str">
        <f t="shared" si="176"/>
        <v>A9</v>
      </c>
    </row>
    <row r="265" spans="2:36" x14ac:dyDescent="0.3">
      <c r="B265" s="2">
        <v>1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K265" s="2" t="str">
        <f t="shared" si="172"/>
        <v>01</v>
      </c>
      <c r="L265" s="2" t="str">
        <f t="shared" si="172"/>
        <v>00</v>
      </c>
      <c r="M265" s="2" t="str">
        <f t="shared" si="172"/>
        <v>00</v>
      </c>
      <c r="N265" s="2" t="str">
        <f t="shared" si="172"/>
        <v>00</v>
      </c>
      <c r="O265" s="2" t="str">
        <f t="shared" si="172"/>
        <v>00</v>
      </c>
      <c r="P265" s="2" t="str">
        <f t="shared" si="172"/>
        <v>00</v>
      </c>
      <c r="Q265" s="2" t="str">
        <f t="shared" si="172"/>
        <v>00</v>
      </c>
      <c r="R265" s="2" t="str">
        <f t="shared" si="172"/>
        <v>11</v>
      </c>
      <c r="T265" t="str">
        <f t="shared" si="165"/>
        <v>0100000000000011</v>
      </c>
      <c r="V265" s="8" t="str">
        <f t="shared" si="173"/>
        <v>01000000</v>
      </c>
      <c r="W265" s="8" t="str">
        <f t="shared" si="174"/>
        <v>00000011</v>
      </c>
      <c r="X265" s="8" t="str">
        <f t="shared" si="175"/>
        <v>40</v>
      </c>
      <c r="Y265" s="8" t="str">
        <f t="shared" si="176"/>
        <v>03</v>
      </c>
    </row>
    <row r="266" spans="2:36" x14ac:dyDescent="0.3">
      <c r="B266" s="2">
        <v>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1</v>
      </c>
      <c r="K266" s="2" t="str">
        <f t="shared" si="172"/>
        <v>10</v>
      </c>
      <c r="L266" s="2" t="str">
        <f t="shared" si="172"/>
        <v>00</v>
      </c>
      <c r="M266" s="2" t="str">
        <f t="shared" si="172"/>
        <v>00</v>
      </c>
      <c r="N266" s="2" t="str">
        <f t="shared" si="172"/>
        <v>00</v>
      </c>
      <c r="O266" s="2" t="str">
        <f t="shared" si="172"/>
        <v>00</v>
      </c>
      <c r="P266" s="2" t="str">
        <f t="shared" si="172"/>
        <v>00</v>
      </c>
      <c r="Q266" s="2" t="str">
        <f t="shared" si="172"/>
        <v>00</v>
      </c>
      <c r="R266" s="2" t="str">
        <f t="shared" si="172"/>
        <v>01</v>
      </c>
      <c r="T266" t="str">
        <f t="shared" si="165"/>
        <v>1000000000000001</v>
      </c>
      <c r="V266" s="9" t="str">
        <f t="shared" si="173"/>
        <v>10000000</v>
      </c>
      <c r="W266" s="9" t="str">
        <f t="shared" si="174"/>
        <v>00000001</v>
      </c>
      <c r="X266" s="9" t="str">
        <f t="shared" si="175"/>
        <v>80</v>
      </c>
      <c r="Y266" s="9" t="str">
        <f t="shared" si="176"/>
        <v>01</v>
      </c>
    </row>
    <row r="267" spans="2:36" x14ac:dyDescent="0.3">
      <c r="B267" s="2">
        <v>0</v>
      </c>
      <c r="C267" s="2">
        <v>1</v>
      </c>
      <c r="D267" s="2">
        <v>2</v>
      </c>
      <c r="E267" s="2">
        <v>2</v>
      </c>
      <c r="F267" s="2">
        <v>2</v>
      </c>
      <c r="G267" s="2">
        <v>2</v>
      </c>
      <c r="H267" s="2">
        <v>3</v>
      </c>
      <c r="I267" s="2">
        <v>0</v>
      </c>
      <c r="K267" s="2" t="str">
        <f t="shared" si="172"/>
        <v>00</v>
      </c>
      <c r="L267" s="2" t="str">
        <f t="shared" si="172"/>
        <v>01</v>
      </c>
      <c r="M267" s="2" t="str">
        <f t="shared" si="172"/>
        <v>10</v>
      </c>
      <c r="N267" s="2" t="str">
        <f t="shared" si="172"/>
        <v>10</v>
      </c>
      <c r="O267" s="2" t="str">
        <f t="shared" si="172"/>
        <v>10</v>
      </c>
      <c r="P267" s="2" t="str">
        <f t="shared" si="172"/>
        <v>10</v>
      </c>
      <c r="Q267" s="2" t="str">
        <f t="shared" si="172"/>
        <v>11</v>
      </c>
      <c r="R267" s="2" t="str">
        <f t="shared" si="172"/>
        <v>00</v>
      </c>
      <c r="T267" t="str">
        <f t="shared" si="165"/>
        <v>0001101010101100</v>
      </c>
      <c r="V267" s="9" t="str">
        <f t="shared" si="173"/>
        <v>00011010</v>
      </c>
      <c r="W267" s="9" t="str">
        <f t="shared" si="174"/>
        <v>10101100</v>
      </c>
      <c r="X267" s="9" t="str">
        <f t="shared" si="175"/>
        <v>1A</v>
      </c>
      <c r="Y267" s="9" t="str">
        <f t="shared" si="176"/>
        <v>AC</v>
      </c>
    </row>
    <row r="268" spans="2:36" x14ac:dyDescent="0.3">
      <c r="B268" s="2">
        <v>0</v>
      </c>
      <c r="C268" s="2">
        <v>2</v>
      </c>
      <c r="D268" s="2">
        <v>1</v>
      </c>
      <c r="E268" s="2">
        <v>1</v>
      </c>
      <c r="F268" s="2">
        <v>1</v>
      </c>
      <c r="G268" s="2">
        <v>1</v>
      </c>
      <c r="H268" s="2">
        <v>1</v>
      </c>
      <c r="I268" s="2">
        <v>0</v>
      </c>
      <c r="K268" s="2" t="str">
        <f t="shared" si="172"/>
        <v>00</v>
      </c>
      <c r="L268" s="2" t="str">
        <f t="shared" si="172"/>
        <v>10</v>
      </c>
      <c r="M268" s="2" t="str">
        <f t="shared" si="172"/>
        <v>01</v>
      </c>
      <c r="N268" s="2" t="str">
        <f t="shared" si="172"/>
        <v>01</v>
      </c>
      <c r="O268" s="2" t="str">
        <f t="shared" si="172"/>
        <v>01</v>
      </c>
      <c r="P268" s="2" t="str">
        <f t="shared" si="172"/>
        <v>01</v>
      </c>
      <c r="Q268" s="2" t="str">
        <f t="shared" si="172"/>
        <v>01</v>
      </c>
      <c r="R268" s="2" t="str">
        <f t="shared" si="172"/>
        <v>00</v>
      </c>
      <c r="T268" t="str">
        <f t="shared" si="165"/>
        <v>0010010101010100</v>
      </c>
      <c r="V268" s="9" t="str">
        <f t="shared" si="173"/>
        <v>00100101</v>
      </c>
      <c r="W268" s="9" t="str">
        <f t="shared" si="174"/>
        <v>01010100</v>
      </c>
      <c r="X268" s="9" t="str">
        <f t="shared" si="175"/>
        <v>25</v>
      </c>
      <c r="Y268" s="9" t="str">
        <f t="shared" si="176"/>
        <v>54</v>
      </c>
    </row>
    <row r="269" spans="2:36" x14ac:dyDescent="0.3">
      <c r="B269" s="2">
        <v>0</v>
      </c>
      <c r="C269" s="2">
        <v>0</v>
      </c>
      <c r="D269" s="2">
        <v>1</v>
      </c>
      <c r="E269" s="2">
        <v>3</v>
      </c>
      <c r="F269" s="2">
        <v>3</v>
      </c>
      <c r="G269" s="2">
        <v>3</v>
      </c>
      <c r="H269" s="2">
        <v>0</v>
      </c>
      <c r="I269" s="2">
        <v>0</v>
      </c>
      <c r="K269" s="2" t="str">
        <f t="shared" si="172"/>
        <v>00</v>
      </c>
      <c r="L269" s="2" t="str">
        <f t="shared" si="172"/>
        <v>00</v>
      </c>
      <c r="M269" s="2" t="str">
        <f t="shared" si="172"/>
        <v>01</v>
      </c>
      <c r="N269" s="2" t="str">
        <f t="shared" si="172"/>
        <v>11</v>
      </c>
      <c r="O269" s="2" t="str">
        <f t="shared" si="172"/>
        <v>11</v>
      </c>
      <c r="P269" s="2" t="str">
        <f t="shared" si="172"/>
        <v>11</v>
      </c>
      <c r="Q269" s="2" t="str">
        <f t="shared" si="172"/>
        <v>00</v>
      </c>
      <c r="R269" s="2" t="str">
        <f t="shared" si="172"/>
        <v>00</v>
      </c>
      <c r="T269" t="str">
        <f t="shared" si="165"/>
        <v>0000011111110000</v>
      </c>
      <c r="V269" s="9" t="str">
        <f t="shared" si="173"/>
        <v>00000111</v>
      </c>
      <c r="W269" s="9" t="str">
        <f t="shared" si="174"/>
        <v>11110000</v>
      </c>
      <c r="X269" s="9" t="str">
        <f t="shared" si="175"/>
        <v>07</v>
      </c>
      <c r="Y269" s="9" t="str">
        <f t="shared" si="176"/>
        <v>F0</v>
      </c>
    </row>
    <row r="270" spans="2:36" x14ac:dyDescent="0.3">
      <c r="B270" s="2">
        <v>0</v>
      </c>
      <c r="C270" s="2">
        <v>0</v>
      </c>
      <c r="D270" s="2">
        <v>2</v>
      </c>
      <c r="E270" s="2">
        <v>3</v>
      </c>
      <c r="F270" s="2">
        <v>3</v>
      </c>
      <c r="G270" s="2">
        <v>1</v>
      </c>
      <c r="H270" s="2">
        <v>0</v>
      </c>
      <c r="I270" s="2">
        <v>0</v>
      </c>
      <c r="K270" s="2" t="str">
        <f t="shared" si="172"/>
        <v>00</v>
      </c>
      <c r="L270" s="2" t="str">
        <f t="shared" si="172"/>
        <v>00</v>
      </c>
      <c r="M270" s="2" t="str">
        <f t="shared" si="172"/>
        <v>10</v>
      </c>
      <c r="N270" s="2" t="str">
        <f t="shared" si="172"/>
        <v>11</v>
      </c>
      <c r="O270" s="2" t="str">
        <f t="shared" si="172"/>
        <v>11</v>
      </c>
      <c r="P270" s="2" t="str">
        <f t="shared" si="172"/>
        <v>01</v>
      </c>
      <c r="Q270" s="2" t="str">
        <f t="shared" si="172"/>
        <v>00</v>
      </c>
      <c r="R270" s="2" t="str">
        <f t="shared" si="172"/>
        <v>00</v>
      </c>
      <c r="T270" t="str">
        <f t="shared" si="165"/>
        <v>0000101111010000</v>
      </c>
      <c r="V270" s="9" t="str">
        <f t="shared" si="173"/>
        <v>00001011</v>
      </c>
      <c r="W270" s="9" t="str">
        <f t="shared" si="174"/>
        <v>11010000</v>
      </c>
      <c r="X270" s="9" t="str">
        <f t="shared" si="175"/>
        <v>0B</v>
      </c>
      <c r="Y270" s="9" t="str">
        <f t="shared" si="176"/>
        <v>D0</v>
      </c>
    </row>
    <row r="271" spans="2:36" x14ac:dyDescent="0.3">
      <c r="B271" s="2">
        <v>0</v>
      </c>
      <c r="C271" s="2">
        <v>0</v>
      </c>
      <c r="D271" s="2">
        <v>0</v>
      </c>
      <c r="E271" s="2">
        <v>2</v>
      </c>
      <c r="F271" s="2">
        <v>1</v>
      </c>
      <c r="G271" s="2">
        <v>0</v>
      </c>
      <c r="H271" s="2">
        <v>0</v>
      </c>
      <c r="I271" s="2">
        <v>0</v>
      </c>
      <c r="K271" s="2" t="str">
        <f t="shared" si="172"/>
        <v>00</v>
      </c>
      <c r="L271" s="2" t="str">
        <f t="shared" si="172"/>
        <v>00</v>
      </c>
      <c r="M271" s="2" t="str">
        <f t="shared" si="172"/>
        <v>00</v>
      </c>
      <c r="N271" s="2" t="str">
        <f t="shared" si="172"/>
        <v>10</v>
      </c>
      <c r="O271" s="2" t="str">
        <f t="shared" si="172"/>
        <v>01</v>
      </c>
      <c r="P271" s="2" t="str">
        <f t="shared" si="172"/>
        <v>00</v>
      </c>
      <c r="Q271" s="2" t="str">
        <f t="shared" si="172"/>
        <v>00</v>
      </c>
      <c r="R271" s="2" t="str">
        <f t="shared" si="172"/>
        <v>00</v>
      </c>
      <c r="T271" t="str">
        <f t="shared" si="165"/>
        <v>0000001001000000</v>
      </c>
      <c r="V271" s="9" t="str">
        <f t="shared" si="173"/>
        <v>00000010</v>
      </c>
      <c r="W271" s="9" t="str">
        <f t="shared" si="174"/>
        <v>01000000</v>
      </c>
      <c r="X271" s="9" t="str">
        <f t="shared" si="175"/>
        <v>02</v>
      </c>
      <c r="Y271" s="9" t="str">
        <f t="shared" si="176"/>
        <v>40</v>
      </c>
    </row>
    <row r="272" spans="2:36" x14ac:dyDescent="0.3">
      <c r="B272" s="2">
        <v>0</v>
      </c>
      <c r="C272" s="2">
        <v>0</v>
      </c>
      <c r="D272" s="2">
        <v>0</v>
      </c>
      <c r="E272" s="2">
        <v>2</v>
      </c>
      <c r="F272" s="2">
        <v>1</v>
      </c>
      <c r="G272" s="2">
        <v>0</v>
      </c>
      <c r="H272" s="2">
        <v>0</v>
      </c>
      <c r="I272" s="2">
        <v>0</v>
      </c>
      <c r="K272" s="2" t="str">
        <f t="shared" si="172"/>
        <v>00</v>
      </c>
      <c r="L272" s="2" t="str">
        <f t="shared" si="172"/>
        <v>00</v>
      </c>
      <c r="M272" s="2" t="str">
        <f t="shared" si="172"/>
        <v>00</v>
      </c>
      <c r="N272" s="2" t="str">
        <f t="shared" si="172"/>
        <v>10</v>
      </c>
      <c r="O272" s="2" t="str">
        <f t="shared" si="172"/>
        <v>01</v>
      </c>
      <c r="P272" s="2" t="str">
        <f t="shared" si="172"/>
        <v>00</v>
      </c>
      <c r="Q272" s="2" t="str">
        <f t="shared" si="172"/>
        <v>00</v>
      </c>
      <c r="R272" s="2" t="str">
        <f t="shared" si="172"/>
        <v>00</v>
      </c>
      <c r="T272" t="str">
        <f t="shared" si="165"/>
        <v>0000001001000000</v>
      </c>
      <c r="V272" s="10" t="str">
        <f t="shared" si="173"/>
        <v>00000010</v>
      </c>
      <c r="W272" s="10" t="str">
        <f t="shared" si="174"/>
        <v>01000000</v>
      </c>
      <c r="X272" s="10" t="str">
        <f t="shared" si="175"/>
        <v>02</v>
      </c>
      <c r="Y272" s="10" t="str">
        <f t="shared" si="176"/>
        <v>40</v>
      </c>
    </row>
    <row r="273" spans="1:36" x14ac:dyDescent="0.3">
      <c r="A273" t="s">
        <v>21</v>
      </c>
      <c r="AJ273" t="str">
        <f>";"&amp;PROPER(A273)</f>
        <v>;Butterfly 1</v>
      </c>
    </row>
    <row r="274" spans="1:36" x14ac:dyDescent="0.3">
      <c r="B274" s="2">
        <v>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1</v>
      </c>
      <c r="K274" s="2" t="str">
        <f t="shared" ref="K274:K289" si="178">DEC2BIN(B274,2)</f>
        <v>11</v>
      </c>
      <c r="L274" s="2" t="str">
        <f t="shared" ref="L274:L289" si="179">DEC2BIN(C274,2)</f>
        <v>00</v>
      </c>
      <c r="M274" s="2" t="str">
        <f t="shared" ref="M274:M289" si="180">DEC2BIN(D274,2)</f>
        <v>00</v>
      </c>
      <c r="N274" s="2" t="str">
        <f t="shared" ref="N274:N289" si="181">DEC2BIN(E274,2)</f>
        <v>00</v>
      </c>
      <c r="O274" s="2" t="str">
        <f t="shared" ref="O274:O289" si="182">DEC2BIN(F274,2)</f>
        <v>00</v>
      </c>
      <c r="P274" s="2" t="str">
        <f t="shared" ref="P274:P289" si="183">DEC2BIN(G274,2)</f>
        <v>00</v>
      </c>
      <c r="Q274" s="2" t="str">
        <f t="shared" ref="Q274:Q289" si="184">DEC2BIN(H274,2)</f>
        <v>00</v>
      </c>
      <c r="R274" s="2" t="str">
        <f t="shared" ref="R274:R289" si="185">DEC2BIN(I274,2)</f>
        <v>01</v>
      </c>
      <c r="T274" t="str">
        <f t="shared" ref="T274:T289" si="186">_xlfn.CONCAT(K274:R274)</f>
        <v>1100000000000001</v>
      </c>
      <c r="V274" s="8" t="str">
        <f>LEFT(T274,8)</f>
        <v>11000000</v>
      </c>
      <c r="W274" s="8" t="str">
        <f>RIGHT(T274,8)</f>
        <v>00000001</v>
      </c>
      <c r="X274" s="8" t="str">
        <f>BIN2HEX(V274,2)</f>
        <v>C0</v>
      </c>
      <c r="Y274" s="8" t="str">
        <f>BIN2HEX(W274,2)</f>
        <v>01</v>
      </c>
      <c r="AA274" t="str" cm="1">
        <f t="array" ref="AA274:AH274">TRANSPOSE(X274:X281)</f>
        <v>C0</v>
      </c>
      <c r="AB274" t="str">
        <v>40</v>
      </c>
      <c r="AC274" t="str">
        <v>F0</v>
      </c>
      <c r="AD274" t="str">
        <v>D0</v>
      </c>
      <c r="AE274" t="str">
        <v>5C</v>
      </c>
      <c r="AF274" t="str">
        <v>A4</v>
      </c>
      <c r="AG274" t="str">
        <v>03</v>
      </c>
      <c r="AH274" t="str">
        <v>01</v>
      </c>
      <c r="AJ274" t="str">
        <f>LOWER("!byte $"&amp;AA274&amp;", $"&amp;AB274&amp;", $"&amp;AC274&amp;", $"&amp;AD274&amp;", $"&amp;AE274&amp;", $"&amp;AF274&amp;", $"&amp;AG274&amp;", $"&amp;AH274)</f>
        <v>!byte $c0, $40, $f0, $d0, $5c, $a4, $03, $01</v>
      </c>
    </row>
    <row r="275" spans="1:36" x14ac:dyDescent="0.3">
      <c r="B275" s="2">
        <v>1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2</v>
      </c>
      <c r="K275" s="2" t="str">
        <f t="shared" si="178"/>
        <v>01</v>
      </c>
      <c r="L275" s="2" t="str">
        <f t="shared" si="179"/>
        <v>00</v>
      </c>
      <c r="M275" s="2" t="str">
        <f t="shared" si="180"/>
        <v>00</v>
      </c>
      <c r="N275" s="2" t="str">
        <f t="shared" si="181"/>
        <v>00</v>
      </c>
      <c r="O275" s="2" t="str">
        <f t="shared" si="182"/>
        <v>00</v>
      </c>
      <c r="P275" s="2" t="str">
        <f t="shared" si="183"/>
        <v>00</v>
      </c>
      <c r="Q275" s="2" t="str">
        <f t="shared" si="184"/>
        <v>00</v>
      </c>
      <c r="R275" s="2" t="str">
        <f t="shared" si="185"/>
        <v>10</v>
      </c>
      <c r="T275" t="str">
        <f t="shared" si="186"/>
        <v>0100000000000010</v>
      </c>
      <c r="V275" s="9" t="str">
        <f t="shared" ref="V275:V289" si="187">LEFT(T275,8)</f>
        <v>01000000</v>
      </c>
      <c r="W275" s="9" t="str">
        <f t="shared" ref="W275:W289" si="188">RIGHT(T275,8)</f>
        <v>00000010</v>
      </c>
      <c r="X275" s="9" t="str">
        <f t="shared" ref="X275:X289" si="189">BIN2HEX(V275,2)</f>
        <v>40</v>
      </c>
      <c r="Y275" s="9" t="str">
        <f t="shared" ref="Y275:Y289" si="190">BIN2HEX(W275,2)</f>
        <v>02</v>
      </c>
      <c r="AA275" t="str" cm="1">
        <f t="array" ref="AA275:AH275">TRANSPOSE(X282:X289)</f>
        <v>AB</v>
      </c>
      <c r="AB275" t="str">
        <v>55</v>
      </c>
      <c r="AC275" t="str">
        <v>FC</v>
      </c>
      <c r="AD275" t="str">
        <v>F4</v>
      </c>
      <c r="AE275" t="str">
        <v>70</v>
      </c>
      <c r="AF275" t="str">
        <v>90</v>
      </c>
      <c r="AG275" t="str">
        <v>40</v>
      </c>
      <c r="AH275" t="str">
        <v>80</v>
      </c>
      <c r="AJ275" t="str">
        <f t="shared" ref="AJ275:AJ277" si="191">LOWER("!byte $"&amp;AA275&amp;", $"&amp;AB275&amp;", $"&amp;AC275&amp;", $"&amp;AD275&amp;", $"&amp;AE275&amp;", $"&amp;AF275&amp;", $"&amp;AG275&amp;", $"&amp;AH275)</f>
        <v>!byte $ab, $55, $fc, $f4, $70, $90, $40, $80</v>
      </c>
    </row>
    <row r="276" spans="1:36" x14ac:dyDescent="0.3">
      <c r="B276" s="2">
        <v>3</v>
      </c>
      <c r="C276" s="2">
        <v>3</v>
      </c>
      <c r="D276" s="2">
        <v>0</v>
      </c>
      <c r="E276" s="2">
        <v>0</v>
      </c>
      <c r="F276" s="2">
        <v>0</v>
      </c>
      <c r="G276" s="2">
        <v>0</v>
      </c>
      <c r="H276" s="2">
        <v>1</v>
      </c>
      <c r="I276" s="2">
        <v>3</v>
      </c>
      <c r="K276" s="2" t="str">
        <f t="shared" si="178"/>
        <v>11</v>
      </c>
      <c r="L276" s="2" t="str">
        <f t="shared" si="179"/>
        <v>11</v>
      </c>
      <c r="M276" s="2" t="str">
        <f t="shared" si="180"/>
        <v>00</v>
      </c>
      <c r="N276" s="2" t="str">
        <f t="shared" si="181"/>
        <v>00</v>
      </c>
      <c r="O276" s="2" t="str">
        <f t="shared" si="182"/>
        <v>00</v>
      </c>
      <c r="P276" s="2" t="str">
        <f t="shared" si="183"/>
        <v>00</v>
      </c>
      <c r="Q276" s="2" t="str">
        <f t="shared" si="184"/>
        <v>01</v>
      </c>
      <c r="R276" s="2" t="str">
        <f t="shared" si="185"/>
        <v>11</v>
      </c>
      <c r="T276" t="str">
        <f t="shared" si="186"/>
        <v>1111000000000111</v>
      </c>
      <c r="V276" s="9" t="str">
        <f t="shared" si="187"/>
        <v>11110000</v>
      </c>
      <c r="W276" s="9" t="str">
        <f t="shared" si="188"/>
        <v>00000111</v>
      </c>
      <c r="X276" s="9" t="str">
        <f t="shared" si="189"/>
        <v>F0</v>
      </c>
      <c r="Y276" s="9" t="str">
        <f t="shared" si="190"/>
        <v>07</v>
      </c>
      <c r="AA276" t="str" cm="1">
        <f t="array" ref="AA276:AH276">TRANSPOSE(Y274:Y281)</f>
        <v>01</v>
      </c>
      <c r="AB276" t="str">
        <v>02</v>
      </c>
      <c r="AC276" t="str">
        <v>07</v>
      </c>
      <c r="AD276" t="str">
        <v>0B</v>
      </c>
      <c r="AE276" t="str">
        <v>15</v>
      </c>
      <c r="AF276" t="str">
        <v>2A</v>
      </c>
      <c r="AG276" t="str">
        <v>40</v>
      </c>
      <c r="AH276" t="str">
        <v>80</v>
      </c>
      <c r="AJ276" t="str">
        <f t="shared" si="191"/>
        <v>!byte $01, $02, $07, $0b, $15, $2a, $40, $80</v>
      </c>
    </row>
    <row r="277" spans="1:36" x14ac:dyDescent="0.3">
      <c r="B277" s="2">
        <v>3</v>
      </c>
      <c r="C277" s="2">
        <v>1</v>
      </c>
      <c r="D277" s="2">
        <v>0</v>
      </c>
      <c r="E277" s="2">
        <v>0</v>
      </c>
      <c r="F277" s="2">
        <v>0</v>
      </c>
      <c r="G277" s="2">
        <v>0</v>
      </c>
      <c r="H277" s="2">
        <v>2</v>
      </c>
      <c r="I277" s="2">
        <v>3</v>
      </c>
      <c r="K277" s="2" t="str">
        <f t="shared" si="178"/>
        <v>11</v>
      </c>
      <c r="L277" s="2" t="str">
        <f t="shared" si="179"/>
        <v>01</v>
      </c>
      <c r="M277" s="2" t="str">
        <f t="shared" si="180"/>
        <v>00</v>
      </c>
      <c r="N277" s="2" t="str">
        <f t="shared" si="181"/>
        <v>00</v>
      </c>
      <c r="O277" s="2" t="str">
        <f t="shared" si="182"/>
        <v>00</v>
      </c>
      <c r="P277" s="2" t="str">
        <f t="shared" si="183"/>
        <v>00</v>
      </c>
      <c r="Q277" s="2" t="str">
        <f t="shared" si="184"/>
        <v>10</v>
      </c>
      <c r="R277" s="2" t="str">
        <f t="shared" si="185"/>
        <v>11</v>
      </c>
      <c r="T277" t="str">
        <f t="shared" si="186"/>
        <v>1101000000001011</v>
      </c>
      <c r="V277" s="9" t="str">
        <f t="shared" si="187"/>
        <v>11010000</v>
      </c>
      <c r="W277" s="9" t="str">
        <f t="shared" si="188"/>
        <v>00001011</v>
      </c>
      <c r="X277" s="9" t="str">
        <f t="shared" si="189"/>
        <v>D0</v>
      </c>
      <c r="Y277" s="9" t="str">
        <f t="shared" si="190"/>
        <v>0B</v>
      </c>
      <c r="AA277" t="str" cm="1">
        <f t="array" ref="AA277:AH277">TRANSPOSE(Y282:Y289)</f>
        <v>6A</v>
      </c>
      <c r="AB277" t="str">
        <v>95</v>
      </c>
      <c r="AC277" t="str">
        <v>1F</v>
      </c>
      <c r="AD277" t="str">
        <v>2F</v>
      </c>
      <c r="AE277" t="str">
        <v>05</v>
      </c>
      <c r="AF277" t="str">
        <v>0A</v>
      </c>
      <c r="AG277" t="str">
        <v>02</v>
      </c>
      <c r="AH277" t="str">
        <v>02</v>
      </c>
      <c r="AJ277" t="str">
        <f t="shared" si="191"/>
        <v>!byte $6a, $95, $1f, $2f, $05, $0a, $02, $02</v>
      </c>
    </row>
    <row r="278" spans="1:36" x14ac:dyDescent="0.3">
      <c r="B278" s="2">
        <v>1</v>
      </c>
      <c r="C278" s="2">
        <v>1</v>
      </c>
      <c r="D278" s="2">
        <v>3</v>
      </c>
      <c r="E278" s="2">
        <v>0</v>
      </c>
      <c r="F278" s="2">
        <v>0</v>
      </c>
      <c r="G278" s="2">
        <v>1</v>
      </c>
      <c r="H278" s="2">
        <v>1</v>
      </c>
      <c r="I278" s="2">
        <v>1</v>
      </c>
      <c r="K278" s="2" t="str">
        <f t="shared" si="178"/>
        <v>01</v>
      </c>
      <c r="L278" s="2" t="str">
        <f t="shared" si="179"/>
        <v>01</v>
      </c>
      <c r="M278" s="2" t="str">
        <f t="shared" si="180"/>
        <v>11</v>
      </c>
      <c r="N278" s="2" t="str">
        <f t="shared" si="181"/>
        <v>00</v>
      </c>
      <c r="O278" s="2" t="str">
        <f t="shared" si="182"/>
        <v>00</v>
      </c>
      <c r="P278" s="2" t="str">
        <f t="shared" si="183"/>
        <v>01</v>
      </c>
      <c r="Q278" s="2" t="str">
        <f t="shared" si="184"/>
        <v>01</v>
      </c>
      <c r="R278" s="2" t="str">
        <f t="shared" si="185"/>
        <v>01</v>
      </c>
      <c r="T278" t="str">
        <f t="shared" si="186"/>
        <v>0101110000010101</v>
      </c>
      <c r="V278" s="9" t="str">
        <f t="shared" si="187"/>
        <v>01011100</v>
      </c>
      <c r="W278" s="9" t="str">
        <f t="shared" si="188"/>
        <v>00010101</v>
      </c>
      <c r="X278" s="9" t="str">
        <f t="shared" si="189"/>
        <v>5C</v>
      </c>
      <c r="Y278" s="9" t="str">
        <f t="shared" si="190"/>
        <v>15</v>
      </c>
    </row>
    <row r="279" spans="1:36" x14ac:dyDescent="0.3">
      <c r="B279" s="2">
        <v>2</v>
      </c>
      <c r="C279" s="2">
        <v>2</v>
      </c>
      <c r="D279" s="2">
        <v>1</v>
      </c>
      <c r="E279" s="2">
        <v>0</v>
      </c>
      <c r="F279" s="2">
        <v>0</v>
      </c>
      <c r="G279" s="2">
        <v>2</v>
      </c>
      <c r="H279" s="2">
        <v>2</v>
      </c>
      <c r="I279" s="2">
        <v>2</v>
      </c>
      <c r="K279" s="2" t="str">
        <f t="shared" si="178"/>
        <v>10</v>
      </c>
      <c r="L279" s="2" t="str">
        <f t="shared" si="179"/>
        <v>10</v>
      </c>
      <c r="M279" s="2" t="str">
        <f t="shared" si="180"/>
        <v>01</v>
      </c>
      <c r="N279" s="2" t="str">
        <f t="shared" si="181"/>
        <v>00</v>
      </c>
      <c r="O279" s="2" t="str">
        <f t="shared" si="182"/>
        <v>00</v>
      </c>
      <c r="P279" s="2" t="str">
        <f t="shared" si="183"/>
        <v>10</v>
      </c>
      <c r="Q279" s="2" t="str">
        <f t="shared" si="184"/>
        <v>10</v>
      </c>
      <c r="R279" s="2" t="str">
        <f t="shared" si="185"/>
        <v>10</v>
      </c>
      <c r="T279" t="str">
        <f t="shared" si="186"/>
        <v>1010010000101010</v>
      </c>
      <c r="V279" s="9" t="str">
        <f t="shared" si="187"/>
        <v>10100100</v>
      </c>
      <c r="W279" s="9" t="str">
        <f t="shared" si="188"/>
        <v>00101010</v>
      </c>
      <c r="X279" s="9" t="str">
        <f t="shared" si="189"/>
        <v>A4</v>
      </c>
      <c r="Y279" s="9" t="str">
        <f t="shared" si="190"/>
        <v>2A</v>
      </c>
    </row>
    <row r="280" spans="1:36" x14ac:dyDescent="0.3">
      <c r="B280" s="2">
        <v>0</v>
      </c>
      <c r="C280" s="2">
        <v>0</v>
      </c>
      <c r="D280" s="2">
        <v>0</v>
      </c>
      <c r="E280" s="2">
        <v>3</v>
      </c>
      <c r="F280" s="2">
        <v>1</v>
      </c>
      <c r="G280" s="2">
        <v>0</v>
      </c>
      <c r="H280" s="2">
        <v>0</v>
      </c>
      <c r="I280" s="2">
        <v>0</v>
      </c>
      <c r="K280" s="2" t="str">
        <f t="shared" si="178"/>
        <v>00</v>
      </c>
      <c r="L280" s="2" t="str">
        <f t="shared" si="179"/>
        <v>00</v>
      </c>
      <c r="M280" s="2" t="str">
        <f t="shared" si="180"/>
        <v>00</v>
      </c>
      <c r="N280" s="2" t="str">
        <f t="shared" si="181"/>
        <v>11</v>
      </c>
      <c r="O280" s="2" t="str">
        <f t="shared" si="182"/>
        <v>01</v>
      </c>
      <c r="P280" s="2" t="str">
        <f t="shared" si="183"/>
        <v>00</v>
      </c>
      <c r="Q280" s="2" t="str">
        <f t="shared" si="184"/>
        <v>00</v>
      </c>
      <c r="R280" s="2" t="str">
        <f t="shared" si="185"/>
        <v>00</v>
      </c>
      <c r="T280" t="str">
        <f t="shared" si="186"/>
        <v>0000001101000000</v>
      </c>
      <c r="V280" s="9" t="str">
        <f t="shared" si="187"/>
        <v>00000011</v>
      </c>
      <c r="W280" s="9" t="str">
        <f t="shared" si="188"/>
        <v>01000000</v>
      </c>
      <c r="X280" s="9" t="str">
        <f t="shared" si="189"/>
        <v>03</v>
      </c>
      <c r="Y280" s="9" t="str">
        <f t="shared" si="190"/>
        <v>40</v>
      </c>
    </row>
    <row r="281" spans="1:36" x14ac:dyDescent="0.3">
      <c r="B281" s="5">
        <v>0</v>
      </c>
      <c r="C281" s="2">
        <v>0</v>
      </c>
      <c r="D281" s="2">
        <v>0</v>
      </c>
      <c r="E281" s="2">
        <v>1</v>
      </c>
      <c r="F281" s="2">
        <v>2</v>
      </c>
      <c r="G281" s="2">
        <v>0</v>
      </c>
      <c r="H281" s="2">
        <v>0</v>
      </c>
      <c r="I281" s="2">
        <v>0</v>
      </c>
      <c r="K281" s="2" t="str">
        <f t="shared" si="178"/>
        <v>00</v>
      </c>
      <c r="L281" s="2" t="str">
        <f t="shared" si="179"/>
        <v>00</v>
      </c>
      <c r="M281" s="2" t="str">
        <f t="shared" si="180"/>
        <v>00</v>
      </c>
      <c r="N281" s="2" t="str">
        <f t="shared" si="181"/>
        <v>01</v>
      </c>
      <c r="O281" s="2" t="str">
        <f t="shared" si="182"/>
        <v>10</v>
      </c>
      <c r="P281" s="2" t="str">
        <f t="shared" si="183"/>
        <v>00</v>
      </c>
      <c r="Q281" s="2" t="str">
        <f t="shared" si="184"/>
        <v>00</v>
      </c>
      <c r="R281" s="2" t="str">
        <f t="shared" si="185"/>
        <v>00</v>
      </c>
      <c r="T281" t="str">
        <f t="shared" si="186"/>
        <v>0000000110000000</v>
      </c>
      <c r="V281" s="10" t="str">
        <f t="shared" si="187"/>
        <v>00000001</v>
      </c>
      <c r="W281" s="10" t="str">
        <f t="shared" si="188"/>
        <v>10000000</v>
      </c>
      <c r="X281" s="10" t="str">
        <f t="shared" si="189"/>
        <v>01</v>
      </c>
      <c r="Y281" s="10" t="str">
        <f t="shared" si="190"/>
        <v>80</v>
      </c>
    </row>
    <row r="282" spans="1:36" x14ac:dyDescent="0.3">
      <c r="B282" s="2">
        <v>2</v>
      </c>
      <c r="C282" s="2">
        <v>2</v>
      </c>
      <c r="D282" s="2">
        <v>2</v>
      </c>
      <c r="E282" s="2">
        <v>3</v>
      </c>
      <c r="F282" s="2">
        <v>1</v>
      </c>
      <c r="G282" s="2">
        <v>2</v>
      </c>
      <c r="H282" s="2">
        <v>2</v>
      </c>
      <c r="I282" s="2">
        <v>2</v>
      </c>
      <c r="K282" s="2" t="str">
        <f t="shared" si="178"/>
        <v>10</v>
      </c>
      <c r="L282" s="2" t="str">
        <f t="shared" si="179"/>
        <v>10</v>
      </c>
      <c r="M282" s="2" t="str">
        <f t="shared" si="180"/>
        <v>10</v>
      </c>
      <c r="N282" s="2" t="str">
        <f t="shared" si="181"/>
        <v>11</v>
      </c>
      <c r="O282" s="2" t="str">
        <f t="shared" si="182"/>
        <v>01</v>
      </c>
      <c r="P282" s="2" t="str">
        <f t="shared" si="183"/>
        <v>10</v>
      </c>
      <c r="Q282" s="2" t="str">
        <f t="shared" si="184"/>
        <v>10</v>
      </c>
      <c r="R282" s="2" t="str">
        <f t="shared" si="185"/>
        <v>10</v>
      </c>
      <c r="T282" t="str">
        <f t="shared" si="186"/>
        <v>1010101101101010</v>
      </c>
      <c r="V282" s="8" t="str">
        <f t="shared" si="187"/>
        <v>10101011</v>
      </c>
      <c r="W282" s="8" t="str">
        <f t="shared" si="188"/>
        <v>01101010</v>
      </c>
      <c r="X282" s="8" t="str">
        <f t="shared" si="189"/>
        <v>AB</v>
      </c>
      <c r="Y282" s="8" t="str">
        <f t="shared" si="190"/>
        <v>6A</v>
      </c>
    </row>
    <row r="283" spans="1:36" x14ac:dyDescent="0.3">
      <c r="B283" s="2">
        <v>1</v>
      </c>
      <c r="C283" s="2">
        <v>1</v>
      </c>
      <c r="D283" s="2">
        <v>1</v>
      </c>
      <c r="E283" s="2">
        <v>1</v>
      </c>
      <c r="F283" s="2">
        <v>2</v>
      </c>
      <c r="G283" s="2">
        <v>1</v>
      </c>
      <c r="H283" s="2">
        <v>1</v>
      </c>
      <c r="I283" s="2">
        <v>1</v>
      </c>
      <c r="K283" s="2" t="str">
        <f t="shared" si="178"/>
        <v>01</v>
      </c>
      <c r="L283" s="2" t="str">
        <f t="shared" si="179"/>
        <v>01</v>
      </c>
      <c r="M283" s="2" t="str">
        <f t="shared" si="180"/>
        <v>01</v>
      </c>
      <c r="N283" s="2" t="str">
        <f t="shared" si="181"/>
        <v>01</v>
      </c>
      <c r="O283" s="2" t="str">
        <f t="shared" si="182"/>
        <v>10</v>
      </c>
      <c r="P283" s="2" t="str">
        <f t="shared" si="183"/>
        <v>01</v>
      </c>
      <c r="Q283" s="2" t="str">
        <f t="shared" si="184"/>
        <v>01</v>
      </c>
      <c r="R283" s="2" t="str">
        <f t="shared" si="185"/>
        <v>01</v>
      </c>
      <c r="T283" t="str">
        <f t="shared" si="186"/>
        <v>0101010110010101</v>
      </c>
      <c r="V283" s="9" t="str">
        <f t="shared" si="187"/>
        <v>01010101</v>
      </c>
      <c r="W283" s="9" t="str">
        <f t="shared" si="188"/>
        <v>10010101</v>
      </c>
      <c r="X283" s="9" t="str">
        <f t="shared" si="189"/>
        <v>55</v>
      </c>
      <c r="Y283" s="9" t="str">
        <f t="shared" si="190"/>
        <v>95</v>
      </c>
    </row>
    <row r="284" spans="1:36" x14ac:dyDescent="0.3">
      <c r="B284" s="2">
        <v>3</v>
      </c>
      <c r="C284" s="2">
        <v>3</v>
      </c>
      <c r="D284" s="2">
        <v>3</v>
      </c>
      <c r="E284" s="2">
        <v>0</v>
      </c>
      <c r="F284" s="2">
        <v>0</v>
      </c>
      <c r="G284" s="2">
        <v>1</v>
      </c>
      <c r="H284" s="2">
        <v>3</v>
      </c>
      <c r="I284" s="2">
        <v>3</v>
      </c>
      <c r="K284" s="2" t="str">
        <f t="shared" si="178"/>
        <v>11</v>
      </c>
      <c r="L284" s="2" t="str">
        <f t="shared" si="179"/>
        <v>11</v>
      </c>
      <c r="M284" s="2" t="str">
        <f t="shared" si="180"/>
        <v>11</v>
      </c>
      <c r="N284" s="2" t="str">
        <f t="shared" si="181"/>
        <v>00</v>
      </c>
      <c r="O284" s="2" t="str">
        <f t="shared" si="182"/>
        <v>00</v>
      </c>
      <c r="P284" s="2" t="str">
        <f t="shared" si="183"/>
        <v>01</v>
      </c>
      <c r="Q284" s="2" t="str">
        <f t="shared" si="184"/>
        <v>11</v>
      </c>
      <c r="R284" s="2" t="str">
        <f t="shared" si="185"/>
        <v>11</v>
      </c>
      <c r="T284" t="str">
        <f t="shared" si="186"/>
        <v>1111110000011111</v>
      </c>
      <c r="V284" s="9" t="str">
        <f t="shared" si="187"/>
        <v>11111100</v>
      </c>
      <c r="W284" s="9" t="str">
        <f t="shared" si="188"/>
        <v>00011111</v>
      </c>
      <c r="X284" s="9" t="str">
        <f t="shared" si="189"/>
        <v>FC</v>
      </c>
      <c r="Y284" s="9" t="str">
        <f t="shared" si="190"/>
        <v>1F</v>
      </c>
    </row>
    <row r="285" spans="1:36" x14ac:dyDescent="0.3">
      <c r="B285" s="2">
        <v>3</v>
      </c>
      <c r="C285" s="2">
        <v>3</v>
      </c>
      <c r="D285" s="2">
        <v>1</v>
      </c>
      <c r="E285" s="2">
        <v>0</v>
      </c>
      <c r="F285" s="2">
        <v>0</v>
      </c>
      <c r="G285" s="2">
        <v>2</v>
      </c>
      <c r="H285" s="2">
        <v>3</v>
      </c>
      <c r="I285" s="2">
        <v>3</v>
      </c>
      <c r="K285" s="2" t="str">
        <f t="shared" si="178"/>
        <v>11</v>
      </c>
      <c r="L285" s="2" t="str">
        <f t="shared" si="179"/>
        <v>11</v>
      </c>
      <c r="M285" s="2" t="str">
        <f t="shared" si="180"/>
        <v>01</v>
      </c>
      <c r="N285" s="2" t="str">
        <f t="shared" si="181"/>
        <v>00</v>
      </c>
      <c r="O285" s="2" t="str">
        <f t="shared" si="182"/>
        <v>00</v>
      </c>
      <c r="P285" s="2" t="str">
        <f t="shared" si="183"/>
        <v>10</v>
      </c>
      <c r="Q285" s="2" t="str">
        <f t="shared" si="184"/>
        <v>11</v>
      </c>
      <c r="R285" s="2" t="str">
        <f t="shared" si="185"/>
        <v>11</v>
      </c>
      <c r="T285" t="str">
        <f t="shared" si="186"/>
        <v>1111010000101111</v>
      </c>
      <c r="V285" s="9" t="str">
        <f t="shared" si="187"/>
        <v>11110100</v>
      </c>
      <c r="W285" s="9" t="str">
        <f t="shared" si="188"/>
        <v>00101111</v>
      </c>
      <c r="X285" s="9" t="str">
        <f t="shared" si="189"/>
        <v>F4</v>
      </c>
      <c r="Y285" s="9" t="str">
        <f t="shared" si="190"/>
        <v>2F</v>
      </c>
    </row>
    <row r="286" spans="1:36" x14ac:dyDescent="0.3">
      <c r="B286" s="2">
        <v>1</v>
      </c>
      <c r="C286" s="2">
        <v>3</v>
      </c>
      <c r="D286" s="2">
        <v>0</v>
      </c>
      <c r="E286" s="2">
        <v>0</v>
      </c>
      <c r="F286" s="2">
        <v>0</v>
      </c>
      <c r="G286" s="2">
        <v>0</v>
      </c>
      <c r="H286" s="2">
        <v>1</v>
      </c>
      <c r="I286" s="2">
        <v>1</v>
      </c>
      <c r="K286" s="2" t="str">
        <f t="shared" si="178"/>
        <v>01</v>
      </c>
      <c r="L286" s="2" t="str">
        <f t="shared" si="179"/>
        <v>11</v>
      </c>
      <c r="M286" s="2" t="str">
        <f t="shared" si="180"/>
        <v>00</v>
      </c>
      <c r="N286" s="2" t="str">
        <f t="shared" si="181"/>
        <v>00</v>
      </c>
      <c r="O286" s="2" t="str">
        <f t="shared" si="182"/>
        <v>00</v>
      </c>
      <c r="P286" s="2" t="str">
        <f t="shared" si="183"/>
        <v>00</v>
      </c>
      <c r="Q286" s="2" t="str">
        <f t="shared" si="184"/>
        <v>01</v>
      </c>
      <c r="R286" s="2" t="str">
        <f t="shared" si="185"/>
        <v>01</v>
      </c>
      <c r="T286" t="str">
        <f t="shared" si="186"/>
        <v>0111000000000101</v>
      </c>
      <c r="V286" s="9" t="str">
        <f t="shared" si="187"/>
        <v>01110000</v>
      </c>
      <c r="W286" s="9" t="str">
        <f t="shared" si="188"/>
        <v>00000101</v>
      </c>
      <c r="X286" s="9" t="str">
        <f t="shared" si="189"/>
        <v>70</v>
      </c>
      <c r="Y286" s="9" t="str">
        <f t="shared" si="190"/>
        <v>05</v>
      </c>
    </row>
    <row r="287" spans="1:36" x14ac:dyDescent="0.3">
      <c r="B287" s="2">
        <v>2</v>
      </c>
      <c r="C287" s="2">
        <v>1</v>
      </c>
      <c r="D287" s="2">
        <v>0</v>
      </c>
      <c r="E287" s="2">
        <v>0</v>
      </c>
      <c r="F287" s="2">
        <v>0</v>
      </c>
      <c r="G287" s="2">
        <v>0</v>
      </c>
      <c r="H287" s="2">
        <v>2</v>
      </c>
      <c r="I287" s="2">
        <v>2</v>
      </c>
      <c r="K287" s="2" t="str">
        <f t="shared" si="178"/>
        <v>10</v>
      </c>
      <c r="L287" s="2" t="str">
        <f t="shared" si="179"/>
        <v>01</v>
      </c>
      <c r="M287" s="2" t="str">
        <f t="shared" si="180"/>
        <v>00</v>
      </c>
      <c r="N287" s="2" t="str">
        <f t="shared" si="181"/>
        <v>00</v>
      </c>
      <c r="O287" s="2" t="str">
        <f t="shared" si="182"/>
        <v>00</v>
      </c>
      <c r="P287" s="2" t="str">
        <f t="shared" si="183"/>
        <v>00</v>
      </c>
      <c r="Q287" s="2" t="str">
        <f t="shared" si="184"/>
        <v>10</v>
      </c>
      <c r="R287" s="2" t="str">
        <f t="shared" si="185"/>
        <v>10</v>
      </c>
      <c r="T287" t="str">
        <f t="shared" si="186"/>
        <v>1001000000001010</v>
      </c>
      <c r="V287" s="9" t="str">
        <f t="shared" si="187"/>
        <v>10010000</v>
      </c>
      <c r="W287" s="9" t="str">
        <f t="shared" si="188"/>
        <v>00001010</v>
      </c>
      <c r="X287" s="9" t="str">
        <f t="shared" si="189"/>
        <v>90</v>
      </c>
      <c r="Y287" s="9" t="str">
        <f t="shared" si="190"/>
        <v>0A</v>
      </c>
    </row>
    <row r="288" spans="1:36" x14ac:dyDescent="0.3">
      <c r="B288" s="2">
        <v>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2</v>
      </c>
      <c r="K288" s="2" t="str">
        <f t="shared" si="178"/>
        <v>01</v>
      </c>
      <c r="L288" s="2" t="str">
        <f t="shared" si="179"/>
        <v>00</v>
      </c>
      <c r="M288" s="2" t="str">
        <f t="shared" si="180"/>
        <v>00</v>
      </c>
      <c r="N288" s="2" t="str">
        <f t="shared" si="181"/>
        <v>00</v>
      </c>
      <c r="O288" s="2" t="str">
        <f t="shared" si="182"/>
        <v>00</v>
      </c>
      <c r="P288" s="2" t="str">
        <f t="shared" si="183"/>
        <v>00</v>
      </c>
      <c r="Q288" s="2" t="str">
        <f t="shared" si="184"/>
        <v>00</v>
      </c>
      <c r="R288" s="2" t="str">
        <f t="shared" si="185"/>
        <v>10</v>
      </c>
      <c r="T288" t="str">
        <f t="shared" si="186"/>
        <v>0100000000000010</v>
      </c>
      <c r="V288" s="9" t="str">
        <f t="shared" si="187"/>
        <v>01000000</v>
      </c>
      <c r="W288" s="9" t="str">
        <f t="shared" si="188"/>
        <v>00000010</v>
      </c>
      <c r="X288" s="9" t="str">
        <f t="shared" si="189"/>
        <v>40</v>
      </c>
      <c r="Y288" s="9" t="str">
        <f t="shared" si="190"/>
        <v>02</v>
      </c>
    </row>
    <row r="289" spans="1:36" x14ac:dyDescent="0.3">
      <c r="B289" s="2">
        <v>2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2</v>
      </c>
      <c r="K289" s="2" t="str">
        <f t="shared" si="178"/>
        <v>10</v>
      </c>
      <c r="L289" s="2" t="str">
        <f t="shared" si="179"/>
        <v>00</v>
      </c>
      <c r="M289" s="2" t="str">
        <f t="shared" si="180"/>
        <v>00</v>
      </c>
      <c r="N289" s="2" t="str">
        <f t="shared" si="181"/>
        <v>00</v>
      </c>
      <c r="O289" s="2" t="str">
        <f t="shared" si="182"/>
        <v>00</v>
      </c>
      <c r="P289" s="2" t="str">
        <f t="shared" si="183"/>
        <v>00</v>
      </c>
      <c r="Q289" s="2" t="str">
        <f t="shared" si="184"/>
        <v>00</v>
      </c>
      <c r="R289" s="2" t="str">
        <f t="shared" si="185"/>
        <v>10</v>
      </c>
      <c r="T289" t="str">
        <f t="shared" si="186"/>
        <v>1000000000000010</v>
      </c>
      <c r="V289" s="10" t="str">
        <f t="shared" si="187"/>
        <v>10000000</v>
      </c>
      <c r="W289" s="10" t="str">
        <f t="shared" si="188"/>
        <v>00000010</v>
      </c>
      <c r="X289" s="10" t="str">
        <f t="shared" si="189"/>
        <v>80</v>
      </c>
      <c r="Y289" s="10" t="str">
        <f t="shared" si="190"/>
        <v>02</v>
      </c>
    </row>
    <row r="290" spans="1:36" x14ac:dyDescent="0.3">
      <c r="A290" t="s">
        <v>22</v>
      </c>
      <c r="AJ290" t="str">
        <f>";"&amp;PROPER(A290)</f>
        <v>;Butterfly 2</v>
      </c>
    </row>
    <row r="291" spans="1:36" x14ac:dyDescent="0.3">
      <c r="B291" s="2">
        <v>0</v>
      </c>
      <c r="C291" s="2">
        <v>3</v>
      </c>
      <c r="D291" s="2">
        <v>0</v>
      </c>
      <c r="E291" s="2">
        <v>0</v>
      </c>
      <c r="F291" s="2">
        <v>0</v>
      </c>
      <c r="G291" s="2">
        <v>0</v>
      </c>
      <c r="H291" s="2">
        <v>1</v>
      </c>
      <c r="I291" s="2">
        <v>0</v>
      </c>
      <c r="K291" s="2" t="str">
        <f t="shared" ref="K291:K306" si="192">DEC2BIN(B291,2)</f>
        <v>00</v>
      </c>
      <c r="L291" s="2" t="str">
        <f t="shared" ref="L291:L306" si="193">DEC2BIN(C291,2)</f>
        <v>11</v>
      </c>
      <c r="M291" s="2" t="str">
        <f t="shared" ref="M291:M306" si="194">DEC2BIN(D291,2)</f>
        <v>00</v>
      </c>
      <c r="N291" s="2" t="str">
        <f t="shared" ref="N291:N306" si="195">DEC2BIN(E291,2)</f>
        <v>00</v>
      </c>
      <c r="O291" s="2" t="str">
        <f t="shared" ref="O291:O306" si="196">DEC2BIN(F291,2)</f>
        <v>00</v>
      </c>
      <c r="P291" s="2" t="str">
        <f t="shared" ref="P291:P306" si="197">DEC2BIN(G291,2)</f>
        <v>00</v>
      </c>
      <c r="Q291" s="2" t="str">
        <f t="shared" ref="Q291:Q306" si="198">DEC2BIN(H291,2)</f>
        <v>01</v>
      </c>
      <c r="R291" s="2" t="str">
        <f t="shared" ref="R291:R306" si="199">DEC2BIN(I291,2)</f>
        <v>00</v>
      </c>
      <c r="T291" t="str">
        <f t="shared" ref="T291:T306" si="200">_xlfn.CONCAT(K291:R291)</f>
        <v>0011000000000100</v>
      </c>
      <c r="V291" s="8" t="str">
        <f>LEFT(T291,8)</f>
        <v>00110000</v>
      </c>
      <c r="W291" s="8" t="str">
        <f>RIGHT(T291,8)</f>
        <v>00000100</v>
      </c>
      <c r="X291" s="8" t="str">
        <f>BIN2HEX(V291,2)</f>
        <v>30</v>
      </c>
      <c r="Y291" s="8" t="str">
        <f>BIN2HEX(W291,2)</f>
        <v>04</v>
      </c>
      <c r="AA291" t="str" cm="1">
        <f t="array" ref="AA291:AH291">TRANSPOSE(X291:X298)</f>
        <v>30</v>
      </c>
      <c r="AB291" t="str">
        <v>30</v>
      </c>
      <c r="AC291" t="str">
        <v>10</v>
      </c>
      <c r="AD291" t="str">
        <v>10</v>
      </c>
      <c r="AE291" t="str">
        <v>1C</v>
      </c>
      <c r="AF291" t="str">
        <v>24</v>
      </c>
      <c r="AG291" t="str">
        <v>03</v>
      </c>
      <c r="AH291" t="str">
        <v>01</v>
      </c>
      <c r="AJ291" t="str">
        <f>LOWER("!byte $"&amp;AA291&amp;", $"&amp;AB291&amp;", $"&amp;AC291&amp;", $"&amp;AD291&amp;", $"&amp;AE291&amp;", $"&amp;AF291&amp;", $"&amp;AG291&amp;", $"&amp;AH291)</f>
        <v>!byte $30, $30, $10, $10, $1c, $24, $03, $01</v>
      </c>
    </row>
    <row r="292" spans="1:36" x14ac:dyDescent="0.3">
      <c r="B292" s="2">
        <v>0</v>
      </c>
      <c r="C292" s="2">
        <v>3</v>
      </c>
      <c r="D292" s="2">
        <v>0</v>
      </c>
      <c r="E292" s="2">
        <v>0</v>
      </c>
      <c r="F292" s="2">
        <v>0</v>
      </c>
      <c r="G292" s="2">
        <v>0</v>
      </c>
      <c r="H292" s="2">
        <v>1</v>
      </c>
      <c r="I292" s="2">
        <v>0</v>
      </c>
      <c r="K292" s="2" t="str">
        <f t="shared" si="192"/>
        <v>00</v>
      </c>
      <c r="L292" s="2" t="str">
        <f t="shared" si="193"/>
        <v>11</v>
      </c>
      <c r="M292" s="2" t="str">
        <f t="shared" si="194"/>
        <v>00</v>
      </c>
      <c r="N292" s="2" t="str">
        <f t="shared" si="195"/>
        <v>00</v>
      </c>
      <c r="O292" s="2" t="str">
        <f t="shared" si="196"/>
        <v>00</v>
      </c>
      <c r="P292" s="2" t="str">
        <f t="shared" si="197"/>
        <v>00</v>
      </c>
      <c r="Q292" s="2" t="str">
        <f t="shared" si="198"/>
        <v>01</v>
      </c>
      <c r="R292" s="2" t="str">
        <f t="shared" si="199"/>
        <v>00</v>
      </c>
      <c r="T292" t="str">
        <f t="shared" si="200"/>
        <v>0011000000000100</v>
      </c>
      <c r="V292" s="9" t="str">
        <f t="shared" ref="V292:V306" si="201">LEFT(T292,8)</f>
        <v>00110000</v>
      </c>
      <c r="W292" s="9" t="str">
        <f t="shared" ref="W292:W306" si="202">RIGHT(T292,8)</f>
        <v>00000100</v>
      </c>
      <c r="X292" s="9" t="str">
        <f t="shared" ref="X292:X306" si="203">BIN2HEX(V292,2)</f>
        <v>30</v>
      </c>
      <c r="Y292" s="9" t="str">
        <f t="shared" ref="Y292:Y306" si="204">BIN2HEX(W292,2)</f>
        <v>04</v>
      </c>
      <c r="AA292" t="str" cm="1">
        <f t="array" ref="AA292:AH292">TRANSPOSE(X299:X306)</f>
        <v>2B</v>
      </c>
      <c r="AB292" t="str">
        <v>15</v>
      </c>
      <c r="AC292" t="str">
        <v>3C</v>
      </c>
      <c r="AD292" t="str">
        <v>34</v>
      </c>
      <c r="AE292" t="str">
        <v>30</v>
      </c>
      <c r="AF292" t="str">
        <v>10</v>
      </c>
      <c r="AG292" t="str">
        <v>10</v>
      </c>
      <c r="AH292" t="str">
        <v>20</v>
      </c>
      <c r="AJ292" t="str">
        <f t="shared" ref="AJ292:AJ294" si="205">LOWER("!byte $"&amp;AA292&amp;", $"&amp;AB292&amp;", $"&amp;AC292&amp;", $"&amp;AD292&amp;", $"&amp;AE292&amp;", $"&amp;AF292&amp;", $"&amp;AG292&amp;", $"&amp;AH292)</f>
        <v>!byte $2b, $15, $3c, $34, $30, $10, $10, $20</v>
      </c>
    </row>
    <row r="293" spans="1:36" x14ac:dyDescent="0.3">
      <c r="B293" s="2">
        <v>0</v>
      </c>
      <c r="C293" s="2">
        <v>1</v>
      </c>
      <c r="D293" s="2">
        <v>0</v>
      </c>
      <c r="E293" s="2">
        <v>0</v>
      </c>
      <c r="F293" s="2">
        <v>0</v>
      </c>
      <c r="G293" s="2">
        <v>0</v>
      </c>
      <c r="H293" s="2">
        <v>2</v>
      </c>
      <c r="I293" s="2">
        <v>0</v>
      </c>
      <c r="K293" s="2" t="str">
        <f t="shared" si="192"/>
        <v>00</v>
      </c>
      <c r="L293" s="2" t="str">
        <f t="shared" si="193"/>
        <v>01</v>
      </c>
      <c r="M293" s="2" t="str">
        <f t="shared" si="194"/>
        <v>00</v>
      </c>
      <c r="N293" s="2" t="str">
        <f t="shared" si="195"/>
        <v>00</v>
      </c>
      <c r="O293" s="2" t="str">
        <f t="shared" si="196"/>
        <v>00</v>
      </c>
      <c r="P293" s="2" t="str">
        <f t="shared" si="197"/>
        <v>00</v>
      </c>
      <c r="Q293" s="2" t="str">
        <f t="shared" si="198"/>
        <v>10</v>
      </c>
      <c r="R293" s="2" t="str">
        <f t="shared" si="199"/>
        <v>00</v>
      </c>
      <c r="T293" t="str">
        <f t="shared" si="200"/>
        <v>0001000000001000</v>
      </c>
      <c r="V293" s="9" t="str">
        <f t="shared" si="201"/>
        <v>00010000</v>
      </c>
      <c r="W293" s="9" t="str">
        <f t="shared" si="202"/>
        <v>00001000</v>
      </c>
      <c r="X293" s="9" t="str">
        <f t="shared" si="203"/>
        <v>10</v>
      </c>
      <c r="Y293" s="9" t="str">
        <f t="shared" si="204"/>
        <v>08</v>
      </c>
      <c r="AA293" t="str" cm="1">
        <f t="array" ref="AA293:AH293">TRANSPOSE(Y291:Y298)</f>
        <v>04</v>
      </c>
      <c r="AB293" t="str">
        <v>04</v>
      </c>
      <c r="AC293" t="str">
        <v>08</v>
      </c>
      <c r="AD293" t="str">
        <v>08</v>
      </c>
      <c r="AE293" t="str">
        <v>14</v>
      </c>
      <c r="AF293" t="str">
        <v>28</v>
      </c>
      <c r="AG293" t="str">
        <v>40</v>
      </c>
      <c r="AH293" t="str">
        <v>80</v>
      </c>
      <c r="AJ293" t="str">
        <f t="shared" si="205"/>
        <v>!byte $04, $04, $08, $08, $14, $28, $40, $80</v>
      </c>
    </row>
    <row r="294" spans="1:36" x14ac:dyDescent="0.3">
      <c r="B294" s="2">
        <v>0</v>
      </c>
      <c r="C294" s="2">
        <v>1</v>
      </c>
      <c r="D294" s="2">
        <v>0</v>
      </c>
      <c r="E294" s="2">
        <v>0</v>
      </c>
      <c r="F294" s="2">
        <v>0</v>
      </c>
      <c r="G294" s="2">
        <v>0</v>
      </c>
      <c r="H294" s="2">
        <v>2</v>
      </c>
      <c r="I294" s="2">
        <v>0</v>
      </c>
      <c r="K294" s="2" t="str">
        <f t="shared" si="192"/>
        <v>00</v>
      </c>
      <c r="L294" s="2" t="str">
        <f t="shared" si="193"/>
        <v>01</v>
      </c>
      <c r="M294" s="2" t="str">
        <f t="shared" si="194"/>
        <v>00</v>
      </c>
      <c r="N294" s="2" t="str">
        <f t="shared" si="195"/>
        <v>00</v>
      </c>
      <c r="O294" s="2" t="str">
        <f t="shared" si="196"/>
        <v>00</v>
      </c>
      <c r="P294" s="2" t="str">
        <f t="shared" si="197"/>
        <v>00</v>
      </c>
      <c r="Q294" s="2" t="str">
        <f t="shared" si="198"/>
        <v>10</v>
      </c>
      <c r="R294" s="2" t="str">
        <f t="shared" si="199"/>
        <v>00</v>
      </c>
      <c r="T294" t="str">
        <f t="shared" si="200"/>
        <v>0001000000001000</v>
      </c>
      <c r="V294" s="9" t="str">
        <f t="shared" si="201"/>
        <v>00010000</v>
      </c>
      <c r="W294" s="9" t="str">
        <f t="shared" si="202"/>
        <v>00001000</v>
      </c>
      <c r="X294" s="9" t="str">
        <f t="shared" si="203"/>
        <v>10</v>
      </c>
      <c r="Y294" s="9" t="str">
        <f t="shared" si="204"/>
        <v>08</v>
      </c>
      <c r="AA294" t="str" cm="1">
        <f t="array" ref="AA294:AH294">TRANSPOSE(Y299:Y306)</f>
        <v>68</v>
      </c>
      <c r="AB294" t="str">
        <v>94</v>
      </c>
      <c r="AC294" t="str">
        <v>1C</v>
      </c>
      <c r="AD294" t="str">
        <v>2C</v>
      </c>
      <c r="AE294" t="str">
        <v>04</v>
      </c>
      <c r="AF294" t="str">
        <v>08</v>
      </c>
      <c r="AG294" t="str">
        <v>04</v>
      </c>
      <c r="AH294" t="str">
        <v>08</v>
      </c>
      <c r="AJ294" t="str">
        <f t="shared" si="205"/>
        <v>!byte $68, $94, $1c, $2c, $04, $08, $04, $08</v>
      </c>
    </row>
    <row r="295" spans="1:36" x14ac:dyDescent="0.3">
      <c r="B295" s="2">
        <v>0</v>
      </c>
      <c r="C295" s="2">
        <v>1</v>
      </c>
      <c r="D295" s="2">
        <v>3</v>
      </c>
      <c r="E295" s="2">
        <v>0</v>
      </c>
      <c r="F295" s="2">
        <v>0</v>
      </c>
      <c r="G295" s="2">
        <v>1</v>
      </c>
      <c r="H295" s="2">
        <v>1</v>
      </c>
      <c r="I295" s="2">
        <v>0</v>
      </c>
      <c r="K295" s="2" t="str">
        <f t="shared" si="192"/>
        <v>00</v>
      </c>
      <c r="L295" s="2" t="str">
        <f t="shared" si="193"/>
        <v>01</v>
      </c>
      <c r="M295" s="2" t="str">
        <f t="shared" si="194"/>
        <v>11</v>
      </c>
      <c r="N295" s="2" t="str">
        <f t="shared" si="195"/>
        <v>00</v>
      </c>
      <c r="O295" s="2" t="str">
        <f t="shared" si="196"/>
        <v>00</v>
      </c>
      <c r="P295" s="2" t="str">
        <f t="shared" si="197"/>
        <v>01</v>
      </c>
      <c r="Q295" s="2" t="str">
        <f t="shared" si="198"/>
        <v>01</v>
      </c>
      <c r="R295" s="2" t="str">
        <f t="shared" si="199"/>
        <v>00</v>
      </c>
      <c r="T295" t="str">
        <f t="shared" si="200"/>
        <v>0001110000010100</v>
      </c>
      <c r="V295" s="9" t="str">
        <f t="shared" si="201"/>
        <v>00011100</v>
      </c>
      <c r="W295" s="9" t="str">
        <f t="shared" si="202"/>
        <v>00010100</v>
      </c>
      <c r="X295" s="9" t="str">
        <f t="shared" si="203"/>
        <v>1C</v>
      </c>
      <c r="Y295" s="9" t="str">
        <f t="shared" si="204"/>
        <v>14</v>
      </c>
    </row>
    <row r="296" spans="1:36" x14ac:dyDescent="0.3">
      <c r="B296" s="2">
        <v>0</v>
      </c>
      <c r="C296" s="2">
        <v>2</v>
      </c>
      <c r="D296" s="2">
        <v>1</v>
      </c>
      <c r="E296" s="2">
        <v>0</v>
      </c>
      <c r="F296" s="2">
        <v>0</v>
      </c>
      <c r="G296" s="2">
        <v>2</v>
      </c>
      <c r="H296" s="2">
        <v>2</v>
      </c>
      <c r="I296" s="2">
        <v>0</v>
      </c>
      <c r="K296" s="2" t="str">
        <f t="shared" si="192"/>
        <v>00</v>
      </c>
      <c r="L296" s="2" t="str">
        <f t="shared" si="193"/>
        <v>10</v>
      </c>
      <c r="M296" s="2" t="str">
        <f t="shared" si="194"/>
        <v>01</v>
      </c>
      <c r="N296" s="2" t="str">
        <f t="shared" si="195"/>
        <v>00</v>
      </c>
      <c r="O296" s="2" t="str">
        <f t="shared" si="196"/>
        <v>00</v>
      </c>
      <c r="P296" s="2" t="str">
        <f t="shared" si="197"/>
        <v>10</v>
      </c>
      <c r="Q296" s="2" t="str">
        <f t="shared" si="198"/>
        <v>10</v>
      </c>
      <c r="R296" s="2" t="str">
        <f t="shared" si="199"/>
        <v>00</v>
      </c>
      <c r="T296" t="str">
        <f t="shared" si="200"/>
        <v>0010010000101000</v>
      </c>
      <c r="V296" s="9" t="str">
        <f t="shared" si="201"/>
        <v>00100100</v>
      </c>
      <c r="W296" s="9" t="str">
        <f t="shared" si="202"/>
        <v>00101000</v>
      </c>
      <c r="X296" s="9" t="str">
        <f t="shared" si="203"/>
        <v>24</v>
      </c>
      <c r="Y296" s="9" t="str">
        <f t="shared" si="204"/>
        <v>28</v>
      </c>
    </row>
    <row r="297" spans="1:36" x14ac:dyDescent="0.3">
      <c r="B297" s="2">
        <v>0</v>
      </c>
      <c r="C297" s="2">
        <v>0</v>
      </c>
      <c r="D297" s="2">
        <v>0</v>
      </c>
      <c r="E297" s="2">
        <v>3</v>
      </c>
      <c r="F297" s="2">
        <v>1</v>
      </c>
      <c r="G297" s="2">
        <v>0</v>
      </c>
      <c r="H297" s="2">
        <v>0</v>
      </c>
      <c r="I297" s="2">
        <v>0</v>
      </c>
      <c r="K297" s="2" t="str">
        <f t="shared" si="192"/>
        <v>00</v>
      </c>
      <c r="L297" s="2" t="str">
        <f t="shared" si="193"/>
        <v>00</v>
      </c>
      <c r="M297" s="2" t="str">
        <f t="shared" si="194"/>
        <v>00</v>
      </c>
      <c r="N297" s="2" t="str">
        <f t="shared" si="195"/>
        <v>11</v>
      </c>
      <c r="O297" s="2" t="str">
        <f t="shared" si="196"/>
        <v>01</v>
      </c>
      <c r="P297" s="2" t="str">
        <f t="shared" si="197"/>
        <v>00</v>
      </c>
      <c r="Q297" s="2" t="str">
        <f t="shared" si="198"/>
        <v>00</v>
      </c>
      <c r="R297" s="2" t="str">
        <f t="shared" si="199"/>
        <v>00</v>
      </c>
      <c r="T297" t="str">
        <f t="shared" si="200"/>
        <v>0000001101000000</v>
      </c>
      <c r="V297" s="9" t="str">
        <f t="shared" si="201"/>
        <v>00000011</v>
      </c>
      <c r="W297" s="9" t="str">
        <f t="shared" si="202"/>
        <v>01000000</v>
      </c>
      <c r="X297" s="9" t="str">
        <f t="shared" si="203"/>
        <v>03</v>
      </c>
      <c r="Y297" s="9" t="str">
        <f t="shared" si="204"/>
        <v>40</v>
      </c>
    </row>
    <row r="298" spans="1:36" x14ac:dyDescent="0.3">
      <c r="B298" s="2">
        <v>0</v>
      </c>
      <c r="C298" s="2">
        <v>0</v>
      </c>
      <c r="D298" s="2">
        <v>0</v>
      </c>
      <c r="E298" s="2">
        <v>1</v>
      </c>
      <c r="F298" s="2">
        <v>2</v>
      </c>
      <c r="G298" s="2">
        <v>0</v>
      </c>
      <c r="H298" s="2">
        <v>0</v>
      </c>
      <c r="I298" s="2">
        <v>0</v>
      </c>
      <c r="K298" s="2" t="str">
        <f t="shared" si="192"/>
        <v>00</v>
      </c>
      <c r="L298" s="2" t="str">
        <f t="shared" si="193"/>
        <v>00</v>
      </c>
      <c r="M298" s="2" t="str">
        <f t="shared" si="194"/>
        <v>00</v>
      </c>
      <c r="N298" s="2" t="str">
        <f t="shared" si="195"/>
        <v>01</v>
      </c>
      <c r="O298" s="2" t="str">
        <f t="shared" si="196"/>
        <v>10</v>
      </c>
      <c r="P298" s="2" t="str">
        <f t="shared" si="197"/>
        <v>00</v>
      </c>
      <c r="Q298" s="2" t="str">
        <f t="shared" si="198"/>
        <v>00</v>
      </c>
      <c r="R298" s="2" t="str">
        <f t="shared" si="199"/>
        <v>00</v>
      </c>
      <c r="T298" t="str">
        <f t="shared" si="200"/>
        <v>0000000110000000</v>
      </c>
      <c r="V298" s="10" t="str">
        <f t="shared" si="201"/>
        <v>00000001</v>
      </c>
      <c r="W298" s="10" t="str">
        <f t="shared" si="202"/>
        <v>10000000</v>
      </c>
      <c r="X298" s="10" t="str">
        <f t="shared" si="203"/>
        <v>01</v>
      </c>
      <c r="Y298" s="10" t="str">
        <f t="shared" si="204"/>
        <v>80</v>
      </c>
    </row>
    <row r="299" spans="1:36" x14ac:dyDescent="0.3">
      <c r="B299" s="2">
        <v>0</v>
      </c>
      <c r="C299" s="2">
        <v>2</v>
      </c>
      <c r="D299" s="2">
        <v>2</v>
      </c>
      <c r="E299" s="2">
        <v>3</v>
      </c>
      <c r="F299" s="2">
        <v>1</v>
      </c>
      <c r="G299" s="2">
        <v>2</v>
      </c>
      <c r="H299" s="2">
        <v>2</v>
      </c>
      <c r="I299" s="2">
        <v>0</v>
      </c>
      <c r="K299" s="2" t="str">
        <f t="shared" si="192"/>
        <v>00</v>
      </c>
      <c r="L299" s="2" t="str">
        <f t="shared" si="193"/>
        <v>10</v>
      </c>
      <c r="M299" s="2" t="str">
        <f t="shared" si="194"/>
        <v>10</v>
      </c>
      <c r="N299" s="2" t="str">
        <f t="shared" si="195"/>
        <v>11</v>
      </c>
      <c r="O299" s="2" t="str">
        <f t="shared" si="196"/>
        <v>01</v>
      </c>
      <c r="P299" s="2" t="str">
        <f t="shared" si="197"/>
        <v>10</v>
      </c>
      <c r="Q299" s="2" t="str">
        <f t="shared" si="198"/>
        <v>10</v>
      </c>
      <c r="R299" s="2" t="str">
        <f t="shared" si="199"/>
        <v>00</v>
      </c>
      <c r="T299" t="str">
        <f t="shared" si="200"/>
        <v>0010101101101000</v>
      </c>
      <c r="V299" s="8" t="str">
        <f t="shared" si="201"/>
        <v>00101011</v>
      </c>
      <c r="W299" s="8" t="str">
        <f t="shared" si="202"/>
        <v>01101000</v>
      </c>
      <c r="X299" s="8" t="str">
        <f t="shared" si="203"/>
        <v>2B</v>
      </c>
      <c r="Y299" s="8" t="str">
        <f t="shared" si="204"/>
        <v>68</v>
      </c>
    </row>
    <row r="300" spans="1:36" x14ac:dyDescent="0.3">
      <c r="B300" s="2">
        <v>0</v>
      </c>
      <c r="C300" s="2">
        <v>1</v>
      </c>
      <c r="D300" s="2">
        <v>1</v>
      </c>
      <c r="E300" s="2">
        <v>1</v>
      </c>
      <c r="F300" s="2">
        <v>2</v>
      </c>
      <c r="G300" s="2">
        <v>1</v>
      </c>
      <c r="H300" s="2">
        <v>1</v>
      </c>
      <c r="I300" s="2">
        <v>0</v>
      </c>
      <c r="K300" s="2" t="str">
        <f t="shared" si="192"/>
        <v>00</v>
      </c>
      <c r="L300" s="2" t="str">
        <f t="shared" si="193"/>
        <v>01</v>
      </c>
      <c r="M300" s="2" t="str">
        <f t="shared" si="194"/>
        <v>01</v>
      </c>
      <c r="N300" s="2" t="str">
        <f t="shared" si="195"/>
        <v>01</v>
      </c>
      <c r="O300" s="2" t="str">
        <f t="shared" si="196"/>
        <v>10</v>
      </c>
      <c r="P300" s="2" t="str">
        <f t="shared" si="197"/>
        <v>01</v>
      </c>
      <c r="Q300" s="2" t="str">
        <f t="shared" si="198"/>
        <v>01</v>
      </c>
      <c r="R300" s="2" t="str">
        <f t="shared" si="199"/>
        <v>00</v>
      </c>
      <c r="T300" t="str">
        <f t="shared" si="200"/>
        <v>0001010110010100</v>
      </c>
      <c r="V300" s="9" t="str">
        <f t="shared" si="201"/>
        <v>00010101</v>
      </c>
      <c r="W300" s="9" t="str">
        <f t="shared" si="202"/>
        <v>10010100</v>
      </c>
      <c r="X300" s="9" t="str">
        <f t="shared" si="203"/>
        <v>15</v>
      </c>
      <c r="Y300" s="9" t="str">
        <f t="shared" si="204"/>
        <v>94</v>
      </c>
    </row>
    <row r="301" spans="1:36" x14ac:dyDescent="0.3">
      <c r="B301" s="2">
        <v>0</v>
      </c>
      <c r="C301" s="2">
        <v>3</v>
      </c>
      <c r="D301" s="2">
        <v>3</v>
      </c>
      <c r="E301" s="2">
        <v>0</v>
      </c>
      <c r="F301" s="2">
        <v>0</v>
      </c>
      <c r="G301" s="2">
        <v>1</v>
      </c>
      <c r="H301" s="2">
        <v>3</v>
      </c>
      <c r="I301" s="2">
        <v>0</v>
      </c>
      <c r="K301" s="2" t="str">
        <f t="shared" si="192"/>
        <v>00</v>
      </c>
      <c r="L301" s="2" t="str">
        <f t="shared" si="193"/>
        <v>11</v>
      </c>
      <c r="M301" s="2" t="str">
        <f t="shared" si="194"/>
        <v>11</v>
      </c>
      <c r="N301" s="2" t="str">
        <f t="shared" si="195"/>
        <v>00</v>
      </c>
      <c r="O301" s="2" t="str">
        <f t="shared" si="196"/>
        <v>00</v>
      </c>
      <c r="P301" s="2" t="str">
        <f t="shared" si="197"/>
        <v>01</v>
      </c>
      <c r="Q301" s="2" t="str">
        <f t="shared" si="198"/>
        <v>11</v>
      </c>
      <c r="R301" s="2" t="str">
        <f t="shared" si="199"/>
        <v>00</v>
      </c>
      <c r="T301" t="str">
        <f t="shared" si="200"/>
        <v>0011110000011100</v>
      </c>
      <c r="V301" s="9" t="str">
        <f t="shared" si="201"/>
        <v>00111100</v>
      </c>
      <c r="W301" s="9" t="str">
        <f t="shared" si="202"/>
        <v>00011100</v>
      </c>
      <c r="X301" s="9" t="str">
        <f t="shared" si="203"/>
        <v>3C</v>
      </c>
      <c r="Y301" s="9" t="str">
        <f t="shared" si="204"/>
        <v>1C</v>
      </c>
    </row>
    <row r="302" spans="1:36" x14ac:dyDescent="0.3">
      <c r="B302" s="2">
        <v>0</v>
      </c>
      <c r="C302" s="2">
        <v>3</v>
      </c>
      <c r="D302" s="2">
        <v>1</v>
      </c>
      <c r="E302" s="2">
        <v>0</v>
      </c>
      <c r="F302" s="2">
        <v>0</v>
      </c>
      <c r="G302" s="2">
        <v>2</v>
      </c>
      <c r="H302" s="2">
        <v>3</v>
      </c>
      <c r="I302" s="2">
        <v>0</v>
      </c>
      <c r="K302" s="2" t="str">
        <f t="shared" si="192"/>
        <v>00</v>
      </c>
      <c r="L302" s="2" t="str">
        <f t="shared" si="193"/>
        <v>11</v>
      </c>
      <c r="M302" s="2" t="str">
        <f t="shared" si="194"/>
        <v>01</v>
      </c>
      <c r="N302" s="2" t="str">
        <f t="shared" si="195"/>
        <v>00</v>
      </c>
      <c r="O302" s="2" t="str">
        <f t="shared" si="196"/>
        <v>00</v>
      </c>
      <c r="P302" s="2" t="str">
        <f t="shared" si="197"/>
        <v>10</v>
      </c>
      <c r="Q302" s="2" t="str">
        <f t="shared" si="198"/>
        <v>11</v>
      </c>
      <c r="R302" s="2" t="str">
        <f t="shared" si="199"/>
        <v>00</v>
      </c>
      <c r="T302" t="str">
        <f t="shared" si="200"/>
        <v>0011010000101100</v>
      </c>
      <c r="V302" s="9" t="str">
        <f t="shared" si="201"/>
        <v>00110100</v>
      </c>
      <c r="W302" s="9" t="str">
        <f t="shared" si="202"/>
        <v>00101100</v>
      </c>
      <c r="X302" s="9" t="str">
        <f t="shared" si="203"/>
        <v>34</v>
      </c>
      <c r="Y302" s="9" t="str">
        <f t="shared" si="204"/>
        <v>2C</v>
      </c>
    </row>
    <row r="303" spans="1:36" x14ac:dyDescent="0.3">
      <c r="B303" s="2">
        <v>0</v>
      </c>
      <c r="C303" s="2">
        <v>3</v>
      </c>
      <c r="D303" s="2">
        <v>0</v>
      </c>
      <c r="E303" s="2">
        <v>0</v>
      </c>
      <c r="F303" s="2">
        <v>0</v>
      </c>
      <c r="G303" s="2">
        <v>0</v>
      </c>
      <c r="H303" s="2">
        <v>1</v>
      </c>
      <c r="I303" s="2">
        <v>0</v>
      </c>
      <c r="K303" s="2" t="str">
        <f t="shared" si="192"/>
        <v>00</v>
      </c>
      <c r="L303" s="2" t="str">
        <f t="shared" si="193"/>
        <v>11</v>
      </c>
      <c r="M303" s="2" t="str">
        <f t="shared" si="194"/>
        <v>00</v>
      </c>
      <c r="N303" s="2" t="str">
        <f t="shared" si="195"/>
        <v>00</v>
      </c>
      <c r="O303" s="2" t="str">
        <f t="shared" si="196"/>
        <v>00</v>
      </c>
      <c r="P303" s="2" t="str">
        <f t="shared" si="197"/>
        <v>00</v>
      </c>
      <c r="Q303" s="2" t="str">
        <f t="shared" si="198"/>
        <v>01</v>
      </c>
      <c r="R303" s="2" t="str">
        <f t="shared" si="199"/>
        <v>00</v>
      </c>
      <c r="T303" t="str">
        <f t="shared" si="200"/>
        <v>0011000000000100</v>
      </c>
      <c r="V303" s="9" t="str">
        <f t="shared" si="201"/>
        <v>00110000</v>
      </c>
      <c r="W303" s="9" t="str">
        <f t="shared" si="202"/>
        <v>00000100</v>
      </c>
      <c r="X303" s="9" t="str">
        <f t="shared" si="203"/>
        <v>30</v>
      </c>
      <c r="Y303" s="9" t="str">
        <f t="shared" si="204"/>
        <v>04</v>
      </c>
    </row>
    <row r="304" spans="1:36" x14ac:dyDescent="0.3">
      <c r="B304" s="2">
        <v>0</v>
      </c>
      <c r="C304" s="2">
        <v>1</v>
      </c>
      <c r="D304" s="2">
        <v>0</v>
      </c>
      <c r="E304" s="2">
        <v>0</v>
      </c>
      <c r="F304" s="2">
        <v>0</v>
      </c>
      <c r="G304" s="2">
        <v>0</v>
      </c>
      <c r="H304" s="2">
        <v>2</v>
      </c>
      <c r="I304" s="2">
        <v>0</v>
      </c>
      <c r="K304" s="2" t="str">
        <f t="shared" si="192"/>
        <v>00</v>
      </c>
      <c r="L304" s="2" t="str">
        <f t="shared" si="193"/>
        <v>01</v>
      </c>
      <c r="M304" s="2" t="str">
        <f t="shared" si="194"/>
        <v>00</v>
      </c>
      <c r="N304" s="2" t="str">
        <f t="shared" si="195"/>
        <v>00</v>
      </c>
      <c r="O304" s="2" t="str">
        <f t="shared" si="196"/>
        <v>00</v>
      </c>
      <c r="P304" s="2" t="str">
        <f t="shared" si="197"/>
        <v>00</v>
      </c>
      <c r="Q304" s="2" t="str">
        <f t="shared" si="198"/>
        <v>10</v>
      </c>
      <c r="R304" s="2" t="str">
        <f t="shared" si="199"/>
        <v>00</v>
      </c>
      <c r="T304" t="str">
        <f t="shared" si="200"/>
        <v>0001000000001000</v>
      </c>
      <c r="V304" s="9" t="str">
        <f t="shared" si="201"/>
        <v>00010000</v>
      </c>
      <c r="W304" s="9" t="str">
        <f t="shared" si="202"/>
        <v>00001000</v>
      </c>
      <c r="X304" s="9" t="str">
        <f t="shared" si="203"/>
        <v>10</v>
      </c>
      <c r="Y304" s="9" t="str">
        <f t="shared" si="204"/>
        <v>08</v>
      </c>
    </row>
    <row r="305" spans="1:36" x14ac:dyDescent="0.3">
      <c r="B305" s="2">
        <v>0</v>
      </c>
      <c r="C305" s="2">
        <v>1</v>
      </c>
      <c r="D305" s="2">
        <v>0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K305" s="2" t="str">
        <f t="shared" si="192"/>
        <v>00</v>
      </c>
      <c r="L305" s="2" t="str">
        <f t="shared" si="193"/>
        <v>01</v>
      </c>
      <c r="M305" s="2" t="str">
        <f t="shared" si="194"/>
        <v>00</v>
      </c>
      <c r="N305" s="2" t="str">
        <f t="shared" si="195"/>
        <v>00</v>
      </c>
      <c r="O305" s="2" t="str">
        <f t="shared" si="196"/>
        <v>00</v>
      </c>
      <c r="P305" s="2" t="str">
        <f t="shared" si="197"/>
        <v>00</v>
      </c>
      <c r="Q305" s="2" t="str">
        <f t="shared" si="198"/>
        <v>01</v>
      </c>
      <c r="R305" s="2" t="str">
        <f t="shared" si="199"/>
        <v>00</v>
      </c>
      <c r="T305" t="str">
        <f t="shared" si="200"/>
        <v>0001000000000100</v>
      </c>
      <c r="V305" s="9" t="str">
        <f t="shared" si="201"/>
        <v>00010000</v>
      </c>
      <c r="W305" s="9" t="str">
        <f t="shared" si="202"/>
        <v>00000100</v>
      </c>
      <c r="X305" s="9" t="str">
        <f t="shared" si="203"/>
        <v>10</v>
      </c>
      <c r="Y305" s="9" t="str">
        <f t="shared" si="204"/>
        <v>04</v>
      </c>
    </row>
    <row r="306" spans="1:36" x14ac:dyDescent="0.3">
      <c r="B306" s="2">
        <v>0</v>
      </c>
      <c r="C306" s="2">
        <v>2</v>
      </c>
      <c r="D306" s="2">
        <v>0</v>
      </c>
      <c r="E306" s="2">
        <v>0</v>
      </c>
      <c r="F306" s="2">
        <v>0</v>
      </c>
      <c r="G306" s="2">
        <v>0</v>
      </c>
      <c r="H306" s="2">
        <v>2</v>
      </c>
      <c r="I306" s="2">
        <v>0</v>
      </c>
      <c r="K306" s="2" t="str">
        <f t="shared" si="192"/>
        <v>00</v>
      </c>
      <c r="L306" s="2" t="str">
        <f t="shared" si="193"/>
        <v>10</v>
      </c>
      <c r="M306" s="2" t="str">
        <f t="shared" si="194"/>
        <v>00</v>
      </c>
      <c r="N306" s="2" t="str">
        <f t="shared" si="195"/>
        <v>00</v>
      </c>
      <c r="O306" s="2" t="str">
        <f t="shared" si="196"/>
        <v>00</v>
      </c>
      <c r="P306" s="2" t="str">
        <f t="shared" si="197"/>
        <v>00</v>
      </c>
      <c r="Q306" s="2" t="str">
        <f t="shared" si="198"/>
        <v>10</v>
      </c>
      <c r="R306" s="2" t="str">
        <f t="shared" si="199"/>
        <v>00</v>
      </c>
      <c r="T306" t="str">
        <f t="shared" si="200"/>
        <v>0010000000001000</v>
      </c>
      <c r="V306" s="10" t="str">
        <f t="shared" si="201"/>
        <v>00100000</v>
      </c>
      <c r="W306" s="10" t="str">
        <f t="shared" si="202"/>
        <v>00001000</v>
      </c>
      <c r="X306" s="10" t="str">
        <f t="shared" si="203"/>
        <v>20</v>
      </c>
      <c r="Y306" s="10" t="str">
        <f t="shared" si="204"/>
        <v>08</v>
      </c>
    </row>
    <row r="307" spans="1:36" x14ac:dyDescent="0.3">
      <c r="A307" t="s">
        <v>23</v>
      </c>
      <c r="AJ307" t="str">
        <f>";"&amp;PROPER(A307)</f>
        <v>;Butterfly 3</v>
      </c>
    </row>
    <row r="308" spans="1:36" x14ac:dyDescent="0.3">
      <c r="B308" s="2">
        <v>0</v>
      </c>
      <c r="C308" s="2">
        <v>0</v>
      </c>
      <c r="D308" s="2">
        <v>3</v>
      </c>
      <c r="E308" s="2">
        <v>0</v>
      </c>
      <c r="F308" s="2">
        <v>0</v>
      </c>
      <c r="G308" s="2">
        <v>1</v>
      </c>
      <c r="H308" s="2">
        <v>0</v>
      </c>
      <c r="I308" s="2">
        <v>0</v>
      </c>
      <c r="K308" s="2" t="str">
        <f t="shared" ref="K308:K323" si="206">DEC2BIN(B308,2)</f>
        <v>00</v>
      </c>
      <c r="L308" s="2" t="str">
        <f t="shared" ref="L308:L323" si="207">DEC2BIN(C308,2)</f>
        <v>00</v>
      </c>
      <c r="M308" s="2" t="str">
        <f t="shared" ref="M308:M323" si="208">DEC2BIN(D308,2)</f>
        <v>11</v>
      </c>
      <c r="N308" s="2" t="str">
        <f t="shared" ref="N308:N323" si="209">DEC2BIN(E308,2)</f>
        <v>00</v>
      </c>
      <c r="O308" s="2" t="str">
        <f t="shared" ref="O308:O323" si="210">DEC2BIN(F308,2)</f>
        <v>00</v>
      </c>
      <c r="P308" s="2" t="str">
        <f t="shared" ref="P308:P323" si="211">DEC2BIN(G308,2)</f>
        <v>01</v>
      </c>
      <c r="Q308" s="2" t="str">
        <f t="shared" ref="Q308:Q323" si="212">DEC2BIN(H308,2)</f>
        <v>00</v>
      </c>
      <c r="R308" s="2" t="str">
        <f t="shared" ref="R308:R323" si="213">DEC2BIN(I308,2)</f>
        <v>00</v>
      </c>
      <c r="T308" t="str">
        <f t="shared" ref="T308:T323" si="214">_xlfn.CONCAT(K308:R308)</f>
        <v>0000110000010000</v>
      </c>
      <c r="V308" s="8" t="str">
        <f>LEFT(T308,8)</f>
        <v>00001100</v>
      </c>
      <c r="W308" s="8" t="str">
        <f>RIGHT(T308,8)</f>
        <v>00010000</v>
      </c>
      <c r="X308" s="8" t="str">
        <f>BIN2HEX(V308,2)</f>
        <v>0C</v>
      </c>
      <c r="Y308" s="8" t="str">
        <f>BIN2HEX(W308,2)</f>
        <v>10</v>
      </c>
      <c r="AA308" t="str" cm="1">
        <f t="array" ref="AA308:AH308">TRANSPOSE(X308:X315)</f>
        <v>0C</v>
      </c>
      <c r="AB308" t="str">
        <v>04</v>
      </c>
      <c r="AC308" t="str">
        <v>0C</v>
      </c>
      <c r="AD308" t="str">
        <v>04</v>
      </c>
      <c r="AE308" t="str">
        <v>04</v>
      </c>
      <c r="AF308" t="str">
        <v>08</v>
      </c>
      <c r="AG308" t="str">
        <v>03</v>
      </c>
      <c r="AH308" t="str">
        <v>01</v>
      </c>
      <c r="AJ308" t="str">
        <f>LOWER("!byte $"&amp;AA308&amp;", $"&amp;AB308&amp;", $"&amp;AC308&amp;", $"&amp;AD308&amp;", $"&amp;AE308&amp;", $"&amp;AF308&amp;", $"&amp;AG308&amp;", $"&amp;AH308)</f>
        <v>!byte $0c, $04, $0c, $04, $04, $08, $03, $01</v>
      </c>
    </row>
    <row r="309" spans="1:36" x14ac:dyDescent="0.3">
      <c r="B309" s="2">
        <v>0</v>
      </c>
      <c r="C309" s="2">
        <v>0</v>
      </c>
      <c r="D309" s="2">
        <v>1</v>
      </c>
      <c r="E309" s="2">
        <v>0</v>
      </c>
      <c r="F309" s="2">
        <v>0</v>
      </c>
      <c r="G309" s="2">
        <v>2</v>
      </c>
      <c r="H309" s="2">
        <v>0</v>
      </c>
      <c r="I309" s="2">
        <v>0</v>
      </c>
      <c r="K309" s="2" t="str">
        <f t="shared" si="206"/>
        <v>00</v>
      </c>
      <c r="L309" s="2" t="str">
        <f t="shared" si="207"/>
        <v>00</v>
      </c>
      <c r="M309" s="2" t="str">
        <f t="shared" si="208"/>
        <v>01</v>
      </c>
      <c r="N309" s="2" t="str">
        <f t="shared" si="209"/>
        <v>00</v>
      </c>
      <c r="O309" s="2" t="str">
        <f t="shared" si="210"/>
        <v>00</v>
      </c>
      <c r="P309" s="2" t="str">
        <f t="shared" si="211"/>
        <v>10</v>
      </c>
      <c r="Q309" s="2" t="str">
        <f t="shared" si="212"/>
        <v>00</v>
      </c>
      <c r="R309" s="2" t="str">
        <f t="shared" si="213"/>
        <v>00</v>
      </c>
      <c r="T309" t="str">
        <f t="shared" si="214"/>
        <v>0000010000100000</v>
      </c>
      <c r="V309" s="9" t="str">
        <f t="shared" ref="V309:V323" si="215">LEFT(T309,8)</f>
        <v>00000100</v>
      </c>
      <c r="W309" s="9" t="str">
        <f t="shared" ref="W309:W323" si="216">RIGHT(T309,8)</f>
        <v>00100000</v>
      </c>
      <c r="X309" s="9" t="str">
        <f t="shared" ref="X309:X323" si="217">BIN2HEX(V309,2)</f>
        <v>04</v>
      </c>
      <c r="Y309" s="9" t="str">
        <f t="shared" ref="Y309:Y323" si="218">BIN2HEX(W309,2)</f>
        <v>20</v>
      </c>
      <c r="AA309" t="str" cm="1">
        <f t="array" ref="AA309:AH309">TRANSPOSE(X316:X323)</f>
        <v>03</v>
      </c>
      <c r="AB309" t="str">
        <v>01</v>
      </c>
      <c r="AC309" t="str">
        <v>04</v>
      </c>
      <c r="AD309" t="str">
        <v>08</v>
      </c>
      <c r="AE309" t="str">
        <v>04</v>
      </c>
      <c r="AF309" t="str">
        <v>08</v>
      </c>
      <c r="AG309" t="str">
        <v>04</v>
      </c>
      <c r="AH309" t="str">
        <v>08</v>
      </c>
      <c r="AJ309" t="str">
        <f t="shared" ref="AJ309:AJ311" si="219">LOWER("!byte $"&amp;AA309&amp;", $"&amp;AB309&amp;", $"&amp;AC309&amp;", $"&amp;AD309&amp;", $"&amp;AE309&amp;", $"&amp;AF309&amp;", $"&amp;AG309&amp;", $"&amp;AH309)</f>
        <v>!byte $03, $01, $04, $08, $04, $08, $04, $08</v>
      </c>
    </row>
    <row r="310" spans="1:36" x14ac:dyDescent="0.3">
      <c r="B310" s="2">
        <v>0</v>
      </c>
      <c r="C310" s="2">
        <v>0</v>
      </c>
      <c r="D310" s="2">
        <v>3</v>
      </c>
      <c r="E310" s="2">
        <v>0</v>
      </c>
      <c r="F310" s="2">
        <v>0</v>
      </c>
      <c r="G310" s="2">
        <v>1</v>
      </c>
      <c r="H310" s="2">
        <v>0</v>
      </c>
      <c r="I310" s="2">
        <v>0</v>
      </c>
      <c r="K310" s="2" t="str">
        <f t="shared" si="206"/>
        <v>00</v>
      </c>
      <c r="L310" s="2" t="str">
        <f t="shared" si="207"/>
        <v>00</v>
      </c>
      <c r="M310" s="2" t="str">
        <f t="shared" si="208"/>
        <v>11</v>
      </c>
      <c r="N310" s="2" t="str">
        <f t="shared" si="209"/>
        <v>00</v>
      </c>
      <c r="O310" s="2" t="str">
        <f t="shared" si="210"/>
        <v>00</v>
      </c>
      <c r="P310" s="2" t="str">
        <f t="shared" si="211"/>
        <v>01</v>
      </c>
      <c r="Q310" s="2" t="str">
        <f t="shared" si="212"/>
        <v>00</v>
      </c>
      <c r="R310" s="2" t="str">
        <f t="shared" si="213"/>
        <v>00</v>
      </c>
      <c r="T310" t="str">
        <f t="shared" si="214"/>
        <v>0000110000010000</v>
      </c>
      <c r="V310" s="9" t="str">
        <f t="shared" si="215"/>
        <v>00001100</v>
      </c>
      <c r="W310" s="9" t="str">
        <f t="shared" si="216"/>
        <v>00010000</v>
      </c>
      <c r="X310" s="9" t="str">
        <f t="shared" si="217"/>
        <v>0C</v>
      </c>
      <c r="Y310" s="9" t="str">
        <f t="shared" si="218"/>
        <v>10</v>
      </c>
      <c r="AA310" t="str" cm="1">
        <f t="array" ref="AA310:AH310">TRANSPOSE(Y308:Y315)</f>
        <v>10</v>
      </c>
      <c r="AB310" t="str">
        <v>20</v>
      </c>
      <c r="AC310" t="str">
        <v>10</v>
      </c>
      <c r="AD310" t="str">
        <v>20</v>
      </c>
      <c r="AE310" t="str">
        <v>10</v>
      </c>
      <c r="AF310" t="str">
        <v>20</v>
      </c>
      <c r="AG310" t="str">
        <v>40</v>
      </c>
      <c r="AH310" t="str">
        <v>80</v>
      </c>
      <c r="AJ310" t="str">
        <f t="shared" si="219"/>
        <v>!byte $10, $20, $10, $20, $10, $20, $40, $80</v>
      </c>
    </row>
    <row r="311" spans="1:36" x14ac:dyDescent="0.3">
      <c r="B311" s="2">
        <v>0</v>
      </c>
      <c r="C311" s="2">
        <v>0</v>
      </c>
      <c r="D311" s="2">
        <v>1</v>
      </c>
      <c r="E311" s="2">
        <v>0</v>
      </c>
      <c r="F311" s="2">
        <v>0</v>
      </c>
      <c r="G311" s="2">
        <v>2</v>
      </c>
      <c r="H311" s="2">
        <v>0</v>
      </c>
      <c r="I311" s="2">
        <v>0</v>
      </c>
      <c r="K311" s="2" t="str">
        <f t="shared" si="206"/>
        <v>00</v>
      </c>
      <c r="L311" s="2" t="str">
        <f t="shared" si="207"/>
        <v>00</v>
      </c>
      <c r="M311" s="2" t="str">
        <f t="shared" si="208"/>
        <v>01</v>
      </c>
      <c r="N311" s="2" t="str">
        <f t="shared" si="209"/>
        <v>00</v>
      </c>
      <c r="O311" s="2" t="str">
        <f t="shared" si="210"/>
        <v>00</v>
      </c>
      <c r="P311" s="2" t="str">
        <f t="shared" si="211"/>
        <v>10</v>
      </c>
      <c r="Q311" s="2" t="str">
        <f t="shared" si="212"/>
        <v>00</v>
      </c>
      <c r="R311" s="2" t="str">
        <f t="shared" si="213"/>
        <v>00</v>
      </c>
      <c r="T311" t="str">
        <f t="shared" si="214"/>
        <v>0000010000100000</v>
      </c>
      <c r="V311" s="9" t="str">
        <f t="shared" si="215"/>
        <v>00000100</v>
      </c>
      <c r="W311" s="9" t="str">
        <f t="shared" si="216"/>
        <v>00100000</v>
      </c>
      <c r="X311" s="9" t="str">
        <f t="shared" si="217"/>
        <v>04</v>
      </c>
      <c r="Y311" s="9" t="str">
        <f t="shared" si="218"/>
        <v>20</v>
      </c>
      <c r="AA311" t="str" cm="1">
        <f t="array" ref="AA311:AH311">TRANSPOSE(Y316:Y323)</f>
        <v>40</v>
      </c>
      <c r="AB311" t="str">
        <v>80</v>
      </c>
      <c r="AC311" t="str">
        <v>10</v>
      </c>
      <c r="AD311" t="str">
        <v>20</v>
      </c>
      <c r="AE311" t="str">
        <v>10</v>
      </c>
      <c r="AF311" t="str">
        <v>20</v>
      </c>
      <c r="AG311" t="str">
        <v>10</v>
      </c>
      <c r="AH311" t="str">
        <v>20</v>
      </c>
      <c r="AJ311" t="str">
        <f t="shared" si="219"/>
        <v>!byte $40, $80, $10, $20, $10, $20, $10, $20</v>
      </c>
    </row>
    <row r="312" spans="1:36" x14ac:dyDescent="0.3">
      <c r="B312" s="2">
        <v>0</v>
      </c>
      <c r="C312" s="2">
        <v>0</v>
      </c>
      <c r="D312" s="2">
        <v>1</v>
      </c>
      <c r="E312" s="2">
        <v>0</v>
      </c>
      <c r="F312" s="2">
        <v>0</v>
      </c>
      <c r="G312" s="2">
        <v>1</v>
      </c>
      <c r="H312" s="2">
        <v>0</v>
      </c>
      <c r="I312" s="2">
        <v>0</v>
      </c>
      <c r="K312" s="2" t="str">
        <f t="shared" si="206"/>
        <v>00</v>
      </c>
      <c r="L312" s="2" t="str">
        <f t="shared" si="207"/>
        <v>00</v>
      </c>
      <c r="M312" s="2" t="str">
        <f t="shared" si="208"/>
        <v>01</v>
      </c>
      <c r="N312" s="2" t="str">
        <f t="shared" si="209"/>
        <v>00</v>
      </c>
      <c r="O312" s="2" t="str">
        <f t="shared" si="210"/>
        <v>00</v>
      </c>
      <c r="P312" s="2" t="str">
        <f t="shared" si="211"/>
        <v>01</v>
      </c>
      <c r="Q312" s="2" t="str">
        <f t="shared" si="212"/>
        <v>00</v>
      </c>
      <c r="R312" s="2" t="str">
        <f t="shared" si="213"/>
        <v>00</v>
      </c>
      <c r="T312" t="str">
        <f t="shared" si="214"/>
        <v>0000010000010000</v>
      </c>
      <c r="V312" s="9" t="str">
        <f t="shared" si="215"/>
        <v>00000100</v>
      </c>
      <c r="W312" s="9" t="str">
        <f t="shared" si="216"/>
        <v>00010000</v>
      </c>
      <c r="X312" s="9" t="str">
        <f t="shared" si="217"/>
        <v>04</v>
      </c>
      <c r="Y312" s="9" t="str">
        <f t="shared" si="218"/>
        <v>10</v>
      </c>
    </row>
    <row r="313" spans="1:36" x14ac:dyDescent="0.3">
      <c r="B313" s="2">
        <v>0</v>
      </c>
      <c r="C313" s="2">
        <v>0</v>
      </c>
      <c r="D313" s="2">
        <v>2</v>
      </c>
      <c r="E313" s="2">
        <v>0</v>
      </c>
      <c r="F313" s="2">
        <v>0</v>
      </c>
      <c r="G313" s="2">
        <v>2</v>
      </c>
      <c r="H313" s="2">
        <v>0</v>
      </c>
      <c r="I313" s="2">
        <v>0</v>
      </c>
      <c r="K313" s="2" t="str">
        <f t="shared" si="206"/>
        <v>00</v>
      </c>
      <c r="L313" s="2" t="str">
        <f t="shared" si="207"/>
        <v>00</v>
      </c>
      <c r="M313" s="2" t="str">
        <f t="shared" si="208"/>
        <v>10</v>
      </c>
      <c r="N313" s="2" t="str">
        <f t="shared" si="209"/>
        <v>00</v>
      </c>
      <c r="O313" s="2" t="str">
        <f t="shared" si="210"/>
        <v>00</v>
      </c>
      <c r="P313" s="2" t="str">
        <f t="shared" si="211"/>
        <v>10</v>
      </c>
      <c r="Q313" s="2" t="str">
        <f t="shared" si="212"/>
        <v>00</v>
      </c>
      <c r="R313" s="2" t="str">
        <f t="shared" si="213"/>
        <v>00</v>
      </c>
      <c r="T313" t="str">
        <f t="shared" si="214"/>
        <v>0000100000100000</v>
      </c>
      <c r="V313" s="9" t="str">
        <f t="shared" si="215"/>
        <v>00001000</v>
      </c>
      <c r="W313" s="9" t="str">
        <f t="shared" si="216"/>
        <v>00100000</v>
      </c>
      <c r="X313" s="9" t="str">
        <f t="shared" si="217"/>
        <v>08</v>
      </c>
      <c r="Y313" s="9" t="str">
        <f t="shared" si="218"/>
        <v>20</v>
      </c>
    </row>
    <row r="314" spans="1:36" x14ac:dyDescent="0.3">
      <c r="B314" s="2">
        <v>0</v>
      </c>
      <c r="C314" s="2">
        <v>0</v>
      </c>
      <c r="D314" s="2">
        <v>0</v>
      </c>
      <c r="E314" s="2">
        <v>3</v>
      </c>
      <c r="F314" s="2">
        <v>1</v>
      </c>
      <c r="G314" s="2">
        <v>0</v>
      </c>
      <c r="H314" s="2">
        <v>0</v>
      </c>
      <c r="I314" s="2">
        <v>0</v>
      </c>
      <c r="K314" s="2" t="str">
        <f t="shared" si="206"/>
        <v>00</v>
      </c>
      <c r="L314" s="2" t="str">
        <f t="shared" si="207"/>
        <v>00</v>
      </c>
      <c r="M314" s="2" t="str">
        <f t="shared" si="208"/>
        <v>00</v>
      </c>
      <c r="N314" s="2" t="str">
        <f t="shared" si="209"/>
        <v>11</v>
      </c>
      <c r="O314" s="2" t="str">
        <f t="shared" si="210"/>
        <v>01</v>
      </c>
      <c r="P314" s="2" t="str">
        <f t="shared" si="211"/>
        <v>00</v>
      </c>
      <c r="Q314" s="2" t="str">
        <f t="shared" si="212"/>
        <v>00</v>
      </c>
      <c r="R314" s="2" t="str">
        <f t="shared" si="213"/>
        <v>00</v>
      </c>
      <c r="T314" t="str">
        <f t="shared" si="214"/>
        <v>0000001101000000</v>
      </c>
      <c r="V314" s="9" t="str">
        <f t="shared" si="215"/>
        <v>00000011</v>
      </c>
      <c r="W314" s="9" t="str">
        <f t="shared" si="216"/>
        <v>01000000</v>
      </c>
      <c r="X314" s="9" t="str">
        <f t="shared" si="217"/>
        <v>03</v>
      </c>
      <c r="Y314" s="9" t="str">
        <f t="shared" si="218"/>
        <v>40</v>
      </c>
    </row>
    <row r="315" spans="1:36" x14ac:dyDescent="0.3">
      <c r="B315" s="2">
        <v>0</v>
      </c>
      <c r="C315" s="2">
        <v>0</v>
      </c>
      <c r="D315" s="2">
        <v>0</v>
      </c>
      <c r="E315" s="2">
        <v>1</v>
      </c>
      <c r="F315" s="2">
        <v>2</v>
      </c>
      <c r="G315" s="2">
        <v>0</v>
      </c>
      <c r="H315" s="2">
        <v>0</v>
      </c>
      <c r="I315" s="2">
        <v>0</v>
      </c>
      <c r="K315" s="2" t="str">
        <f t="shared" si="206"/>
        <v>00</v>
      </c>
      <c r="L315" s="2" t="str">
        <f t="shared" si="207"/>
        <v>00</v>
      </c>
      <c r="M315" s="2" t="str">
        <f t="shared" si="208"/>
        <v>00</v>
      </c>
      <c r="N315" s="2" t="str">
        <f t="shared" si="209"/>
        <v>01</v>
      </c>
      <c r="O315" s="2" t="str">
        <f t="shared" si="210"/>
        <v>10</v>
      </c>
      <c r="P315" s="2" t="str">
        <f t="shared" si="211"/>
        <v>00</v>
      </c>
      <c r="Q315" s="2" t="str">
        <f t="shared" si="212"/>
        <v>00</v>
      </c>
      <c r="R315" s="2" t="str">
        <f t="shared" si="213"/>
        <v>00</v>
      </c>
      <c r="T315" t="str">
        <f t="shared" si="214"/>
        <v>0000000110000000</v>
      </c>
      <c r="V315" s="10" t="str">
        <f t="shared" si="215"/>
        <v>00000001</v>
      </c>
      <c r="W315" s="10" t="str">
        <f t="shared" si="216"/>
        <v>10000000</v>
      </c>
      <c r="X315" s="10" t="str">
        <f t="shared" si="217"/>
        <v>01</v>
      </c>
      <c r="Y315" s="10" t="str">
        <f t="shared" si="218"/>
        <v>80</v>
      </c>
    </row>
    <row r="316" spans="1:36" x14ac:dyDescent="0.3">
      <c r="B316" s="2">
        <v>0</v>
      </c>
      <c r="C316" s="2">
        <v>0</v>
      </c>
      <c r="D316" s="2">
        <v>0</v>
      </c>
      <c r="E316" s="2">
        <v>3</v>
      </c>
      <c r="F316" s="2">
        <v>1</v>
      </c>
      <c r="G316" s="2">
        <v>0</v>
      </c>
      <c r="H316" s="2">
        <v>0</v>
      </c>
      <c r="I316" s="2">
        <v>0</v>
      </c>
      <c r="K316" s="2" t="str">
        <f t="shared" si="206"/>
        <v>00</v>
      </c>
      <c r="L316" s="2" t="str">
        <f t="shared" si="207"/>
        <v>00</v>
      </c>
      <c r="M316" s="2" t="str">
        <f t="shared" si="208"/>
        <v>00</v>
      </c>
      <c r="N316" s="2" t="str">
        <f t="shared" si="209"/>
        <v>11</v>
      </c>
      <c r="O316" s="2" t="str">
        <f t="shared" si="210"/>
        <v>01</v>
      </c>
      <c r="P316" s="2" t="str">
        <f t="shared" si="211"/>
        <v>00</v>
      </c>
      <c r="Q316" s="2" t="str">
        <f t="shared" si="212"/>
        <v>00</v>
      </c>
      <c r="R316" s="2" t="str">
        <f t="shared" si="213"/>
        <v>00</v>
      </c>
      <c r="T316" t="str">
        <f t="shared" si="214"/>
        <v>0000001101000000</v>
      </c>
      <c r="V316" s="8" t="str">
        <f t="shared" si="215"/>
        <v>00000011</v>
      </c>
      <c r="W316" s="8" t="str">
        <f t="shared" si="216"/>
        <v>01000000</v>
      </c>
      <c r="X316" s="8" t="str">
        <f t="shared" si="217"/>
        <v>03</v>
      </c>
      <c r="Y316" s="8" t="str">
        <f t="shared" si="218"/>
        <v>40</v>
      </c>
    </row>
    <row r="317" spans="1:36" x14ac:dyDescent="0.3">
      <c r="B317" s="2">
        <v>0</v>
      </c>
      <c r="C317" s="2">
        <v>0</v>
      </c>
      <c r="D317" s="2">
        <v>0</v>
      </c>
      <c r="E317" s="2">
        <v>1</v>
      </c>
      <c r="F317" s="2">
        <v>2</v>
      </c>
      <c r="G317" s="2">
        <v>0</v>
      </c>
      <c r="H317" s="2">
        <v>0</v>
      </c>
      <c r="I317" s="2">
        <v>0</v>
      </c>
      <c r="K317" s="2" t="str">
        <f t="shared" si="206"/>
        <v>00</v>
      </c>
      <c r="L317" s="2" t="str">
        <f t="shared" si="207"/>
        <v>00</v>
      </c>
      <c r="M317" s="2" t="str">
        <f t="shared" si="208"/>
        <v>00</v>
      </c>
      <c r="N317" s="2" t="str">
        <f t="shared" si="209"/>
        <v>01</v>
      </c>
      <c r="O317" s="2" t="str">
        <f t="shared" si="210"/>
        <v>10</v>
      </c>
      <c r="P317" s="2" t="str">
        <f t="shared" si="211"/>
        <v>00</v>
      </c>
      <c r="Q317" s="2" t="str">
        <f t="shared" si="212"/>
        <v>00</v>
      </c>
      <c r="R317" s="2" t="str">
        <f t="shared" si="213"/>
        <v>00</v>
      </c>
      <c r="T317" t="str">
        <f t="shared" si="214"/>
        <v>0000000110000000</v>
      </c>
      <c r="V317" s="9" t="str">
        <f t="shared" si="215"/>
        <v>00000001</v>
      </c>
      <c r="W317" s="9" t="str">
        <f t="shared" si="216"/>
        <v>10000000</v>
      </c>
      <c r="X317" s="9" t="str">
        <f t="shared" si="217"/>
        <v>01</v>
      </c>
      <c r="Y317" s="9" t="str">
        <f t="shared" si="218"/>
        <v>80</v>
      </c>
    </row>
    <row r="318" spans="1:36" x14ac:dyDescent="0.3">
      <c r="B318" s="2">
        <v>0</v>
      </c>
      <c r="C318" s="2">
        <v>0</v>
      </c>
      <c r="D318" s="2">
        <v>1</v>
      </c>
      <c r="E318" s="2">
        <v>0</v>
      </c>
      <c r="F318" s="2">
        <v>0</v>
      </c>
      <c r="G318" s="2">
        <v>1</v>
      </c>
      <c r="H318" s="2">
        <v>0</v>
      </c>
      <c r="I318" s="2">
        <v>0</v>
      </c>
      <c r="K318" s="2" t="str">
        <f t="shared" si="206"/>
        <v>00</v>
      </c>
      <c r="L318" s="2" t="str">
        <f t="shared" si="207"/>
        <v>00</v>
      </c>
      <c r="M318" s="2" t="str">
        <f t="shared" si="208"/>
        <v>01</v>
      </c>
      <c r="N318" s="2" t="str">
        <f t="shared" si="209"/>
        <v>00</v>
      </c>
      <c r="O318" s="2" t="str">
        <f t="shared" si="210"/>
        <v>00</v>
      </c>
      <c r="P318" s="2" t="str">
        <f t="shared" si="211"/>
        <v>01</v>
      </c>
      <c r="Q318" s="2" t="str">
        <f t="shared" si="212"/>
        <v>00</v>
      </c>
      <c r="R318" s="2" t="str">
        <f t="shared" si="213"/>
        <v>00</v>
      </c>
      <c r="T318" t="str">
        <f t="shared" si="214"/>
        <v>0000010000010000</v>
      </c>
      <c r="V318" s="9" t="str">
        <f t="shared" si="215"/>
        <v>00000100</v>
      </c>
      <c r="W318" s="9" t="str">
        <f t="shared" si="216"/>
        <v>00010000</v>
      </c>
      <c r="X318" s="9" t="str">
        <f t="shared" si="217"/>
        <v>04</v>
      </c>
      <c r="Y318" s="9" t="str">
        <f t="shared" si="218"/>
        <v>10</v>
      </c>
    </row>
    <row r="319" spans="1:36" x14ac:dyDescent="0.3">
      <c r="B319" s="2">
        <v>0</v>
      </c>
      <c r="C319" s="2">
        <v>0</v>
      </c>
      <c r="D319" s="2">
        <v>2</v>
      </c>
      <c r="E319" s="2">
        <v>0</v>
      </c>
      <c r="F319" s="2">
        <v>0</v>
      </c>
      <c r="G319" s="2">
        <v>2</v>
      </c>
      <c r="H319" s="2">
        <v>0</v>
      </c>
      <c r="I319" s="2">
        <v>0</v>
      </c>
      <c r="K319" s="2" t="str">
        <f t="shared" si="206"/>
        <v>00</v>
      </c>
      <c r="L319" s="2" t="str">
        <f t="shared" si="207"/>
        <v>00</v>
      </c>
      <c r="M319" s="2" t="str">
        <f t="shared" si="208"/>
        <v>10</v>
      </c>
      <c r="N319" s="2" t="str">
        <f t="shared" si="209"/>
        <v>00</v>
      </c>
      <c r="O319" s="2" t="str">
        <f t="shared" si="210"/>
        <v>00</v>
      </c>
      <c r="P319" s="2" t="str">
        <f t="shared" si="211"/>
        <v>10</v>
      </c>
      <c r="Q319" s="2" t="str">
        <f t="shared" si="212"/>
        <v>00</v>
      </c>
      <c r="R319" s="2" t="str">
        <f t="shared" si="213"/>
        <v>00</v>
      </c>
      <c r="T319" t="str">
        <f t="shared" si="214"/>
        <v>0000100000100000</v>
      </c>
      <c r="V319" s="9" t="str">
        <f t="shared" si="215"/>
        <v>00001000</v>
      </c>
      <c r="W319" s="9" t="str">
        <f t="shared" si="216"/>
        <v>00100000</v>
      </c>
      <c r="X319" s="9" t="str">
        <f t="shared" si="217"/>
        <v>08</v>
      </c>
      <c r="Y319" s="9" t="str">
        <f t="shared" si="218"/>
        <v>20</v>
      </c>
    </row>
    <row r="320" spans="1:36" x14ac:dyDescent="0.3">
      <c r="B320" s="2">
        <v>0</v>
      </c>
      <c r="C320" s="2">
        <v>0</v>
      </c>
      <c r="D320" s="2">
        <v>1</v>
      </c>
      <c r="E320" s="2">
        <v>0</v>
      </c>
      <c r="F320" s="2">
        <v>0</v>
      </c>
      <c r="G320" s="2">
        <v>1</v>
      </c>
      <c r="H320" s="2">
        <v>0</v>
      </c>
      <c r="I320" s="2">
        <v>0</v>
      </c>
      <c r="K320" s="2" t="str">
        <f t="shared" si="206"/>
        <v>00</v>
      </c>
      <c r="L320" s="2" t="str">
        <f t="shared" si="207"/>
        <v>00</v>
      </c>
      <c r="M320" s="2" t="str">
        <f t="shared" si="208"/>
        <v>01</v>
      </c>
      <c r="N320" s="2" t="str">
        <f t="shared" si="209"/>
        <v>00</v>
      </c>
      <c r="O320" s="2" t="str">
        <f t="shared" si="210"/>
        <v>00</v>
      </c>
      <c r="P320" s="2" t="str">
        <f t="shared" si="211"/>
        <v>01</v>
      </c>
      <c r="Q320" s="2" t="str">
        <f t="shared" si="212"/>
        <v>00</v>
      </c>
      <c r="R320" s="2" t="str">
        <f t="shared" si="213"/>
        <v>00</v>
      </c>
      <c r="T320" t="str">
        <f t="shared" si="214"/>
        <v>0000010000010000</v>
      </c>
      <c r="V320" s="9" t="str">
        <f t="shared" si="215"/>
        <v>00000100</v>
      </c>
      <c r="W320" s="9" t="str">
        <f t="shared" si="216"/>
        <v>00010000</v>
      </c>
      <c r="X320" s="9" t="str">
        <f t="shared" si="217"/>
        <v>04</v>
      </c>
      <c r="Y320" s="9" t="str">
        <f t="shared" si="218"/>
        <v>10</v>
      </c>
    </row>
    <row r="321" spans="1:36" x14ac:dyDescent="0.3">
      <c r="B321" s="2">
        <v>0</v>
      </c>
      <c r="C321" s="2">
        <v>0</v>
      </c>
      <c r="D321" s="2">
        <v>2</v>
      </c>
      <c r="E321" s="2">
        <v>0</v>
      </c>
      <c r="F321" s="2">
        <v>0</v>
      </c>
      <c r="G321" s="2">
        <v>2</v>
      </c>
      <c r="H321" s="2">
        <v>0</v>
      </c>
      <c r="I321" s="2">
        <v>0</v>
      </c>
      <c r="K321" s="2" t="str">
        <f t="shared" si="206"/>
        <v>00</v>
      </c>
      <c r="L321" s="2" t="str">
        <f t="shared" si="207"/>
        <v>00</v>
      </c>
      <c r="M321" s="2" t="str">
        <f t="shared" si="208"/>
        <v>10</v>
      </c>
      <c r="N321" s="2" t="str">
        <f t="shared" si="209"/>
        <v>00</v>
      </c>
      <c r="O321" s="2" t="str">
        <f t="shared" si="210"/>
        <v>00</v>
      </c>
      <c r="P321" s="2" t="str">
        <f t="shared" si="211"/>
        <v>10</v>
      </c>
      <c r="Q321" s="2" t="str">
        <f t="shared" si="212"/>
        <v>00</v>
      </c>
      <c r="R321" s="2" t="str">
        <f t="shared" si="213"/>
        <v>00</v>
      </c>
      <c r="T321" t="str">
        <f t="shared" si="214"/>
        <v>0000100000100000</v>
      </c>
      <c r="V321" s="9" t="str">
        <f t="shared" si="215"/>
        <v>00001000</v>
      </c>
      <c r="W321" s="9" t="str">
        <f t="shared" si="216"/>
        <v>00100000</v>
      </c>
      <c r="X321" s="9" t="str">
        <f t="shared" si="217"/>
        <v>08</v>
      </c>
      <c r="Y321" s="9" t="str">
        <f t="shared" si="218"/>
        <v>20</v>
      </c>
    </row>
    <row r="322" spans="1:36" x14ac:dyDescent="0.3">
      <c r="B322" s="2">
        <v>0</v>
      </c>
      <c r="C322" s="2">
        <v>0</v>
      </c>
      <c r="D322" s="2">
        <v>1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K322" s="2" t="str">
        <f t="shared" si="206"/>
        <v>00</v>
      </c>
      <c r="L322" s="2" t="str">
        <f t="shared" si="207"/>
        <v>00</v>
      </c>
      <c r="M322" s="2" t="str">
        <f t="shared" si="208"/>
        <v>01</v>
      </c>
      <c r="N322" s="2" t="str">
        <f t="shared" si="209"/>
        <v>00</v>
      </c>
      <c r="O322" s="2" t="str">
        <f t="shared" si="210"/>
        <v>00</v>
      </c>
      <c r="P322" s="2" t="str">
        <f t="shared" si="211"/>
        <v>01</v>
      </c>
      <c r="Q322" s="2" t="str">
        <f t="shared" si="212"/>
        <v>00</v>
      </c>
      <c r="R322" s="2" t="str">
        <f t="shared" si="213"/>
        <v>00</v>
      </c>
      <c r="T322" t="str">
        <f t="shared" si="214"/>
        <v>0000010000010000</v>
      </c>
      <c r="V322" s="9" t="str">
        <f t="shared" si="215"/>
        <v>00000100</v>
      </c>
      <c r="W322" s="9" t="str">
        <f t="shared" si="216"/>
        <v>00010000</v>
      </c>
      <c r="X322" s="9" t="str">
        <f t="shared" si="217"/>
        <v>04</v>
      </c>
      <c r="Y322" s="9" t="str">
        <f t="shared" si="218"/>
        <v>10</v>
      </c>
    </row>
    <row r="323" spans="1:36" x14ac:dyDescent="0.3">
      <c r="B323" s="2">
        <v>0</v>
      </c>
      <c r="C323" s="2">
        <v>0</v>
      </c>
      <c r="D323" s="2">
        <v>2</v>
      </c>
      <c r="E323" s="2">
        <v>0</v>
      </c>
      <c r="F323" s="2">
        <v>0</v>
      </c>
      <c r="G323" s="2">
        <v>2</v>
      </c>
      <c r="H323" s="2">
        <v>0</v>
      </c>
      <c r="I323" s="2">
        <v>0</v>
      </c>
      <c r="K323" s="2" t="str">
        <f t="shared" si="206"/>
        <v>00</v>
      </c>
      <c r="L323" s="2" t="str">
        <f t="shared" si="207"/>
        <v>00</v>
      </c>
      <c r="M323" s="2" t="str">
        <f t="shared" si="208"/>
        <v>10</v>
      </c>
      <c r="N323" s="2" t="str">
        <f t="shared" si="209"/>
        <v>00</v>
      </c>
      <c r="O323" s="2" t="str">
        <f t="shared" si="210"/>
        <v>00</v>
      </c>
      <c r="P323" s="2" t="str">
        <f t="shared" si="211"/>
        <v>10</v>
      </c>
      <c r="Q323" s="2" t="str">
        <f t="shared" si="212"/>
        <v>00</v>
      </c>
      <c r="R323" s="2" t="str">
        <f t="shared" si="213"/>
        <v>00</v>
      </c>
      <c r="T323" t="str">
        <f t="shared" si="214"/>
        <v>0000100000100000</v>
      </c>
      <c r="V323" s="10" t="str">
        <f t="shared" si="215"/>
        <v>00001000</v>
      </c>
      <c r="W323" s="10" t="str">
        <f t="shared" si="216"/>
        <v>00100000</v>
      </c>
      <c r="X323" s="10" t="str">
        <f t="shared" si="217"/>
        <v>08</v>
      </c>
      <c r="Y323" s="10" t="str">
        <f t="shared" si="218"/>
        <v>20</v>
      </c>
    </row>
    <row r="324" spans="1:36" x14ac:dyDescent="0.3">
      <c r="A324" t="s">
        <v>24</v>
      </c>
      <c r="AJ324" t="str">
        <f>";"&amp;PROPER(A324)</f>
        <v>;Firefly 1</v>
      </c>
    </row>
    <row r="325" spans="1:36" x14ac:dyDescent="0.3">
      <c r="B325" s="2">
        <v>1</v>
      </c>
      <c r="C325" s="2">
        <v>1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K325" s="2" t="str">
        <f t="shared" ref="K325:K340" si="220">DEC2BIN(B325,2)</f>
        <v>01</v>
      </c>
      <c r="L325" s="2" t="str">
        <f t="shared" ref="L325:L340" si="221">DEC2BIN(C325,2)</f>
        <v>01</v>
      </c>
      <c r="M325" s="2" t="str">
        <f t="shared" ref="M325:M340" si="222">DEC2BIN(D325,2)</f>
        <v>01</v>
      </c>
      <c r="N325" s="2" t="str">
        <f t="shared" ref="N325:N340" si="223">DEC2BIN(E325,2)</f>
        <v>01</v>
      </c>
      <c r="O325" s="2" t="str">
        <f t="shared" ref="O325:O340" si="224">DEC2BIN(F325,2)</f>
        <v>01</v>
      </c>
      <c r="P325" s="2" t="str">
        <f t="shared" ref="P325:P340" si="225">DEC2BIN(G325,2)</f>
        <v>01</v>
      </c>
      <c r="Q325" s="2" t="str">
        <f t="shared" ref="Q325:Q340" si="226">DEC2BIN(H325,2)</f>
        <v>01</v>
      </c>
      <c r="R325" s="2" t="str">
        <f t="shared" ref="R325:R340" si="227">DEC2BIN(I325,2)</f>
        <v>01</v>
      </c>
      <c r="T325" t="str">
        <f t="shared" ref="T325:T340" si="228">_xlfn.CONCAT(K325:R325)</f>
        <v>0101010101010101</v>
      </c>
      <c r="V325" s="8" t="str">
        <f>LEFT(T325,8)</f>
        <v>01010101</v>
      </c>
      <c r="W325" s="8" t="str">
        <f>RIGHT(T325,8)</f>
        <v>01010101</v>
      </c>
      <c r="X325" s="8" t="str">
        <f>BIN2HEX(V325,2)</f>
        <v>55</v>
      </c>
      <c r="Y325" s="8" t="str">
        <f>BIN2HEX(W325,2)</f>
        <v>55</v>
      </c>
      <c r="AA325" t="str" cm="1">
        <f t="array" ref="AA325:AH325">TRANSPOSE(X325:X332)</f>
        <v>55</v>
      </c>
      <c r="AB325" t="str">
        <v>55</v>
      </c>
      <c r="AC325" t="str">
        <v>40</v>
      </c>
      <c r="AD325" t="str">
        <v>40</v>
      </c>
      <c r="AE325" t="str">
        <v>45</v>
      </c>
      <c r="AF325" t="str">
        <v>45</v>
      </c>
      <c r="AG325" t="str">
        <v>47</v>
      </c>
      <c r="AH325" t="str">
        <v>47</v>
      </c>
      <c r="AJ325" t="str">
        <f>LOWER("!byte $"&amp;AA325&amp;", $"&amp;AB325&amp;", $"&amp;AC325&amp;", $"&amp;AD325&amp;", $"&amp;AE325&amp;", $"&amp;AF325&amp;", $"&amp;AG325&amp;", $"&amp;AH325)</f>
        <v>!byte $55, $55, $40, $40, $45, $45, $47, $47</v>
      </c>
    </row>
    <row r="326" spans="1:36" x14ac:dyDescent="0.3">
      <c r="B326" s="2">
        <v>1</v>
      </c>
      <c r="C326" s="2">
        <v>1</v>
      </c>
      <c r="D326" s="2">
        <v>1</v>
      </c>
      <c r="E326" s="2">
        <v>1</v>
      </c>
      <c r="F326" s="2">
        <v>1</v>
      </c>
      <c r="G326" s="2">
        <v>1</v>
      </c>
      <c r="H326" s="2">
        <v>1</v>
      </c>
      <c r="I326" s="2">
        <v>1</v>
      </c>
      <c r="K326" s="2" t="str">
        <f t="shared" si="220"/>
        <v>01</v>
      </c>
      <c r="L326" s="2" t="str">
        <f t="shared" si="221"/>
        <v>01</v>
      </c>
      <c r="M326" s="2" t="str">
        <f t="shared" si="222"/>
        <v>01</v>
      </c>
      <c r="N326" s="2" t="str">
        <f t="shared" si="223"/>
        <v>01</v>
      </c>
      <c r="O326" s="2" t="str">
        <f t="shared" si="224"/>
        <v>01</v>
      </c>
      <c r="P326" s="2" t="str">
        <f t="shared" si="225"/>
        <v>01</v>
      </c>
      <c r="Q326" s="2" t="str">
        <f t="shared" si="226"/>
        <v>01</v>
      </c>
      <c r="R326" s="2" t="str">
        <f t="shared" si="227"/>
        <v>01</v>
      </c>
      <c r="T326" t="str">
        <f t="shared" si="228"/>
        <v>0101010101010101</v>
      </c>
      <c r="V326" s="9" t="str">
        <f t="shared" ref="V326:V340" si="229">LEFT(T326,8)</f>
        <v>01010101</v>
      </c>
      <c r="W326" s="9" t="str">
        <f t="shared" ref="W326:W340" si="230">RIGHT(T326,8)</f>
        <v>01010101</v>
      </c>
      <c r="X326" s="9" t="str">
        <f t="shared" ref="X326:X340" si="231">BIN2HEX(V326,2)</f>
        <v>55</v>
      </c>
      <c r="Y326" s="9" t="str">
        <f t="shared" ref="Y326:Y340" si="232">BIN2HEX(W326,2)</f>
        <v>55</v>
      </c>
      <c r="AA326" t="str" cm="1">
        <f t="array" ref="AA326:AH326">TRANSPOSE(X333:X340)</f>
        <v>47</v>
      </c>
      <c r="AB326" t="str">
        <v>47</v>
      </c>
      <c r="AC326" t="str">
        <v>45</v>
      </c>
      <c r="AD326" t="str">
        <v>45</v>
      </c>
      <c r="AE326" t="str">
        <v>40</v>
      </c>
      <c r="AF326" t="str">
        <v>40</v>
      </c>
      <c r="AG326" t="str">
        <v>55</v>
      </c>
      <c r="AH326" t="str">
        <v>55</v>
      </c>
      <c r="AJ326" t="str">
        <f t="shared" ref="AJ326:AJ328" si="233">LOWER("!byte $"&amp;AA326&amp;", $"&amp;AB326&amp;", $"&amp;AC326&amp;", $"&amp;AD326&amp;", $"&amp;AE326&amp;", $"&amp;AF326&amp;", $"&amp;AG326&amp;", $"&amp;AH326)</f>
        <v>!byte $47, $47, $45, $45, $40, $40, $55, $55</v>
      </c>
    </row>
    <row r="327" spans="1:36" x14ac:dyDescent="0.3">
      <c r="B327" s="2">
        <v>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1</v>
      </c>
      <c r="K327" s="2" t="str">
        <f t="shared" si="220"/>
        <v>01</v>
      </c>
      <c r="L327" s="2" t="str">
        <f t="shared" si="221"/>
        <v>00</v>
      </c>
      <c r="M327" s="2" t="str">
        <f t="shared" si="222"/>
        <v>00</v>
      </c>
      <c r="N327" s="2" t="str">
        <f t="shared" si="223"/>
        <v>00</v>
      </c>
      <c r="O327" s="2" t="str">
        <f t="shared" si="224"/>
        <v>00</v>
      </c>
      <c r="P327" s="2" t="str">
        <f t="shared" si="225"/>
        <v>00</v>
      </c>
      <c r="Q327" s="2" t="str">
        <f t="shared" si="226"/>
        <v>00</v>
      </c>
      <c r="R327" s="2" t="str">
        <f t="shared" si="227"/>
        <v>01</v>
      </c>
      <c r="T327" t="str">
        <f t="shared" si="228"/>
        <v>0100000000000001</v>
      </c>
      <c r="V327" s="9" t="str">
        <f t="shared" si="229"/>
        <v>01000000</v>
      </c>
      <c r="W327" s="9" t="str">
        <f t="shared" si="230"/>
        <v>00000001</v>
      </c>
      <c r="X327" s="9" t="str">
        <f t="shared" si="231"/>
        <v>40</v>
      </c>
      <c r="Y327" s="9" t="str">
        <f t="shared" si="232"/>
        <v>01</v>
      </c>
      <c r="AA327" t="str" cm="1">
        <f t="array" ref="AA327:AH327">TRANSPOSE(Y325:Y332)</f>
        <v>55</v>
      </c>
      <c r="AB327" t="str">
        <v>55</v>
      </c>
      <c r="AC327" t="str">
        <v>01</v>
      </c>
      <c r="AD327" t="str">
        <v>01</v>
      </c>
      <c r="AE327" t="str">
        <v>51</v>
      </c>
      <c r="AF327" t="str">
        <v>51</v>
      </c>
      <c r="AG327" t="str">
        <v>D1</v>
      </c>
      <c r="AH327" t="str">
        <v>D1</v>
      </c>
      <c r="AJ327" t="str">
        <f t="shared" si="233"/>
        <v>!byte $55, $55, $01, $01, $51, $51, $d1, $d1</v>
      </c>
    </row>
    <row r="328" spans="1:36" x14ac:dyDescent="0.3">
      <c r="B328" s="2">
        <v>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1</v>
      </c>
      <c r="K328" s="2" t="str">
        <f t="shared" si="220"/>
        <v>01</v>
      </c>
      <c r="L328" s="2" t="str">
        <f t="shared" si="221"/>
        <v>00</v>
      </c>
      <c r="M328" s="2" t="str">
        <f t="shared" si="222"/>
        <v>00</v>
      </c>
      <c r="N328" s="2" t="str">
        <f t="shared" si="223"/>
        <v>00</v>
      </c>
      <c r="O328" s="2" t="str">
        <f t="shared" si="224"/>
        <v>00</v>
      </c>
      <c r="P328" s="2" t="str">
        <f t="shared" si="225"/>
        <v>00</v>
      </c>
      <c r="Q328" s="2" t="str">
        <f t="shared" si="226"/>
        <v>00</v>
      </c>
      <c r="R328" s="2" t="str">
        <f t="shared" si="227"/>
        <v>01</v>
      </c>
      <c r="T328" t="str">
        <f t="shared" si="228"/>
        <v>0100000000000001</v>
      </c>
      <c r="V328" s="9" t="str">
        <f t="shared" si="229"/>
        <v>01000000</v>
      </c>
      <c r="W328" s="9" t="str">
        <f t="shared" si="230"/>
        <v>00000001</v>
      </c>
      <c r="X328" s="9" t="str">
        <f t="shared" si="231"/>
        <v>40</v>
      </c>
      <c r="Y328" s="9" t="str">
        <f t="shared" si="232"/>
        <v>01</v>
      </c>
      <c r="AA328" t="str" cm="1">
        <f t="array" ref="AA328:AH328">TRANSPOSE(Y333:Y340)</f>
        <v>D1</v>
      </c>
      <c r="AB328" t="str">
        <v>D1</v>
      </c>
      <c r="AC328" t="str">
        <v>51</v>
      </c>
      <c r="AD328" t="str">
        <v>51</v>
      </c>
      <c r="AE328" t="str">
        <v>01</v>
      </c>
      <c r="AF328" t="str">
        <v>01</v>
      </c>
      <c r="AG328" t="str">
        <v>55</v>
      </c>
      <c r="AH328" t="str">
        <v>55</v>
      </c>
      <c r="AJ328" t="str">
        <f t="shared" si="233"/>
        <v>!byte $d1, $d1, $51, $51, $01, $01, $55, $55</v>
      </c>
    </row>
    <row r="329" spans="1:36" x14ac:dyDescent="0.3">
      <c r="B329" s="2">
        <v>1</v>
      </c>
      <c r="C329" s="2">
        <v>0</v>
      </c>
      <c r="D329" s="2">
        <v>1</v>
      </c>
      <c r="E329" s="2">
        <v>1</v>
      </c>
      <c r="F329" s="2">
        <v>1</v>
      </c>
      <c r="G329" s="2">
        <v>1</v>
      </c>
      <c r="H329" s="2">
        <v>0</v>
      </c>
      <c r="I329" s="2">
        <v>1</v>
      </c>
      <c r="K329" s="2" t="str">
        <f t="shared" si="220"/>
        <v>01</v>
      </c>
      <c r="L329" s="2" t="str">
        <f t="shared" si="221"/>
        <v>00</v>
      </c>
      <c r="M329" s="2" t="str">
        <f t="shared" si="222"/>
        <v>01</v>
      </c>
      <c r="N329" s="2" t="str">
        <f t="shared" si="223"/>
        <v>01</v>
      </c>
      <c r="O329" s="2" t="str">
        <f t="shared" si="224"/>
        <v>01</v>
      </c>
      <c r="P329" s="2" t="str">
        <f t="shared" si="225"/>
        <v>01</v>
      </c>
      <c r="Q329" s="2" t="str">
        <f t="shared" si="226"/>
        <v>00</v>
      </c>
      <c r="R329" s="2" t="str">
        <f t="shared" si="227"/>
        <v>01</v>
      </c>
      <c r="T329" t="str">
        <f t="shared" si="228"/>
        <v>0100010101010001</v>
      </c>
      <c r="V329" s="9" t="str">
        <f t="shared" si="229"/>
        <v>01000101</v>
      </c>
      <c r="W329" s="9" t="str">
        <f t="shared" si="230"/>
        <v>01010001</v>
      </c>
      <c r="X329" s="9" t="str">
        <f t="shared" si="231"/>
        <v>45</v>
      </c>
      <c r="Y329" s="9" t="str">
        <f t="shared" si="232"/>
        <v>51</v>
      </c>
    </row>
    <row r="330" spans="1:36" x14ac:dyDescent="0.3">
      <c r="B330" s="2">
        <v>1</v>
      </c>
      <c r="C330" s="2">
        <v>0</v>
      </c>
      <c r="D330" s="2">
        <v>1</v>
      </c>
      <c r="E330" s="2">
        <v>1</v>
      </c>
      <c r="F330" s="2">
        <v>1</v>
      </c>
      <c r="G330" s="2">
        <v>1</v>
      </c>
      <c r="H330" s="2">
        <v>0</v>
      </c>
      <c r="I330" s="2">
        <v>1</v>
      </c>
      <c r="K330" s="2" t="str">
        <f t="shared" si="220"/>
        <v>01</v>
      </c>
      <c r="L330" s="2" t="str">
        <f t="shared" si="221"/>
        <v>00</v>
      </c>
      <c r="M330" s="2" t="str">
        <f t="shared" si="222"/>
        <v>01</v>
      </c>
      <c r="N330" s="2" t="str">
        <f t="shared" si="223"/>
        <v>01</v>
      </c>
      <c r="O330" s="2" t="str">
        <f t="shared" si="224"/>
        <v>01</v>
      </c>
      <c r="P330" s="2" t="str">
        <f t="shared" si="225"/>
        <v>01</v>
      </c>
      <c r="Q330" s="2" t="str">
        <f t="shared" si="226"/>
        <v>00</v>
      </c>
      <c r="R330" s="2" t="str">
        <f t="shared" si="227"/>
        <v>01</v>
      </c>
      <c r="T330" t="str">
        <f t="shared" si="228"/>
        <v>0100010101010001</v>
      </c>
      <c r="V330" s="9" t="str">
        <f t="shared" si="229"/>
        <v>01000101</v>
      </c>
      <c r="W330" s="9" t="str">
        <f t="shared" si="230"/>
        <v>01010001</v>
      </c>
      <c r="X330" s="9" t="str">
        <f t="shared" si="231"/>
        <v>45</v>
      </c>
      <c r="Y330" s="9" t="str">
        <f t="shared" si="232"/>
        <v>51</v>
      </c>
    </row>
    <row r="331" spans="1:36" x14ac:dyDescent="0.3">
      <c r="B331" s="2">
        <v>1</v>
      </c>
      <c r="C331" s="2">
        <v>0</v>
      </c>
      <c r="D331" s="2">
        <v>1</v>
      </c>
      <c r="E331" s="2">
        <v>3</v>
      </c>
      <c r="F331" s="2">
        <v>3</v>
      </c>
      <c r="G331" s="2">
        <v>1</v>
      </c>
      <c r="H331" s="2">
        <v>0</v>
      </c>
      <c r="I331" s="2">
        <v>1</v>
      </c>
      <c r="K331" s="2" t="str">
        <f t="shared" si="220"/>
        <v>01</v>
      </c>
      <c r="L331" s="2" t="str">
        <f t="shared" si="221"/>
        <v>00</v>
      </c>
      <c r="M331" s="2" t="str">
        <f t="shared" si="222"/>
        <v>01</v>
      </c>
      <c r="N331" s="2" t="str">
        <f t="shared" si="223"/>
        <v>11</v>
      </c>
      <c r="O331" s="2" t="str">
        <f t="shared" si="224"/>
        <v>11</v>
      </c>
      <c r="P331" s="2" t="str">
        <f t="shared" si="225"/>
        <v>01</v>
      </c>
      <c r="Q331" s="2" t="str">
        <f t="shared" si="226"/>
        <v>00</v>
      </c>
      <c r="R331" s="2" t="str">
        <f t="shared" si="227"/>
        <v>01</v>
      </c>
      <c r="T331" t="str">
        <f t="shared" si="228"/>
        <v>0100011111010001</v>
      </c>
      <c r="V331" s="9" t="str">
        <f t="shared" si="229"/>
        <v>01000111</v>
      </c>
      <c r="W331" s="9" t="str">
        <f t="shared" si="230"/>
        <v>11010001</v>
      </c>
      <c r="X331" s="9" t="str">
        <f t="shared" si="231"/>
        <v>47</v>
      </c>
      <c r="Y331" s="9" t="str">
        <f t="shared" si="232"/>
        <v>D1</v>
      </c>
    </row>
    <row r="332" spans="1:36" x14ac:dyDescent="0.3">
      <c r="B332" s="2">
        <v>1</v>
      </c>
      <c r="C332" s="2">
        <v>0</v>
      </c>
      <c r="D332" s="2">
        <v>1</v>
      </c>
      <c r="E332" s="2">
        <v>3</v>
      </c>
      <c r="F332" s="2">
        <v>3</v>
      </c>
      <c r="G332" s="2">
        <v>1</v>
      </c>
      <c r="H332" s="2">
        <v>0</v>
      </c>
      <c r="I332" s="2">
        <v>1</v>
      </c>
      <c r="K332" s="2" t="str">
        <f t="shared" si="220"/>
        <v>01</v>
      </c>
      <c r="L332" s="2" t="str">
        <f t="shared" si="221"/>
        <v>00</v>
      </c>
      <c r="M332" s="2" t="str">
        <f t="shared" si="222"/>
        <v>01</v>
      </c>
      <c r="N332" s="2" t="str">
        <f t="shared" si="223"/>
        <v>11</v>
      </c>
      <c r="O332" s="2" t="str">
        <f t="shared" si="224"/>
        <v>11</v>
      </c>
      <c r="P332" s="2" t="str">
        <f t="shared" si="225"/>
        <v>01</v>
      </c>
      <c r="Q332" s="2" t="str">
        <f t="shared" si="226"/>
        <v>00</v>
      </c>
      <c r="R332" s="2" t="str">
        <f t="shared" si="227"/>
        <v>01</v>
      </c>
      <c r="T332" t="str">
        <f t="shared" si="228"/>
        <v>0100011111010001</v>
      </c>
      <c r="V332" s="10" t="str">
        <f t="shared" si="229"/>
        <v>01000111</v>
      </c>
      <c r="W332" s="10" t="str">
        <f t="shared" si="230"/>
        <v>11010001</v>
      </c>
      <c r="X332" s="10" t="str">
        <f t="shared" si="231"/>
        <v>47</v>
      </c>
      <c r="Y332" s="10" t="str">
        <f t="shared" si="232"/>
        <v>D1</v>
      </c>
    </row>
    <row r="333" spans="1:36" x14ac:dyDescent="0.3">
      <c r="B333" s="2">
        <v>1</v>
      </c>
      <c r="C333" s="2">
        <v>0</v>
      </c>
      <c r="D333" s="2">
        <v>1</v>
      </c>
      <c r="E333" s="2">
        <v>3</v>
      </c>
      <c r="F333" s="2">
        <v>3</v>
      </c>
      <c r="G333" s="2">
        <v>1</v>
      </c>
      <c r="H333" s="2">
        <v>0</v>
      </c>
      <c r="I333" s="2">
        <v>1</v>
      </c>
      <c r="K333" s="2" t="str">
        <f t="shared" si="220"/>
        <v>01</v>
      </c>
      <c r="L333" s="2" t="str">
        <f t="shared" si="221"/>
        <v>00</v>
      </c>
      <c r="M333" s="2" t="str">
        <f t="shared" si="222"/>
        <v>01</v>
      </c>
      <c r="N333" s="2" t="str">
        <f t="shared" si="223"/>
        <v>11</v>
      </c>
      <c r="O333" s="2" t="str">
        <f t="shared" si="224"/>
        <v>11</v>
      </c>
      <c r="P333" s="2" t="str">
        <f t="shared" si="225"/>
        <v>01</v>
      </c>
      <c r="Q333" s="2" t="str">
        <f t="shared" si="226"/>
        <v>00</v>
      </c>
      <c r="R333" s="2" t="str">
        <f t="shared" si="227"/>
        <v>01</v>
      </c>
      <c r="T333" t="str">
        <f t="shared" si="228"/>
        <v>0100011111010001</v>
      </c>
      <c r="V333" s="8" t="str">
        <f t="shared" si="229"/>
        <v>01000111</v>
      </c>
      <c r="W333" s="8" t="str">
        <f t="shared" si="230"/>
        <v>11010001</v>
      </c>
      <c r="X333" s="8" t="str">
        <f t="shared" si="231"/>
        <v>47</v>
      </c>
      <c r="Y333" s="8" t="str">
        <f t="shared" si="232"/>
        <v>D1</v>
      </c>
    </row>
    <row r="334" spans="1:36" x14ac:dyDescent="0.3">
      <c r="B334" s="2">
        <v>1</v>
      </c>
      <c r="C334" s="2">
        <v>0</v>
      </c>
      <c r="D334" s="2">
        <v>1</v>
      </c>
      <c r="E334" s="2">
        <v>3</v>
      </c>
      <c r="F334" s="2">
        <v>3</v>
      </c>
      <c r="G334" s="2">
        <v>1</v>
      </c>
      <c r="H334" s="2">
        <v>0</v>
      </c>
      <c r="I334" s="2">
        <v>1</v>
      </c>
      <c r="K334" s="2" t="str">
        <f t="shared" si="220"/>
        <v>01</v>
      </c>
      <c r="L334" s="2" t="str">
        <f t="shared" si="221"/>
        <v>00</v>
      </c>
      <c r="M334" s="2" t="str">
        <f t="shared" si="222"/>
        <v>01</v>
      </c>
      <c r="N334" s="2" t="str">
        <f t="shared" si="223"/>
        <v>11</v>
      </c>
      <c r="O334" s="2" t="str">
        <f t="shared" si="224"/>
        <v>11</v>
      </c>
      <c r="P334" s="2" t="str">
        <f t="shared" si="225"/>
        <v>01</v>
      </c>
      <c r="Q334" s="2" t="str">
        <f t="shared" si="226"/>
        <v>00</v>
      </c>
      <c r="R334" s="2" t="str">
        <f t="shared" si="227"/>
        <v>01</v>
      </c>
      <c r="T334" t="str">
        <f t="shared" si="228"/>
        <v>0100011111010001</v>
      </c>
      <c r="V334" s="9" t="str">
        <f t="shared" si="229"/>
        <v>01000111</v>
      </c>
      <c r="W334" s="9" t="str">
        <f t="shared" si="230"/>
        <v>11010001</v>
      </c>
      <c r="X334" s="9" t="str">
        <f t="shared" si="231"/>
        <v>47</v>
      </c>
      <c r="Y334" s="9" t="str">
        <f t="shared" si="232"/>
        <v>D1</v>
      </c>
    </row>
    <row r="335" spans="1:36" x14ac:dyDescent="0.3">
      <c r="B335" s="2">
        <v>1</v>
      </c>
      <c r="C335" s="2">
        <v>0</v>
      </c>
      <c r="D335" s="2">
        <v>1</v>
      </c>
      <c r="E335" s="2">
        <v>1</v>
      </c>
      <c r="F335" s="2">
        <v>1</v>
      </c>
      <c r="G335" s="2">
        <v>1</v>
      </c>
      <c r="H335" s="2">
        <v>0</v>
      </c>
      <c r="I335" s="2">
        <v>1</v>
      </c>
      <c r="K335" s="2" t="str">
        <f t="shared" si="220"/>
        <v>01</v>
      </c>
      <c r="L335" s="2" t="str">
        <f t="shared" si="221"/>
        <v>00</v>
      </c>
      <c r="M335" s="2" t="str">
        <f t="shared" si="222"/>
        <v>01</v>
      </c>
      <c r="N335" s="2" t="str">
        <f t="shared" si="223"/>
        <v>01</v>
      </c>
      <c r="O335" s="2" t="str">
        <f t="shared" si="224"/>
        <v>01</v>
      </c>
      <c r="P335" s="2" t="str">
        <f t="shared" si="225"/>
        <v>01</v>
      </c>
      <c r="Q335" s="2" t="str">
        <f t="shared" si="226"/>
        <v>00</v>
      </c>
      <c r="R335" s="2" t="str">
        <f t="shared" si="227"/>
        <v>01</v>
      </c>
      <c r="T335" t="str">
        <f t="shared" si="228"/>
        <v>0100010101010001</v>
      </c>
      <c r="V335" s="9" t="str">
        <f t="shared" si="229"/>
        <v>01000101</v>
      </c>
      <c r="W335" s="9" t="str">
        <f t="shared" si="230"/>
        <v>01010001</v>
      </c>
      <c r="X335" s="9" t="str">
        <f t="shared" si="231"/>
        <v>45</v>
      </c>
      <c r="Y335" s="9" t="str">
        <f t="shared" si="232"/>
        <v>51</v>
      </c>
    </row>
    <row r="336" spans="1:36" x14ac:dyDescent="0.3">
      <c r="B336" s="2">
        <v>1</v>
      </c>
      <c r="C336" s="2">
        <v>0</v>
      </c>
      <c r="D336" s="2">
        <v>1</v>
      </c>
      <c r="E336" s="2">
        <v>1</v>
      </c>
      <c r="F336" s="2">
        <v>1</v>
      </c>
      <c r="G336" s="2">
        <v>1</v>
      </c>
      <c r="H336" s="2">
        <v>0</v>
      </c>
      <c r="I336" s="2">
        <v>1</v>
      </c>
      <c r="K336" s="2" t="str">
        <f t="shared" si="220"/>
        <v>01</v>
      </c>
      <c r="L336" s="2" t="str">
        <f t="shared" si="221"/>
        <v>00</v>
      </c>
      <c r="M336" s="2" t="str">
        <f t="shared" si="222"/>
        <v>01</v>
      </c>
      <c r="N336" s="2" t="str">
        <f t="shared" si="223"/>
        <v>01</v>
      </c>
      <c r="O336" s="2" t="str">
        <f t="shared" si="224"/>
        <v>01</v>
      </c>
      <c r="P336" s="2" t="str">
        <f t="shared" si="225"/>
        <v>01</v>
      </c>
      <c r="Q336" s="2" t="str">
        <f t="shared" si="226"/>
        <v>00</v>
      </c>
      <c r="R336" s="2" t="str">
        <f t="shared" si="227"/>
        <v>01</v>
      </c>
      <c r="T336" t="str">
        <f t="shared" si="228"/>
        <v>0100010101010001</v>
      </c>
      <c r="V336" s="9" t="str">
        <f t="shared" si="229"/>
        <v>01000101</v>
      </c>
      <c r="W336" s="9" t="str">
        <f t="shared" si="230"/>
        <v>01010001</v>
      </c>
      <c r="X336" s="9" t="str">
        <f t="shared" si="231"/>
        <v>45</v>
      </c>
      <c r="Y336" s="9" t="str">
        <f t="shared" si="232"/>
        <v>51</v>
      </c>
    </row>
    <row r="337" spans="1:36" x14ac:dyDescent="0.3">
      <c r="B337" s="2">
        <v>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1</v>
      </c>
      <c r="K337" s="2" t="str">
        <f t="shared" si="220"/>
        <v>01</v>
      </c>
      <c r="L337" s="2" t="str">
        <f t="shared" si="221"/>
        <v>00</v>
      </c>
      <c r="M337" s="2" t="str">
        <f t="shared" si="222"/>
        <v>00</v>
      </c>
      <c r="N337" s="2" t="str">
        <f t="shared" si="223"/>
        <v>00</v>
      </c>
      <c r="O337" s="2" t="str">
        <f t="shared" si="224"/>
        <v>00</v>
      </c>
      <c r="P337" s="2" t="str">
        <f t="shared" si="225"/>
        <v>00</v>
      </c>
      <c r="Q337" s="2" t="str">
        <f t="shared" si="226"/>
        <v>00</v>
      </c>
      <c r="R337" s="2" t="str">
        <f t="shared" si="227"/>
        <v>01</v>
      </c>
      <c r="T337" t="str">
        <f t="shared" si="228"/>
        <v>0100000000000001</v>
      </c>
      <c r="V337" s="9" t="str">
        <f t="shared" si="229"/>
        <v>01000000</v>
      </c>
      <c r="W337" s="9" t="str">
        <f t="shared" si="230"/>
        <v>00000001</v>
      </c>
      <c r="X337" s="9" t="str">
        <f t="shared" si="231"/>
        <v>40</v>
      </c>
      <c r="Y337" s="9" t="str">
        <f t="shared" si="232"/>
        <v>01</v>
      </c>
    </row>
    <row r="338" spans="1:36" x14ac:dyDescent="0.3">
      <c r="B338" s="2">
        <v>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1</v>
      </c>
      <c r="K338" s="2" t="str">
        <f t="shared" si="220"/>
        <v>01</v>
      </c>
      <c r="L338" s="2" t="str">
        <f t="shared" si="221"/>
        <v>00</v>
      </c>
      <c r="M338" s="2" t="str">
        <f t="shared" si="222"/>
        <v>00</v>
      </c>
      <c r="N338" s="2" t="str">
        <f t="shared" si="223"/>
        <v>00</v>
      </c>
      <c r="O338" s="2" t="str">
        <f t="shared" si="224"/>
        <v>00</v>
      </c>
      <c r="P338" s="2" t="str">
        <f t="shared" si="225"/>
        <v>00</v>
      </c>
      <c r="Q338" s="2" t="str">
        <f t="shared" si="226"/>
        <v>00</v>
      </c>
      <c r="R338" s="2" t="str">
        <f t="shared" si="227"/>
        <v>01</v>
      </c>
      <c r="T338" t="str">
        <f t="shared" si="228"/>
        <v>0100000000000001</v>
      </c>
      <c r="V338" s="9" t="str">
        <f t="shared" si="229"/>
        <v>01000000</v>
      </c>
      <c r="W338" s="9" t="str">
        <f t="shared" si="230"/>
        <v>00000001</v>
      </c>
      <c r="X338" s="9" t="str">
        <f t="shared" si="231"/>
        <v>40</v>
      </c>
      <c r="Y338" s="9" t="str">
        <f t="shared" si="232"/>
        <v>01</v>
      </c>
    </row>
    <row r="339" spans="1:36" x14ac:dyDescent="0.3">
      <c r="B339" s="2">
        <v>1</v>
      </c>
      <c r="C339" s="2">
        <v>1</v>
      </c>
      <c r="D339" s="2">
        <v>1</v>
      </c>
      <c r="E339" s="2">
        <v>1</v>
      </c>
      <c r="F339" s="2">
        <v>1</v>
      </c>
      <c r="G339" s="2">
        <v>1</v>
      </c>
      <c r="H339" s="2">
        <v>1</v>
      </c>
      <c r="I339" s="2">
        <v>1</v>
      </c>
      <c r="K339" s="2" t="str">
        <f t="shared" si="220"/>
        <v>01</v>
      </c>
      <c r="L339" s="2" t="str">
        <f t="shared" si="221"/>
        <v>01</v>
      </c>
      <c r="M339" s="2" t="str">
        <f t="shared" si="222"/>
        <v>01</v>
      </c>
      <c r="N339" s="2" t="str">
        <f t="shared" si="223"/>
        <v>01</v>
      </c>
      <c r="O339" s="2" t="str">
        <f t="shared" si="224"/>
        <v>01</v>
      </c>
      <c r="P339" s="2" t="str">
        <f t="shared" si="225"/>
        <v>01</v>
      </c>
      <c r="Q339" s="2" t="str">
        <f t="shared" si="226"/>
        <v>01</v>
      </c>
      <c r="R339" s="2" t="str">
        <f t="shared" si="227"/>
        <v>01</v>
      </c>
      <c r="T339" t="str">
        <f t="shared" si="228"/>
        <v>0101010101010101</v>
      </c>
      <c r="V339" s="9" t="str">
        <f t="shared" si="229"/>
        <v>01010101</v>
      </c>
      <c r="W339" s="9" t="str">
        <f t="shared" si="230"/>
        <v>01010101</v>
      </c>
      <c r="X339" s="9" t="str">
        <f t="shared" si="231"/>
        <v>55</v>
      </c>
      <c r="Y339" s="9" t="str">
        <f t="shared" si="232"/>
        <v>55</v>
      </c>
    </row>
    <row r="340" spans="1:36" x14ac:dyDescent="0.3">
      <c r="B340" s="2">
        <v>1</v>
      </c>
      <c r="C340" s="2">
        <v>1</v>
      </c>
      <c r="D340" s="2">
        <v>1</v>
      </c>
      <c r="E340" s="2">
        <v>1</v>
      </c>
      <c r="F340" s="2">
        <v>1</v>
      </c>
      <c r="G340" s="2">
        <v>1</v>
      </c>
      <c r="H340" s="2">
        <v>1</v>
      </c>
      <c r="I340" s="2">
        <v>1</v>
      </c>
      <c r="K340" s="2" t="str">
        <f t="shared" si="220"/>
        <v>01</v>
      </c>
      <c r="L340" s="2" t="str">
        <f t="shared" si="221"/>
        <v>01</v>
      </c>
      <c r="M340" s="2" t="str">
        <f t="shared" si="222"/>
        <v>01</v>
      </c>
      <c r="N340" s="2" t="str">
        <f t="shared" si="223"/>
        <v>01</v>
      </c>
      <c r="O340" s="2" t="str">
        <f t="shared" si="224"/>
        <v>01</v>
      </c>
      <c r="P340" s="2" t="str">
        <f t="shared" si="225"/>
        <v>01</v>
      </c>
      <c r="Q340" s="2" t="str">
        <f t="shared" si="226"/>
        <v>01</v>
      </c>
      <c r="R340" s="2" t="str">
        <f t="shared" si="227"/>
        <v>01</v>
      </c>
      <c r="T340" t="str">
        <f t="shared" si="228"/>
        <v>0101010101010101</v>
      </c>
      <c r="V340" s="10" t="str">
        <f t="shared" si="229"/>
        <v>01010101</v>
      </c>
      <c r="W340" s="10" t="str">
        <f t="shared" si="230"/>
        <v>01010101</v>
      </c>
      <c r="X340" s="10" t="str">
        <f t="shared" si="231"/>
        <v>55</v>
      </c>
      <c r="Y340" s="10" t="str">
        <f t="shared" si="232"/>
        <v>55</v>
      </c>
    </row>
    <row r="341" spans="1:36" x14ac:dyDescent="0.3">
      <c r="A341" t="s">
        <v>25</v>
      </c>
      <c r="AJ341" t="str">
        <f>";"&amp;PROPER(A341)</f>
        <v>;Firefly 2</v>
      </c>
    </row>
    <row r="342" spans="1:36" x14ac:dyDescent="0.3"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K342" s="2" t="str">
        <f t="shared" ref="K342:K357" si="234">DEC2BIN(B342,2)</f>
        <v>00</v>
      </c>
      <c r="L342" s="2" t="str">
        <f t="shared" ref="L342:L357" si="235">DEC2BIN(C342,2)</f>
        <v>00</v>
      </c>
      <c r="M342" s="2" t="str">
        <f t="shared" ref="M342:M357" si="236">DEC2BIN(D342,2)</f>
        <v>00</v>
      </c>
      <c r="N342" s="2" t="str">
        <f t="shared" ref="N342:N357" si="237">DEC2BIN(E342,2)</f>
        <v>00</v>
      </c>
      <c r="O342" s="2" t="str">
        <f t="shared" ref="O342:O357" si="238">DEC2BIN(F342,2)</f>
        <v>00</v>
      </c>
      <c r="P342" s="2" t="str">
        <f t="shared" ref="P342:P357" si="239">DEC2BIN(G342,2)</f>
        <v>00</v>
      </c>
      <c r="Q342" s="2" t="str">
        <f t="shared" ref="Q342:Q357" si="240">DEC2BIN(H342,2)</f>
        <v>00</v>
      </c>
      <c r="R342" s="2" t="str">
        <f t="shared" ref="R342:R357" si="241">DEC2BIN(I342,2)</f>
        <v>00</v>
      </c>
      <c r="T342" t="str">
        <f t="shared" ref="T342:T357" si="242">_xlfn.CONCAT(K342:R342)</f>
        <v>0000000000000000</v>
      </c>
      <c r="V342" s="8" t="str">
        <f>LEFT(T342,8)</f>
        <v>00000000</v>
      </c>
      <c r="W342" s="8" t="str">
        <f>RIGHT(T342,8)</f>
        <v>00000000</v>
      </c>
      <c r="X342" s="8" t="str">
        <f>BIN2HEX(V342,2)</f>
        <v>00</v>
      </c>
      <c r="Y342" s="8" t="str">
        <f>BIN2HEX(W342,2)</f>
        <v>00</v>
      </c>
      <c r="AA342" t="str" cm="1">
        <f t="array" ref="AA342:AH342">TRANSPOSE(X342:X349)</f>
        <v>00</v>
      </c>
      <c r="AB342" t="str">
        <v>00</v>
      </c>
      <c r="AC342" t="str">
        <v>15</v>
      </c>
      <c r="AD342" t="str">
        <v>15</v>
      </c>
      <c r="AE342" t="str">
        <v>1F</v>
      </c>
      <c r="AF342" t="str">
        <v>1F</v>
      </c>
      <c r="AG342" t="str">
        <v>1D</v>
      </c>
      <c r="AH342" t="str">
        <v>1D</v>
      </c>
      <c r="AJ342" t="str">
        <f>LOWER("!byte $"&amp;AA342&amp;", $"&amp;AB342&amp;", $"&amp;AC342&amp;", $"&amp;AD342&amp;", $"&amp;AE342&amp;", $"&amp;AF342&amp;", $"&amp;AG342&amp;", $"&amp;AH342)</f>
        <v>!byte $00, $00, $15, $15, $1f, $1f, $1d, $1d</v>
      </c>
    </row>
    <row r="343" spans="1:36" x14ac:dyDescent="0.3"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K343" s="2" t="str">
        <f t="shared" si="234"/>
        <v>00</v>
      </c>
      <c r="L343" s="2" t="str">
        <f t="shared" si="235"/>
        <v>00</v>
      </c>
      <c r="M343" s="2" t="str">
        <f t="shared" si="236"/>
        <v>00</v>
      </c>
      <c r="N343" s="2" t="str">
        <f t="shared" si="237"/>
        <v>00</v>
      </c>
      <c r="O343" s="2" t="str">
        <f t="shared" si="238"/>
        <v>00</v>
      </c>
      <c r="P343" s="2" t="str">
        <f t="shared" si="239"/>
        <v>00</v>
      </c>
      <c r="Q343" s="2" t="str">
        <f t="shared" si="240"/>
        <v>00</v>
      </c>
      <c r="R343" s="2" t="str">
        <f t="shared" si="241"/>
        <v>00</v>
      </c>
      <c r="T343" t="str">
        <f t="shared" si="242"/>
        <v>0000000000000000</v>
      </c>
      <c r="V343" s="9" t="str">
        <f t="shared" ref="V343:V357" si="243">LEFT(T343,8)</f>
        <v>00000000</v>
      </c>
      <c r="W343" s="9" t="str">
        <f t="shared" ref="W343:W357" si="244">RIGHT(T343,8)</f>
        <v>00000000</v>
      </c>
      <c r="X343" s="9" t="str">
        <f t="shared" ref="X343:X357" si="245">BIN2HEX(V343,2)</f>
        <v>00</v>
      </c>
      <c r="Y343" s="9" t="str">
        <f t="shared" ref="Y343:Y357" si="246">BIN2HEX(W343,2)</f>
        <v>00</v>
      </c>
      <c r="AA343" t="str" cm="1">
        <f t="array" ref="AA343:AH343">TRANSPOSE(X350:X357)</f>
        <v>1D</v>
      </c>
      <c r="AB343" t="str">
        <v>1D</v>
      </c>
      <c r="AC343" t="str">
        <v>1F</v>
      </c>
      <c r="AD343" t="str">
        <v>1F</v>
      </c>
      <c r="AE343" t="str">
        <v>15</v>
      </c>
      <c r="AF343" t="str">
        <v>15</v>
      </c>
      <c r="AG343" t="str">
        <v>00</v>
      </c>
      <c r="AH343" t="str">
        <v>00</v>
      </c>
      <c r="AJ343" t="str">
        <f t="shared" ref="AJ343:AJ345" si="247">LOWER("!byte $"&amp;AA343&amp;", $"&amp;AB343&amp;", $"&amp;AC343&amp;", $"&amp;AD343&amp;", $"&amp;AE343&amp;", $"&amp;AF343&amp;", $"&amp;AG343&amp;", $"&amp;AH343)</f>
        <v>!byte $1d, $1d, $1f, $1f, $15, $15, $00, $00</v>
      </c>
    </row>
    <row r="344" spans="1:36" x14ac:dyDescent="0.3">
      <c r="B344" s="2">
        <v>0</v>
      </c>
      <c r="C344" s="2">
        <v>1</v>
      </c>
      <c r="D344" s="2">
        <v>1</v>
      </c>
      <c r="E344" s="2">
        <v>1</v>
      </c>
      <c r="F344" s="2">
        <v>1</v>
      </c>
      <c r="G344" s="2">
        <v>1</v>
      </c>
      <c r="H344" s="2">
        <v>1</v>
      </c>
      <c r="I344" s="2">
        <v>0</v>
      </c>
      <c r="K344" s="2" t="str">
        <f t="shared" si="234"/>
        <v>00</v>
      </c>
      <c r="L344" s="2" t="str">
        <f t="shared" si="235"/>
        <v>01</v>
      </c>
      <c r="M344" s="2" t="str">
        <f t="shared" si="236"/>
        <v>01</v>
      </c>
      <c r="N344" s="2" t="str">
        <f t="shared" si="237"/>
        <v>01</v>
      </c>
      <c r="O344" s="2" t="str">
        <f t="shared" si="238"/>
        <v>01</v>
      </c>
      <c r="P344" s="2" t="str">
        <f t="shared" si="239"/>
        <v>01</v>
      </c>
      <c r="Q344" s="2" t="str">
        <f t="shared" si="240"/>
        <v>01</v>
      </c>
      <c r="R344" s="2" t="str">
        <f t="shared" si="241"/>
        <v>00</v>
      </c>
      <c r="T344" t="str">
        <f t="shared" si="242"/>
        <v>0001010101010100</v>
      </c>
      <c r="V344" s="9" t="str">
        <f t="shared" si="243"/>
        <v>00010101</v>
      </c>
      <c r="W344" s="9" t="str">
        <f t="shared" si="244"/>
        <v>01010100</v>
      </c>
      <c r="X344" s="9" t="str">
        <f t="shared" si="245"/>
        <v>15</v>
      </c>
      <c r="Y344" s="9" t="str">
        <f t="shared" si="246"/>
        <v>54</v>
      </c>
      <c r="AA344" t="str" cm="1">
        <f t="array" ref="AA344:AH344">TRANSPOSE(Y342:Y349)</f>
        <v>00</v>
      </c>
      <c r="AB344" t="str">
        <v>00</v>
      </c>
      <c r="AC344" t="str">
        <v>54</v>
      </c>
      <c r="AD344" t="str">
        <v>54</v>
      </c>
      <c r="AE344" t="str">
        <v>F4</v>
      </c>
      <c r="AF344" t="str">
        <v>F4</v>
      </c>
      <c r="AG344" t="str">
        <v>74</v>
      </c>
      <c r="AH344" t="str">
        <v>74</v>
      </c>
      <c r="AJ344" t="str">
        <f t="shared" si="247"/>
        <v>!byte $00, $00, $54, $54, $f4, $f4, $74, $74</v>
      </c>
    </row>
    <row r="345" spans="1:36" x14ac:dyDescent="0.3">
      <c r="B345" s="2">
        <v>0</v>
      </c>
      <c r="C345" s="2">
        <v>1</v>
      </c>
      <c r="D345" s="2">
        <v>1</v>
      </c>
      <c r="E345" s="2">
        <v>1</v>
      </c>
      <c r="F345" s="2">
        <v>1</v>
      </c>
      <c r="G345" s="2">
        <v>1</v>
      </c>
      <c r="H345" s="2">
        <v>1</v>
      </c>
      <c r="I345" s="2">
        <v>0</v>
      </c>
      <c r="K345" s="2" t="str">
        <f t="shared" si="234"/>
        <v>00</v>
      </c>
      <c r="L345" s="2" t="str">
        <f t="shared" si="235"/>
        <v>01</v>
      </c>
      <c r="M345" s="2" t="str">
        <f t="shared" si="236"/>
        <v>01</v>
      </c>
      <c r="N345" s="2" t="str">
        <f t="shared" si="237"/>
        <v>01</v>
      </c>
      <c r="O345" s="2" t="str">
        <f t="shared" si="238"/>
        <v>01</v>
      </c>
      <c r="P345" s="2" t="str">
        <f t="shared" si="239"/>
        <v>01</v>
      </c>
      <c r="Q345" s="2" t="str">
        <f t="shared" si="240"/>
        <v>01</v>
      </c>
      <c r="R345" s="2" t="str">
        <f t="shared" si="241"/>
        <v>00</v>
      </c>
      <c r="T345" t="str">
        <f t="shared" si="242"/>
        <v>0001010101010100</v>
      </c>
      <c r="V345" s="9" t="str">
        <f t="shared" si="243"/>
        <v>00010101</v>
      </c>
      <c r="W345" s="9" t="str">
        <f t="shared" si="244"/>
        <v>01010100</v>
      </c>
      <c r="X345" s="9" t="str">
        <f t="shared" si="245"/>
        <v>15</v>
      </c>
      <c r="Y345" s="9" t="str">
        <f t="shared" si="246"/>
        <v>54</v>
      </c>
      <c r="AA345" t="str" cm="1">
        <f t="array" ref="AA345:AH345">TRANSPOSE(Y350:Y357)</f>
        <v>74</v>
      </c>
      <c r="AB345" t="str">
        <v>74</v>
      </c>
      <c r="AC345" t="str">
        <v>F4</v>
      </c>
      <c r="AD345" t="str">
        <v>F4</v>
      </c>
      <c r="AE345" t="str">
        <v>54</v>
      </c>
      <c r="AF345" t="str">
        <v>54</v>
      </c>
      <c r="AG345" t="str">
        <v>00</v>
      </c>
      <c r="AH345" t="str">
        <v>00</v>
      </c>
      <c r="AJ345" t="str">
        <f t="shared" si="247"/>
        <v>!byte $74, $74, $f4, $f4, $54, $54, $00, $00</v>
      </c>
    </row>
    <row r="346" spans="1:36" x14ac:dyDescent="0.3">
      <c r="B346" s="2">
        <v>0</v>
      </c>
      <c r="C346" s="2">
        <v>1</v>
      </c>
      <c r="D346" s="2">
        <v>3</v>
      </c>
      <c r="E346" s="2">
        <v>3</v>
      </c>
      <c r="F346" s="2">
        <v>3</v>
      </c>
      <c r="G346" s="2">
        <v>3</v>
      </c>
      <c r="H346" s="2">
        <v>1</v>
      </c>
      <c r="I346" s="2">
        <v>0</v>
      </c>
      <c r="K346" s="2" t="str">
        <f t="shared" si="234"/>
        <v>00</v>
      </c>
      <c r="L346" s="2" t="str">
        <f t="shared" si="235"/>
        <v>01</v>
      </c>
      <c r="M346" s="2" t="str">
        <f t="shared" si="236"/>
        <v>11</v>
      </c>
      <c r="N346" s="2" t="str">
        <f t="shared" si="237"/>
        <v>11</v>
      </c>
      <c r="O346" s="2" t="str">
        <f t="shared" si="238"/>
        <v>11</v>
      </c>
      <c r="P346" s="2" t="str">
        <f t="shared" si="239"/>
        <v>11</v>
      </c>
      <c r="Q346" s="2" t="str">
        <f t="shared" si="240"/>
        <v>01</v>
      </c>
      <c r="R346" s="2" t="str">
        <f t="shared" si="241"/>
        <v>00</v>
      </c>
      <c r="T346" t="str">
        <f t="shared" si="242"/>
        <v>0001111111110100</v>
      </c>
      <c r="V346" s="9" t="str">
        <f t="shared" si="243"/>
        <v>00011111</v>
      </c>
      <c r="W346" s="9" t="str">
        <f t="shared" si="244"/>
        <v>11110100</v>
      </c>
      <c r="X346" s="9" t="str">
        <f t="shared" si="245"/>
        <v>1F</v>
      </c>
      <c r="Y346" s="9" t="str">
        <f t="shared" si="246"/>
        <v>F4</v>
      </c>
    </row>
    <row r="347" spans="1:36" x14ac:dyDescent="0.3">
      <c r="B347" s="2">
        <v>0</v>
      </c>
      <c r="C347" s="2">
        <v>1</v>
      </c>
      <c r="D347" s="2">
        <v>3</v>
      </c>
      <c r="E347" s="2">
        <v>3</v>
      </c>
      <c r="F347" s="2">
        <v>3</v>
      </c>
      <c r="G347" s="2">
        <v>3</v>
      </c>
      <c r="H347" s="2">
        <v>1</v>
      </c>
      <c r="I347" s="2">
        <v>0</v>
      </c>
      <c r="K347" s="2" t="str">
        <f t="shared" si="234"/>
        <v>00</v>
      </c>
      <c r="L347" s="2" t="str">
        <f t="shared" si="235"/>
        <v>01</v>
      </c>
      <c r="M347" s="2" t="str">
        <f t="shared" si="236"/>
        <v>11</v>
      </c>
      <c r="N347" s="2" t="str">
        <f t="shared" si="237"/>
        <v>11</v>
      </c>
      <c r="O347" s="2" t="str">
        <f t="shared" si="238"/>
        <v>11</v>
      </c>
      <c r="P347" s="2" t="str">
        <f t="shared" si="239"/>
        <v>11</v>
      </c>
      <c r="Q347" s="2" t="str">
        <f t="shared" si="240"/>
        <v>01</v>
      </c>
      <c r="R347" s="2" t="str">
        <f t="shared" si="241"/>
        <v>00</v>
      </c>
      <c r="T347" t="str">
        <f t="shared" si="242"/>
        <v>0001111111110100</v>
      </c>
      <c r="V347" s="9" t="str">
        <f t="shared" si="243"/>
        <v>00011111</v>
      </c>
      <c r="W347" s="9" t="str">
        <f t="shared" si="244"/>
        <v>11110100</v>
      </c>
      <c r="X347" s="9" t="str">
        <f t="shared" si="245"/>
        <v>1F</v>
      </c>
      <c r="Y347" s="9" t="str">
        <f t="shared" si="246"/>
        <v>F4</v>
      </c>
    </row>
    <row r="348" spans="1:36" x14ac:dyDescent="0.3">
      <c r="B348" s="2">
        <v>0</v>
      </c>
      <c r="C348" s="2">
        <v>1</v>
      </c>
      <c r="D348" s="2">
        <v>3</v>
      </c>
      <c r="E348" s="2">
        <v>1</v>
      </c>
      <c r="F348" s="2">
        <v>1</v>
      </c>
      <c r="G348" s="2">
        <v>3</v>
      </c>
      <c r="H348" s="2">
        <v>1</v>
      </c>
      <c r="I348" s="2">
        <v>0</v>
      </c>
      <c r="K348" s="2" t="str">
        <f t="shared" si="234"/>
        <v>00</v>
      </c>
      <c r="L348" s="2" t="str">
        <f t="shared" si="235"/>
        <v>01</v>
      </c>
      <c r="M348" s="2" t="str">
        <f t="shared" si="236"/>
        <v>11</v>
      </c>
      <c r="N348" s="2" t="str">
        <f t="shared" si="237"/>
        <v>01</v>
      </c>
      <c r="O348" s="2" t="str">
        <f t="shared" si="238"/>
        <v>01</v>
      </c>
      <c r="P348" s="2" t="str">
        <f t="shared" si="239"/>
        <v>11</v>
      </c>
      <c r="Q348" s="2" t="str">
        <f t="shared" si="240"/>
        <v>01</v>
      </c>
      <c r="R348" s="2" t="str">
        <f t="shared" si="241"/>
        <v>00</v>
      </c>
      <c r="T348" t="str">
        <f t="shared" si="242"/>
        <v>0001110101110100</v>
      </c>
      <c r="V348" s="9" t="str">
        <f t="shared" si="243"/>
        <v>00011101</v>
      </c>
      <c r="W348" s="9" t="str">
        <f t="shared" si="244"/>
        <v>01110100</v>
      </c>
      <c r="X348" s="9" t="str">
        <f t="shared" si="245"/>
        <v>1D</v>
      </c>
      <c r="Y348" s="9" t="str">
        <f t="shared" si="246"/>
        <v>74</v>
      </c>
    </row>
    <row r="349" spans="1:36" x14ac:dyDescent="0.3">
      <c r="B349" s="2">
        <v>0</v>
      </c>
      <c r="C349" s="2">
        <v>1</v>
      </c>
      <c r="D349" s="2">
        <v>3</v>
      </c>
      <c r="E349" s="2">
        <v>1</v>
      </c>
      <c r="F349" s="2">
        <v>1</v>
      </c>
      <c r="G349" s="2">
        <v>3</v>
      </c>
      <c r="H349" s="2">
        <v>1</v>
      </c>
      <c r="I349" s="2">
        <v>0</v>
      </c>
      <c r="K349" s="2" t="str">
        <f t="shared" si="234"/>
        <v>00</v>
      </c>
      <c r="L349" s="2" t="str">
        <f t="shared" si="235"/>
        <v>01</v>
      </c>
      <c r="M349" s="2" t="str">
        <f t="shared" si="236"/>
        <v>11</v>
      </c>
      <c r="N349" s="2" t="str">
        <f t="shared" si="237"/>
        <v>01</v>
      </c>
      <c r="O349" s="2" t="str">
        <f t="shared" si="238"/>
        <v>01</v>
      </c>
      <c r="P349" s="2" t="str">
        <f t="shared" si="239"/>
        <v>11</v>
      </c>
      <c r="Q349" s="2" t="str">
        <f t="shared" si="240"/>
        <v>01</v>
      </c>
      <c r="R349" s="2" t="str">
        <f t="shared" si="241"/>
        <v>00</v>
      </c>
      <c r="T349" t="str">
        <f t="shared" si="242"/>
        <v>0001110101110100</v>
      </c>
      <c r="V349" s="10" t="str">
        <f t="shared" si="243"/>
        <v>00011101</v>
      </c>
      <c r="W349" s="10" t="str">
        <f t="shared" si="244"/>
        <v>01110100</v>
      </c>
      <c r="X349" s="10" t="str">
        <f t="shared" si="245"/>
        <v>1D</v>
      </c>
      <c r="Y349" s="10" t="str">
        <f t="shared" si="246"/>
        <v>74</v>
      </c>
    </row>
    <row r="350" spans="1:36" x14ac:dyDescent="0.3">
      <c r="B350" s="2">
        <v>0</v>
      </c>
      <c r="C350" s="2">
        <v>1</v>
      </c>
      <c r="D350" s="2">
        <v>3</v>
      </c>
      <c r="E350" s="2">
        <v>1</v>
      </c>
      <c r="F350" s="2">
        <v>1</v>
      </c>
      <c r="G350" s="2">
        <v>3</v>
      </c>
      <c r="H350" s="2">
        <v>1</v>
      </c>
      <c r="I350" s="2">
        <v>0</v>
      </c>
      <c r="K350" s="2" t="str">
        <f t="shared" si="234"/>
        <v>00</v>
      </c>
      <c r="L350" s="2" t="str">
        <f t="shared" si="235"/>
        <v>01</v>
      </c>
      <c r="M350" s="2" t="str">
        <f t="shared" si="236"/>
        <v>11</v>
      </c>
      <c r="N350" s="2" t="str">
        <f t="shared" si="237"/>
        <v>01</v>
      </c>
      <c r="O350" s="2" t="str">
        <f t="shared" si="238"/>
        <v>01</v>
      </c>
      <c r="P350" s="2" t="str">
        <f t="shared" si="239"/>
        <v>11</v>
      </c>
      <c r="Q350" s="2" t="str">
        <f t="shared" si="240"/>
        <v>01</v>
      </c>
      <c r="R350" s="2" t="str">
        <f t="shared" si="241"/>
        <v>00</v>
      </c>
      <c r="T350" t="str">
        <f t="shared" si="242"/>
        <v>0001110101110100</v>
      </c>
      <c r="V350" s="8" t="str">
        <f t="shared" si="243"/>
        <v>00011101</v>
      </c>
      <c r="W350" s="8" t="str">
        <f t="shared" si="244"/>
        <v>01110100</v>
      </c>
      <c r="X350" s="8" t="str">
        <f t="shared" si="245"/>
        <v>1D</v>
      </c>
      <c r="Y350" s="8" t="str">
        <f t="shared" si="246"/>
        <v>74</v>
      </c>
    </row>
    <row r="351" spans="1:36" x14ac:dyDescent="0.3">
      <c r="B351" s="2">
        <v>0</v>
      </c>
      <c r="C351" s="2">
        <v>1</v>
      </c>
      <c r="D351" s="2">
        <v>3</v>
      </c>
      <c r="E351" s="2">
        <v>1</v>
      </c>
      <c r="F351" s="2">
        <v>1</v>
      </c>
      <c r="G351" s="2">
        <v>3</v>
      </c>
      <c r="H351" s="2">
        <v>1</v>
      </c>
      <c r="I351" s="2">
        <v>0</v>
      </c>
      <c r="K351" s="2" t="str">
        <f t="shared" si="234"/>
        <v>00</v>
      </c>
      <c r="L351" s="2" t="str">
        <f t="shared" si="235"/>
        <v>01</v>
      </c>
      <c r="M351" s="2" t="str">
        <f t="shared" si="236"/>
        <v>11</v>
      </c>
      <c r="N351" s="2" t="str">
        <f t="shared" si="237"/>
        <v>01</v>
      </c>
      <c r="O351" s="2" t="str">
        <f t="shared" si="238"/>
        <v>01</v>
      </c>
      <c r="P351" s="2" t="str">
        <f t="shared" si="239"/>
        <v>11</v>
      </c>
      <c r="Q351" s="2" t="str">
        <f t="shared" si="240"/>
        <v>01</v>
      </c>
      <c r="R351" s="2" t="str">
        <f t="shared" si="241"/>
        <v>00</v>
      </c>
      <c r="T351" t="str">
        <f t="shared" si="242"/>
        <v>0001110101110100</v>
      </c>
      <c r="V351" s="9" t="str">
        <f t="shared" si="243"/>
        <v>00011101</v>
      </c>
      <c r="W351" s="9" t="str">
        <f t="shared" si="244"/>
        <v>01110100</v>
      </c>
      <c r="X351" s="9" t="str">
        <f t="shared" si="245"/>
        <v>1D</v>
      </c>
      <c r="Y351" s="9" t="str">
        <f t="shared" si="246"/>
        <v>74</v>
      </c>
    </row>
    <row r="352" spans="1:36" x14ac:dyDescent="0.3">
      <c r="B352" s="2">
        <v>0</v>
      </c>
      <c r="C352" s="2">
        <v>1</v>
      </c>
      <c r="D352" s="2">
        <v>3</v>
      </c>
      <c r="E352" s="2">
        <v>3</v>
      </c>
      <c r="F352" s="2">
        <v>3</v>
      </c>
      <c r="G352" s="2">
        <v>3</v>
      </c>
      <c r="H352" s="2">
        <v>1</v>
      </c>
      <c r="I352" s="2">
        <v>0</v>
      </c>
      <c r="K352" s="2" t="str">
        <f t="shared" si="234"/>
        <v>00</v>
      </c>
      <c r="L352" s="2" t="str">
        <f t="shared" si="235"/>
        <v>01</v>
      </c>
      <c r="M352" s="2" t="str">
        <f t="shared" si="236"/>
        <v>11</v>
      </c>
      <c r="N352" s="2" t="str">
        <f t="shared" si="237"/>
        <v>11</v>
      </c>
      <c r="O352" s="2" t="str">
        <f t="shared" si="238"/>
        <v>11</v>
      </c>
      <c r="P352" s="2" t="str">
        <f t="shared" si="239"/>
        <v>11</v>
      </c>
      <c r="Q352" s="2" t="str">
        <f t="shared" si="240"/>
        <v>01</v>
      </c>
      <c r="R352" s="2" t="str">
        <f t="shared" si="241"/>
        <v>00</v>
      </c>
      <c r="T352" t="str">
        <f t="shared" si="242"/>
        <v>0001111111110100</v>
      </c>
      <c r="V352" s="9" t="str">
        <f t="shared" si="243"/>
        <v>00011111</v>
      </c>
      <c r="W352" s="9" t="str">
        <f t="shared" si="244"/>
        <v>11110100</v>
      </c>
      <c r="X352" s="9" t="str">
        <f t="shared" si="245"/>
        <v>1F</v>
      </c>
      <c r="Y352" s="9" t="str">
        <f t="shared" si="246"/>
        <v>F4</v>
      </c>
    </row>
    <row r="353" spans="1:36" x14ac:dyDescent="0.3">
      <c r="B353" s="2">
        <v>0</v>
      </c>
      <c r="C353" s="2">
        <v>1</v>
      </c>
      <c r="D353" s="2">
        <v>3</v>
      </c>
      <c r="E353" s="2">
        <v>3</v>
      </c>
      <c r="F353" s="2">
        <v>3</v>
      </c>
      <c r="G353" s="2">
        <v>3</v>
      </c>
      <c r="H353" s="2">
        <v>1</v>
      </c>
      <c r="I353" s="2">
        <v>0</v>
      </c>
      <c r="K353" s="2" t="str">
        <f t="shared" si="234"/>
        <v>00</v>
      </c>
      <c r="L353" s="2" t="str">
        <f t="shared" si="235"/>
        <v>01</v>
      </c>
      <c r="M353" s="2" t="str">
        <f t="shared" si="236"/>
        <v>11</v>
      </c>
      <c r="N353" s="2" t="str">
        <f t="shared" si="237"/>
        <v>11</v>
      </c>
      <c r="O353" s="2" t="str">
        <f t="shared" si="238"/>
        <v>11</v>
      </c>
      <c r="P353" s="2" t="str">
        <f t="shared" si="239"/>
        <v>11</v>
      </c>
      <c r="Q353" s="2" t="str">
        <f t="shared" si="240"/>
        <v>01</v>
      </c>
      <c r="R353" s="2" t="str">
        <f t="shared" si="241"/>
        <v>00</v>
      </c>
      <c r="T353" t="str">
        <f t="shared" si="242"/>
        <v>0001111111110100</v>
      </c>
      <c r="V353" s="9" t="str">
        <f t="shared" si="243"/>
        <v>00011111</v>
      </c>
      <c r="W353" s="9" t="str">
        <f t="shared" si="244"/>
        <v>11110100</v>
      </c>
      <c r="X353" s="9" t="str">
        <f t="shared" si="245"/>
        <v>1F</v>
      </c>
      <c r="Y353" s="9" t="str">
        <f t="shared" si="246"/>
        <v>F4</v>
      </c>
    </row>
    <row r="354" spans="1:36" x14ac:dyDescent="0.3">
      <c r="B354" s="2">
        <v>0</v>
      </c>
      <c r="C354" s="2">
        <v>1</v>
      </c>
      <c r="D354" s="2">
        <v>1</v>
      </c>
      <c r="E354" s="2">
        <v>1</v>
      </c>
      <c r="F354" s="2">
        <v>1</v>
      </c>
      <c r="G354" s="2">
        <v>1</v>
      </c>
      <c r="H354" s="2">
        <v>1</v>
      </c>
      <c r="I354" s="2">
        <v>0</v>
      </c>
      <c r="K354" s="2" t="str">
        <f t="shared" si="234"/>
        <v>00</v>
      </c>
      <c r="L354" s="2" t="str">
        <f t="shared" si="235"/>
        <v>01</v>
      </c>
      <c r="M354" s="2" t="str">
        <f t="shared" si="236"/>
        <v>01</v>
      </c>
      <c r="N354" s="2" t="str">
        <f t="shared" si="237"/>
        <v>01</v>
      </c>
      <c r="O354" s="2" t="str">
        <f t="shared" si="238"/>
        <v>01</v>
      </c>
      <c r="P354" s="2" t="str">
        <f t="shared" si="239"/>
        <v>01</v>
      </c>
      <c r="Q354" s="2" t="str">
        <f t="shared" si="240"/>
        <v>01</v>
      </c>
      <c r="R354" s="2" t="str">
        <f t="shared" si="241"/>
        <v>00</v>
      </c>
      <c r="T354" t="str">
        <f t="shared" si="242"/>
        <v>0001010101010100</v>
      </c>
      <c r="V354" s="9" t="str">
        <f t="shared" si="243"/>
        <v>00010101</v>
      </c>
      <c r="W354" s="9" t="str">
        <f t="shared" si="244"/>
        <v>01010100</v>
      </c>
      <c r="X354" s="9" t="str">
        <f t="shared" si="245"/>
        <v>15</v>
      </c>
      <c r="Y354" s="9" t="str">
        <f t="shared" si="246"/>
        <v>54</v>
      </c>
    </row>
    <row r="355" spans="1:36" x14ac:dyDescent="0.3">
      <c r="B355" s="2">
        <v>0</v>
      </c>
      <c r="C355" s="2">
        <v>1</v>
      </c>
      <c r="D355" s="2">
        <v>1</v>
      </c>
      <c r="E355" s="2">
        <v>1</v>
      </c>
      <c r="F355" s="2">
        <v>1</v>
      </c>
      <c r="G355" s="2">
        <v>1</v>
      </c>
      <c r="H355" s="2">
        <v>1</v>
      </c>
      <c r="I355" s="2">
        <v>0</v>
      </c>
      <c r="K355" s="2" t="str">
        <f t="shared" si="234"/>
        <v>00</v>
      </c>
      <c r="L355" s="2" t="str">
        <f t="shared" si="235"/>
        <v>01</v>
      </c>
      <c r="M355" s="2" t="str">
        <f t="shared" si="236"/>
        <v>01</v>
      </c>
      <c r="N355" s="2" t="str">
        <f t="shared" si="237"/>
        <v>01</v>
      </c>
      <c r="O355" s="2" t="str">
        <f t="shared" si="238"/>
        <v>01</v>
      </c>
      <c r="P355" s="2" t="str">
        <f t="shared" si="239"/>
        <v>01</v>
      </c>
      <c r="Q355" s="2" t="str">
        <f t="shared" si="240"/>
        <v>01</v>
      </c>
      <c r="R355" s="2" t="str">
        <f t="shared" si="241"/>
        <v>00</v>
      </c>
      <c r="T355" t="str">
        <f t="shared" si="242"/>
        <v>0001010101010100</v>
      </c>
      <c r="V355" s="9" t="str">
        <f t="shared" si="243"/>
        <v>00010101</v>
      </c>
      <c r="W355" s="9" t="str">
        <f t="shared" si="244"/>
        <v>01010100</v>
      </c>
      <c r="X355" s="9" t="str">
        <f t="shared" si="245"/>
        <v>15</v>
      </c>
      <c r="Y355" s="9" t="str">
        <f t="shared" si="246"/>
        <v>54</v>
      </c>
    </row>
    <row r="356" spans="1:36" x14ac:dyDescent="0.3"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K356" s="2" t="str">
        <f t="shared" si="234"/>
        <v>00</v>
      </c>
      <c r="L356" s="2" t="str">
        <f t="shared" si="235"/>
        <v>00</v>
      </c>
      <c r="M356" s="2" t="str">
        <f t="shared" si="236"/>
        <v>00</v>
      </c>
      <c r="N356" s="2" t="str">
        <f t="shared" si="237"/>
        <v>00</v>
      </c>
      <c r="O356" s="2" t="str">
        <f t="shared" si="238"/>
        <v>00</v>
      </c>
      <c r="P356" s="2" t="str">
        <f t="shared" si="239"/>
        <v>00</v>
      </c>
      <c r="Q356" s="2" t="str">
        <f t="shared" si="240"/>
        <v>00</v>
      </c>
      <c r="R356" s="2" t="str">
        <f t="shared" si="241"/>
        <v>00</v>
      </c>
      <c r="T356" t="str">
        <f t="shared" si="242"/>
        <v>0000000000000000</v>
      </c>
      <c r="V356" s="9" t="str">
        <f t="shared" si="243"/>
        <v>00000000</v>
      </c>
      <c r="W356" s="9" t="str">
        <f t="shared" si="244"/>
        <v>00000000</v>
      </c>
      <c r="X356" s="9" t="str">
        <f t="shared" si="245"/>
        <v>00</v>
      </c>
      <c r="Y356" s="9" t="str">
        <f t="shared" si="246"/>
        <v>00</v>
      </c>
    </row>
    <row r="357" spans="1:36" x14ac:dyDescent="0.3"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K357" s="2" t="str">
        <f t="shared" si="234"/>
        <v>00</v>
      </c>
      <c r="L357" s="2" t="str">
        <f t="shared" si="235"/>
        <v>00</v>
      </c>
      <c r="M357" s="2" t="str">
        <f t="shared" si="236"/>
        <v>00</v>
      </c>
      <c r="N357" s="2" t="str">
        <f t="shared" si="237"/>
        <v>00</v>
      </c>
      <c r="O357" s="2" t="str">
        <f t="shared" si="238"/>
        <v>00</v>
      </c>
      <c r="P357" s="2" t="str">
        <f t="shared" si="239"/>
        <v>00</v>
      </c>
      <c r="Q357" s="2" t="str">
        <f t="shared" si="240"/>
        <v>00</v>
      </c>
      <c r="R357" s="2" t="str">
        <f t="shared" si="241"/>
        <v>00</v>
      </c>
      <c r="T357" t="str">
        <f t="shared" si="242"/>
        <v>0000000000000000</v>
      </c>
      <c r="V357" s="10" t="str">
        <f t="shared" si="243"/>
        <v>00000000</v>
      </c>
      <c r="W357" s="10" t="str">
        <f t="shared" si="244"/>
        <v>00000000</v>
      </c>
      <c r="X357" s="10" t="str">
        <f t="shared" si="245"/>
        <v>00</v>
      </c>
      <c r="Y357" s="10" t="str">
        <f t="shared" si="246"/>
        <v>00</v>
      </c>
    </row>
    <row r="358" spans="1:36" x14ac:dyDescent="0.3">
      <c r="A358" t="s">
        <v>26</v>
      </c>
      <c r="AJ358" t="str">
        <f>";"&amp;PROPER(A358)</f>
        <v>;Firefly 3</v>
      </c>
    </row>
    <row r="359" spans="1:36" x14ac:dyDescent="0.3">
      <c r="B359" s="2">
        <v>1</v>
      </c>
      <c r="C359" s="2">
        <v>1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  <c r="K359" s="2" t="str">
        <f t="shared" ref="K359:K374" si="248">DEC2BIN(B359,2)</f>
        <v>01</v>
      </c>
      <c r="L359" s="2" t="str">
        <f t="shared" ref="L359:L374" si="249">DEC2BIN(C359,2)</f>
        <v>01</v>
      </c>
      <c r="M359" s="2" t="str">
        <f t="shared" ref="M359:M374" si="250">DEC2BIN(D359,2)</f>
        <v>01</v>
      </c>
      <c r="N359" s="2" t="str">
        <f t="shared" ref="N359:N374" si="251">DEC2BIN(E359,2)</f>
        <v>01</v>
      </c>
      <c r="O359" s="2" t="str">
        <f t="shared" ref="O359:O374" si="252">DEC2BIN(F359,2)</f>
        <v>01</v>
      </c>
      <c r="P359" s="2" t="str">
        <f t="shared" ref="P359:P374" si="253">DEC2BIN(G359,2)</f>
        <v>01</v>
      </c>
      <c r="Q359" s="2" t="str">
        <f t="shared" ref="Q359:Q374" si="254">DEC2BIN(H359,2)</f>
        <v>01</v>
      </c>
      <c r="R359" s="2" t="str">
        <f t="shared" ref="R359:R374" si="255">DEC2BIN(I359,2)</f>
        <v>01</v>
      </c>
      <c r="T359" t="str">
        <f t="shared" ref="T359:T374" si="256">_xlfn.CONCAT(K359:R359)</f>
        <v>0101010101010101</v>
      </c>
      <c r="V359" s="8" t="str">
        <f>LEFT(T359,8)</f>
        <v>01010101</v>
      </c>
      <c r="W359" s="8" t="str">
        <f>RIGHT(T359,8)</f>
        <v>01010101</v>
      </c>
      <c r="X359" s="8" t="str">
        <f>BIN2HEX(V359,2)</f>
        <v>55</v>
      </c>
      <c r="Y359" s="8" t="str">
        <f>BIN2HEX(W359,2)</f>
        <v>55</v>
      </c>
      <c r="AA359" t="str" cm="1">
        <f t="array" ref="AA359:AH359">TRANSPOSE(X359:X366)</f>
        <v>55</v>
      </c>
      <c r="AB359" t="str">
        <v>55</v>
      </c>
      <c r="AC359" t="str">
        <v>7F</v>
      </c>
      <c r="AD359" t="str">
        <v>7F</v>
      </c>
      <c r="AE359" t="str">
        <v>75</v>
      </c>
      <c r="AF359" t="str">
        <v>75</v>
      </c>
      <c r="AG359" t="str">
        <v>74</v>
      </c>
      <c r="AH359" t="str">
        <v>74</v>
      </c>
      <c r="AJ359" t="str">
        <f>LOWER("!byte $"&amp;AA359&amp;", $"&amp;AB359&amp;", $"&amp;AC359&amp;", $"&amp;AD359&amp;", $"&amp;AE359&amp;", $"&amp;AF359&amp;", $"&amp;AG359&amp;", $"&amp;AH359)</f>
        <v>!byte $55, $55, $7f, $7f, $75, $75, $74, $74</v>
      </c>
    </row>
    <row r="360" spans="1:36" x14ac:dyDescent="0.3">
      <c r="B360" s="2">
        <v>1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  <c r="K360" s="2" t="str">
        <f t="shared" si="248"/>
        <v>01</v>
      </c>
      <c r="L360" s="2" t="str">
        <f t="shared" si="249"/>
        <v>01</v>
      </c>
      <c r="M360" s="2" t="str">
        <f t="shared" si="250"/>
        <v>01</v>
      </c>
      <c r="N360" s="2" t="str">
        <f t="shared" si="251"/>
        <v>01</v>
      </c>
      <c r="O360" s="2" t="str">
        <f t="shared" si="252"/>
        <v>01</v>
      </c>
      <c r="P360" s="2" t="str">
        <f t="shared" si="253"/>
        <v>01</v>
      </c>
      <c r="Q360" s="2" t="str">
        <f t="shared" si="254"/>
        <v>01</v>
      </c>
      <c r="R360" s="2" t="str">
        <f t="shared" si="255"/>
        <v>01</v>
      </c>
      <c r="T360" t="str">
        <f t="shared" si="256"/>
        <v>0101010101010101</v>
      </c>
      <c r="V360" s="9" t="str">
        <f t="shared" ref="V360:V374" si="257">LEFT(T360,8)</f>
        <v>01010101</v>
      </c>
      <c r="W360" s="9" t="str">
        <f t="shared" ref="W360:W374" si="258">RIGHT(T360,8)</f>
        <v>01010101</v>
      </c>
      <c r="X360" s="9" t="str">
        <f t="shared" ref="X360:X374" si="259">BIN2HEX(V360,2)</f>
        <v>55</v>
      </c>
      <c r="Y360" s="9" t="str">
        <f t="shared" ref="Y360:Y374" si="260">BIN2HEX(W360,2)</f>
        <v>55</v>
      </c>
      <c r="AA360" t="str" cm="1">
        <f t="array" ref="AA360:AH360">TRANSPOSE(X367:X374)</f>
        <v>74</v>
      </c>
      <c r="AB360" t="str">
        <v>74</v>
      </c>
      <c r="AC360" t="str">
        <v>75</v>
      </c>
      <c r="AD360" t="str">
        <v>75</v>
      </c>
      <c r="AE360" t="str">
        <v>7F</v>
      </c>
      <c r="AF360" t="str">
        <v>7F</v>
      </c>
      <c r="AG360" t="str">
        <v>55</v>
      </c>
      <c r="AH360" t="str">
        <v>55</v>
      </c>
      <c r="AJ360" t="str">
        <f t="shared" ref="AJ360:AJ362" si="261">LOWER("!byte $"&amp;AA360&amp;", $"&amp;AB360&amp;", $"&amp;AC360&amp;", $"&amp;AD360&amp;", $"&amp;AE360&amp;", $"&amp;AF360&amp;", $"&amp;AG360&amp;", $"&amp;AH360)</f>
        <v>!byte $74, $74, $75, $75, $7f, $7f, $55, $55</v>
      </c>
    </row>
    <row r="361" spans="1:36" x14ac:dyDescent="0.3">
      <c r="B361" s="2">
        <v>1</v>
      </c>
      <c r="C361" s="2">
        <v>3</v>
      </c>
      <c r="D361" s="2">
        <v>3</v>
      </c>
      <c r="E361" s="2">
        <v>3</v>
      </c>
      <c r="F361" s="2">
        <v>3</v>
      </c>
      <c r="G361" s="2">
        <v>3</v>
      </c>
      <c r="H361" s="2">
        <v>3</v>
      </c>
      <c r="I361" s="2">
        <v>1</v>
      </c>
      <c r="K361" s="2" t="str">
        <f t="shared" si="248"/>
        <v>01</v>
      </c>
      <c r="L361" s="2" t="str">
        <f t="shared" si="249"/>
        <v>11</v>
      </c>
      <c r="M361" s="2" t="str">
        <f t="shared" si="250"/>
        <v>11</v>
      </c>
      <c r="N361" s="2" t="str">
        <f t="shared" si="251"/>
        <v>11</v>
      </c>
      <c r="O361" s="2" t="str">
        <f t="shared" si="252"/>
        <v>11</v>
      </c>
      <c r="P361" s="2" t="str">
        <f t="shared" si="253"/>
        <v>11</v>
      </c>
      <c r="Q361" s="2" t="str">
        <f t="shared" si="254"/>
        <v>11</v>
      </c>
      <c r="R361" s="2" t="str">
        <f t="shared" si="255"/>
        <v>01</v>
      </c>
      <c r="T361" t="str">
        <f t="shared" si="256"/>
        <v>0111111111111101</v>
      </c>
      <c r="V361" s="9" t="str">
        <f t="shared" si="257"/>
        <v>01111111</v>
      </c>
      <c r="W361" s="9" t="str">
        <f t="shared" si="258"/>
        <v>11111101</v>
      </c>
      <c r="X361" s="9" t="str">
        <f t="shared" si="259"/>
        <v>7F</v>
      </c>
      <c r="Y361" s="9" t="str">
        <f t="shared" si="260"/>
        <v>FD</v>
      </c>
      <c r="AA361" t="str" cm="1">
        <f t="array" ref="AA361:AH361">TRANSPOSE(Y359:Y366)</f>
        <v>55</v>
      </c>
      <c r="AB361" t="str">
        <v>55</v>
      </c>
      <c r="AC361" t="str">
        <v>FD</v>
      </c>
      <c r="AD361" t="str">
        <v>FD</v>
      </c>
      <c r="AE361" t="str">
        <v>5D</v>
      </c>
      <c r="AF361" t="str">
        <v>5D</v>
      </c>
      <c r="AG361" t="str">
        <v>1D</v>
      </c>
      <c r="AH361" t="str">
        <v>1D</v>
      </c>
      <c r="AJ361" t="str">
        <f t="shared" si="261"/>
        <v>!byte $55, $55, $fd, $fd, $5d, $5d, $1d, $1d</v>
      </c>
    </row>
    <row r="362" spans="1:36" x14ac:dyDescent="0.3">
      <c r="B362" s="2">
        <v>1</v>
      </c>
      <c r="C362" s="2">
        <v>3</v>
      </c>
      <c r="D362" s="2">
        <v>3</v>
      </c>
      <c r="E362" s="2">
        <v>3</v>
      </c>
      <c r="F362" s="2">
        <v>3</v>
      </c>
      <c r="G362" s="2">
        <v>3</v>
      </c>
      <c r="H362" s="2">
        <v>3</v>
      </c>
      <c r="I362" s="2">
        <v>1</v>
      </c>
      <c r="K362" s="2" t="str">
        <f t="shared" si="248"/>
        <v>01</v>
      </c>
      <c r="L362" s="2" t="str">
        <f t="shared" si="249"/>
        <v>11</v>
      </c>
      <c r="M362" s="2" t="str">
        <f t="shared" si="250"/>
        <v>11</v>
      </c>
      <c r="N362" s="2" t="str">
        <f t="shared" si="251"/>
        <v>11</v>
      </c>
      <c r="O362" s="2" t="str">
        <f t="shared" si="252"/>
        <v>11</v>
      </c>
      <c r="P362" s="2" t="str">
        <f t="shared" si="253"/>
        <v>11</v>
      </c>
      <c r="Q362" s="2" t="str">
        <f t="shared" si="254"/>
        <v>11</v>
      </c>
      <c r="R362" s="2" t="str">
        <f t="shared" si="255"/>
        <v>01</v>
      </c>
      <c r="T362" t="str">
        <f t="shared" si="256"/>
        <v>0111111111111101</v>
      </c>
      <c r="V362" s="9" t="str">
        <f t="shared" si="257"/>
        <v>01111111</v>
      </c>
      <c r="W362" s="9" t="str">
        <f t="shared" si="258"/>
        <v>11111101</v>
      </c>
      <c r="X362" s="9" t="str">
        <f t="shared" si="259"/>
        <v>7F</v>
      </c>
      <c r="Y362" s="9" t="str">
        <f t="shared" si="260"/>
        <v>FD</v>
      </c>
      <c r="AA362" t="str" cm="1">
        <f t="array" ref="AA362:AH362">TRANSPOSE(Y367:Y374)</f>
        <v>1D</v>
      </c>
      <c r="AB362" t="str">
        <v>1D</v>
      </c>
      <c r="AC362" t="str">
        <v>5D</v>
      </c>
      <c r="AD362" t="str">
        <v>5D</v>
      </c>
      <c r="AE362" t="str">
        <v>FD</v>
      </c>
      <c r="AF362" t="str">
        <v>FD</v>
      </c>
      <c r="AG362" t="str">
        <v>55</v>
      </c>
      <c r="AH362" t="str">
        <v>55</v>
      </c>
      <c r="AJ362" t="str">
        <f t="shared" si="261"/>
        <v>!byte $1d, $1d, $5d, $5d, $fd, $fd, $55, $55</v>
      </c>
    </row>
    <row r="363" spans="1:36" x14ac:dyDescent="0.3">
      <c r="B363" s="2">
        <v>1</v>
      </c>
      <c r="C363" s="2">
        <v>3</v>
      </c>
      <c r="D363" s="2">
        <v>1</v>
      </c>
      <c r="E363" s="2">
        <v>1</v>
      </c>
      <c r="F363" s="2">
        <v>1</v>
      </c>
      <c r="G363" s="2">
        <v>1</v>
      </c>
      <c r="H363" s="2">
        <v>3</v>
      </c>
      <c r="I363" s="2">
        <v>1</v>
      </c>
      <c r="K363" s="2" t="str">
        <f t="shared" si="248"/>
        <v>01</v>
      </c>
      <c r="L363" s="2" t="str">
        <f t="shared" si="249"/>
        <v>11</v>
      </c>
      <c r="M363" s="2" t="str">
        <f t="shared" si="250"/>
        <v>01</v>
      </c>
      <c r="N363" s="2" t="str">
        <f t="shared" si="251"/>
        <v>01</v>
      </c>
      <c r="O363" s="2" t="str">
        <f t="shared" si="252"/>
        <v>01</v>
      </c>
      <c r="P363" s="2" t="str">
        <f t="shared" si="253"/>
        <v>01</v>
      </c>
      <c r="Q363" s="2" t="str">
        <f t="shared" si="254"/>
        <v>11</v>
      </c>
      <c r="R363" s="2" t="str">
        <f t="shared" si="255"/>
        <v>01</v>
      </c>
      <c r="T363" t="str">
        <f t="shared" si="256"/>
        <v>0111010101011101</v>
      </c>
      <c r="V363" s="9" t="str">
        <f t="shared" si="257"/>
        <v>01110101</v>
      </c>
      <c r="W363" s="9" t="str">
        <f t="shared" si="258"/>
        <v>01011101</v>
      </c>
      <c r="X363" s="9" t="str">
        <f t="shared" si="259"/>
        <v>75</v>
      </c>
      <c r="Y363" s="9" t="str">
        <f t="shared" si="260"/>
        <v>5D</v>
      </c>
    </row>
    <row r="364" spans="1:36" x14ac:dyDescent="0.3">
      <c r="B364" s="2">
        <v>1</v>
      </c>
      <c r="C364" s="2">
        <v>3</v>
      </c>
      <c r="D364" s="2">
        <v>1</v>
      </c>
      <c r="E364" s="2">
        <v>1</v>
      </c>
      <c r="F364" s="2">
        <v>1</v>
      </c>
      <c r="G364" s="2">
        <v>1</v>
      </c>
      <c r="H364" s="2">
        <v>3</v>
      </c>
      <c r="I364" s="2">
        <v>1</v>
      </c>
      <c r="K364" s="2" t="str">
        <f t="shared" si="248"/>
        <v>01</v>
      </c>
      <c r="L364" s="2" t="str">
        <f t="shared" si="249"/>
        <v>11</v>
      </c>
      <c r="M364" s="2" t="str">
        <f t="shared" si="250"/>
        <v>01</v>
      </c>
      <c r="N364" s="2" t="str">
        <f t="shared" si="251"/>
        <v>01</v>
      </c>
      <c r="O364" s="2" t="str">
        <f t="shared" si="252"/>
        <v>01</v>
      </c>
      <c r="P364" s="2" t="str">
        <f t="shared" si="253"/>
        <v>01</v>
      </c>
      <c r="Q364" s="2" t="str">
        <f t="shared" si="254"/>
        <v>11</v>
      </c>
      <c r="R364" s="2" t="str">
        <f t="shared" si="255"/>
        <v>01</v>
      </c>
      <c r="T364" t="str">
        <f t="shared" si="256"/>
        <v>0111010101011101</v>
      </c>
      <c r="V364" s="9" t="str">
        <f t="shared" si="257"/>
        <v>01110101</v>
      </c>
      <c r="W364" s="9" t="str">
        <f t="shared" si="258"/>
        <v>01011101</v>
      </c>
      <c r="X364" s="9" t="str">
        <f t="shared" si="259"/>
        <v>75</v>
      </c>
      <c r="Y364" s="9" t="str">
        <f t="shared" si="260"/>
        <v>5D</v>
      </c>
    </row>
    <row r="365" spans="1:36" x14ac:dyDescent="0.3">
      <c r="B365" s="2">
        <v>1</v>
      </c>
      <c r="C365" s="2">
        <v>3</v>
      </c>
      <c r="D365" s="2">
        <v>1</v>
      </c>
      <c r="E365" s="2">
        <v>0</v>
      </c>
      <c r="F365" s="2">
        <v>0</v>
      </c>
      <c r="G365" s="2">
        <v>1</v>
      </c>
      <c r="H365" s="2">
        <v>3</v>
      </c>
      <c r="I365" s="2">
        <v>1</v>
      </c>
      <c r="K365" s="2" t="str">
        <f t="shared" si="248"/>
        <v>01</v>
      </c>
      <c r="L365" s="2" t="str">
        <f t="shared" si="249"/>
        <v>11</v>
      </c>
      <c r="M365" s="2" t="str">
        <f t="shared" si="250"/>
        <v>01</v>
      </c>
      <c r="N365" s="2" t="str">
        <f t="shared" si="251"/>
        <v>00</v>
      </c>
      <c r="O365" s="2" t="str">
        <f t="shared" si="252"/>
        <v>00</v>
      </c>
      <c r="P365" s="2" t="str">
        <f t="shared" si="253"/>
        <v>01</v>
      </c>
      <c r="Q365" s="2" t="str">
        <f t="shared" si="254"/>
        <v>11</v>
      </c>
      <c r="R365" s="2" t="str">
        <f t="shared" si="255"/>
        <v>01</v>
      </c>
      <c r="T365" t="str">
        <f t="shared" si="256"/>
        <v>0111010000011101</v>
      </c>
      <c r="V365" s="9" t="str">
        <f t="shared" si="257"/>
        <v>01110100</v>
      </c>
      <c r="W365" s="9" t="str">
        <f t="shared" si="258"/>
        <v>00011101</v>
      </c>
      <c r="X365" s="9" t="str">
        <f t="shared" si="259"/>
        <v>74</v>
      </c>
      <c r="Y365" s="9" t="str">
        <f t="shared" si="260"/>
        <v>1D</v>
      </c>
    </row>
    <row r="366" spans="1:36" x14ac:dyDescent="0.3">
      <c r="B366" s="2">
        <v>1</v>
      </c>
      <c r="C366" s="2">
        <v>3</v>
      </c>
      <c r="D366" s="2">
        <v>1</v>
      </c>
      <c r="E366" s="2">
        <v>0</v>
      </c>
      <c r="F366" s="2">
        <v>0</v>
      </c>
      <c r="G366" s="2">
        <v>1</v>
      </c>
      <c r="H366" s="2">
        <v>3</v>
      </c>
      <c r="I366" s="2">
        <v>1</v>
      </c>
      <c r="K366" s="2" t="str">
        <f t="shared" si="248"/>
        <v>01</v>
      </c>
      <c r="L366" s="2" t="str">
        <f t="shared" si="249"/>
        <v>11</v>
      </c>
      <c r="M366" s="2" t="str">
        <f t="shared" si="250"/>
        <v>01</v>
      </c>
      <c r="N366" s="2" t="str">
        <f t="shared" si="251"/>
        <v>00</v>
      </c>
      <c r="O366" s="2" t="str">
        <f t="shared" si="252"/>
        <v>00</v>
      </c>
      <c r="P366" s="2" t="str">
        <f t="shared" si="253"/>
        <v>01</v>
      </c>
      <c r="Q366" s="2" t="str">
        <f t="shared" si="254"/>
        <v>11</v>
      </c>
      <c r="R366" s="2" t="str">
        <f t="shared" si="255"/>
        <v>01</v>
      </c>
      <c r="T366" t="str">
        <f t="shared" si="256"/>
        <v>0111010000011101</v>
      </c>
      <c r="V366" s="10" t="str">
        <f t="shared" si="257"/>
        <v>01110100</v>
      </c>
      <c r="W366" s="10" t="str">
        <f t="shared" si="258"/>
        <v>00011101</v>
      </c>
      <c r="X366" s="10" t="str">
        <f t="shared" si="259"/>
        <v>74</v>
      </c>
      <c r="Y366" s="10" t="str">
        <f t="shared" si="260"/>
        <v>1D</v>
      </c>
    </row>
    <row r="367" spans="1:36" x14ac:dyDescent="0.3">
      <c r="B367" s="2">
        <v>1</v>
      </c>
      <c r="C367" s="2">
        <v>3</v>
      </c>
      <c r="D367" s="2">
        <v>1</v>
      </c>
      <c r="E367" s="2">
        <v>0</v>
      </c>
      <c r="F367" s="2">
        <v>0</v>
      </c>
      <c r="G367" s="2">
        <v>1</v>
      </c>
      <c r="H367" s="2">
        <v>3</v>
      </c>
      <c r="I367" s="2">
        <v>1</v>
      </c>
      <c r="K367" s="2" t="str">
        <f t="shared" si="248"/>
        <v>01</v>
      </c>
      <c r="L367" s="2" t="str">
        <f t="shared" si="249"/>
        <v>11</v>
      </c>
      <c r="M367" s="2" t="str">
        <f t="shared" si="250"/>
        <v>01</v>
      </c>
      <c r="N367" s="2" t="str">
        <f t="shared" si="251"/>
        <v>00</v>
      </c>
      <c r="O367" s="2" t="str">
        <f t="shared" si="252"/>
        <v>00</v>
      </c>
      <c r="P367" s="2" t="str">
        <f t="shared" si="253"/>
        <v>01</v>
      </c>
      <c r="Q367" s="2" t="str">
        <f t="shared" si="254"/>
        <v>11</v>
      </c>
      <c r="R367" s="2" t="str">
        <f t="shared" si="255"/>
        <v>01</v>
      </c>
      <c r="T367" t="str">
        <f t="shared" si="256"/>
        <v>0111010000011101</v>
      </c>
      <c r="V367" s="8" t="str">
        <f t="shared" si="257"/>
        <v>01110100</v>
      </c>
      <c r="W367" s="8" t="str">
        <f t="shared" si="258"/>
        <v>00011101</v>
      </c>
      <c r="X367" s="8" t="str">
        <f t="shared" si="259"/>
        <v>74</v>
      </c>
      <c r="Y367" s="8" t="str">
        <f t="shared" si="260"/>
        <v>1D</v>
      </c>
    </row>
    <row r="368" spans="1:36" x14ac:dyDescent="0.3">
      <c r="B368" s="2">
        <v>1</v>
      </c>
      <c r="C368" s="2">
        <v>3</v>
      </c>
      <c r="D368" s="2">
        <v>1</v>
      </c>
      <c r="E368" s="2">
        <v>0</v>
      </c>
      <c r="F368" s="2">
        <v>0</v>
      </c>
      <c r="G368" s="2">
        <v>1</v>
      </c>
      <c r="H368" s="2">
        <v>3</v>
      </c>
      <c r="I368" s="2">
        <v>1</v>
      </c>
      <c r="K368" s="2" t="str">
        <f t="shared" si="248"/>
        <v>01</v>
      </c>
      <c r="L368" s="2" t="str">
        <f t="shared" si="249"/>
        <v>11</v>
      </c>
      <c r="M368" s="2" t="str">
        <f t="shared" si="250"/>
        <v>01</v>
      </c>
      <c r="N368" s="2" t="str">
        <f t="shared" si="251"/>
        <v>00</v>
      </c>
      <c r="O368" s="2" t="str">
        <f t="shared" si="252"/>
        <v>00</v>
      </c>
      <c r="P368" s="2" t="str">
        <f t="shared" si="253"/>
        <v>01</v>
      </c>
      <c r="Q368" s="2" t="str">
        <f t="shared" si="254"/>
        <v>11</v>
      </c>
      <c r="R368" s="2" t="str">
        <f t="shared" si="255"/>
        <v>01</v>
      </c>
      <c r="T368" t="str">
        <f t="shared" si="256"/>
        <v>0111010000011101</v>
      </c>
      <c r="V368" s="9" t="str">
        <f t="shared" si="257"/>
        <v>01110100</v>
      </c>
      <c r="W368" s="9" t="str">
        <f t="shared" si="258"/>
        <v>00011101</v>
      </c>
      <c r="X368" s="9" t="str">
        <f t="shared" si="259"/>
        <v>74</v>
      </c>
      <c r="Y368" s="9" t="str">
        <f t="shared" si="260"/>
        <v>1D</v>
      </c>
    </row>
    <row r="369" spans="1:36" x14ac:dyDescent="0.3">
      <c r="B369" s="2">
        <v>1</v>
      </c>
      <c r="C369" s="2">
        <v>3</v>
      </c>
      <c r="D369" s="2">
        <v>1</v>
      </c>
      <c r="E369" s="2">
        <v>1</v>
      </c>
      <c r="F369" s="2">
        <v>1</v>
      </c>
      <c r="G369" s="2">
        <v>1</v>
      </c>
      <c r="H369" s="2">
        <v>3</v>
      </c>
      <c r="I369" s="2">
        <v>1</v>
      </c>
      <c r="K369" s="2" t="str">
        <f t="shared" si="248"/>
        <v>01</v>
      </c>
      <c r="L369" s="2" t="str">
        <f t="shared" si="249"/>
        <v>11</v>
      </c>
      <c r="M369" s="2" t="str">
        <f t="shared" si="250"/>
        <v>01</v>
      </c>
      <c r="N369" s="2" t="str">
        <f t="shared" si="251"/>
        <v>01</v>
      </c>
      <c r="O369" s="2" t="str">
        <f t="shared" si="252"/>
        <v>01</v>
      </c>
      <c r="P369" s="2" t="str">
        <f t="shared" si="253"/>
        <v>01</v>
      </c>
      <c r="Q369" s="2" t="str">
        <f t="shared" si="254"/>
        <v>11</v>
      </c>
      <c r="R369" s="2" t="str">
        <f t="shared" si="255"/>
        <v>01</v>
      </c>
      <c r="T369" t="str">
        <f t="shared" si="256"/>
        <v>0111010101011101</v>
      </c>
      <c r="V369" s="9" t="str">
        <f t="shared" si="257"/>
        <v>01110101</v>
      </c>
      <c r="W369" s="9" t="str">
        <f t="shared" si="258"/>
        <v>01011101</v>
      </c>
      <c r="X369" s="9" t="str">
        <f t="shared" si="259"/>
        <v>75</v>
      </c>
      <c r="Y369" s="9" t="str">
        <f t="shared" si="260"/>
        <v>5D</v>
      </c>
    </row>
    <row r="370" spans="1:36" x14ac:dyDescent="0.3">
      <c r="B370" s="2">
        <v>1</v>
      </c>
      <c r="C370" s="2">
        <v>3</v>
      </c>
      <c r="D370" s="2">
        <v>1</v>
      </c>
      <c r="E370" s="2">
        <v>1</v>
      </c>
      <c r="F370" s="2">
        <v>1</v>
      </c>
      <c r="G370" s="2">
        <v>1</v>
      </c>
      <c r="H370" s="2">
        <v>3</v>
      </c>
      <c r="I370" s="2">
        <v>1</v>
      </c>
      <c r="K370" s="2" t="str">
        <f t="shared" si="248"/>
        <v>01</v>
      </c>
      <c r="L370" s="2" t="str">
        <f t="shared" si="249"/>
        <v>11</v>
      </c>
      <c r="M370" s="2" t="str">
        <f t="shared" si="250"/>
        <v>01</v>
      </c>
      <c r="N370" s="2" t="str">
        <f t="shared" si="251"/>
        <v>01</v>
      </c>
      <c r="O370" s="2" t="str">
        <f t="shared" si="252"/>
        <v>01</v>
      </c>
      <c r="P370" s="2" t="str">
        <f t="shared" si="253"/>
        <v>01</v>
      </c>
      <c r="Q370" s="2" t="str">
        <f t="shared" si="254"/>
        <v>11</v>
      </c>
      <c r="R370" s="2" t="str">
        <f t="shared" si="255"/>
        <v>01</v>
      </c>
      <c r="T370" t="str">
        <f t="shared" si="256"/>
        <v>0111010101011101</v>
      </c>
      <c r="V370" s="9" t="str">
        <f t="shared" si="257"/>
        <v>01110101</v>
      </c>
      <c r="W370" s="9" t="str">
        <f t="shared" si="258"/>
        <v>01011101</v>
      </c>
      <c r="X370" s="9" t="str">
        <f t="shared" si="259"/>
        <v>75</v>
      </c>
      <c r="Y370" s="9" t="str">
        <f t="shared" si="260"/>
        <v>5D</v>
      </c>
    </row>
    <row r="371" spans="1:36" x14ac:dyDescent="0.3">
      <c r="B371" s="2">
        <v>1</v>
      </c>
      <c r="C371" s="2">
        <v>3</v>
      </c>
      <c r="D371" s="2">
        <v>3</v>
      </c>
      <c r="E371" s="2">
        <v>3</v>
      </c>
      <c r="F371" s="2">
        <v>3</v>
      </c>
      <c r="G371" s="2">
        <v>3</v>
      </c>
      <c r="H371" s="2">
        <v>3</v>
      </c>
      <c r="I371" s="2">
        <v>1</v>
      </c>
      <c r="K371" s="2" t="str">
        <f t="shared" si="248"/>
        <v>01</v>
      </c>
      <c r="L371" s="2" t="str">
        <f t="shared" si="249"/>
        <v>11</v>
      </c>
      <c r="M371" s="2" t="str">
        <f t="shared" si="250"/>
        <v>11</v>
      </c>
      <c r="N371" s="2" t="str">
        <f t="shared" si="251"/>
        <v>11</v>
      </c>
      <c r="O371" s="2" t="str">
        <f t="shared" si="252"/>
        <v>11</v>
      </c>
      <c r="P371" s="2" t="str">
        <f t="shared" si="253"/>
        <v>11</v>
      </c>
      <c r="Q371" s="2" t="str">
        <f t="shared" si="254"/>
        <v>11</v>
      </c>
      <c r="R371" s="2" t="str">
        <f t="shared" si="255"/>
        <v>01</v>
      </c>
      <c r="T371" t="str">
        <f t="shared" si="256"/>
        <v>0111111111111101</v>
      </c>
      <c r="V371" s="9" t="str">
        <f t="shared" si="257"/>
        <v>01111111</v>
      </c>
      <c r="W371" s="9" t="str">
        <f t="shared" si="258"/>
        <v>11111101</v>
      </c>
      <c r="X371" s="9" t="str">
        <f t="shared" si="259"/>
        <v>7F</v>
      </c>
      <c r="Y371" s="9" t="str">
        <f t="shared" si="260"/>
        <v>FD</v>
      </c>
    </row>
    <row r="372" spans="1:36" x14ac:dyDescent="0.3">
      <c r="B372" s="2">
        <v>1</v>
      </c>
      <c r="C372" s="2">
        <v>3</v>
      </c>
      <c r="D372" s="2">
        <v>3</v>
      </c>
      <c r="E372" s="2">
        <v>3</v>
      </c>
      <c r="F372" s="2">
        <v>3</v>
      </c>
      <c r="G372" s="2">
        <v>3</v>
      </c>
      <c r="H372" s="2">
        <v>3</v>
      </c>
      <c r="I372" s="2">
        <v>1</v>
      </c>
      <c r="K372" s="2" t="str">
        <f t="shared" si="248"/>
        <v>01</v>
      </c>
      <c r="L372" s="2" t="str">
        <f t="shared" si="249"/>
        <v>11</v>
      </c>
      <c r="M372" s="2" t="str">
        <f t="shared" si="250"/>
        <v>11</v>
      </c>
      <c r="N372" s="2" t="str">
        <f t="shared" si="251"/>
        <v>11</v>
      </c>
      <c r="O372" s="2" t="str">
        <f t="shared" si="252"/>
        <v>11</v>
      </c>
      <c r="P372" s="2" t="str">
        <f t="shared" si="253"/>
        <v>11</v>
      </c>
      <c r="Q372" s="2" t="str">
        <f t="shared" si="254"/>
        <v>11</v>
      </c>
      <c r="R372" s="2" t="str">
        <f t="shared" si="255"/>
        <v>01</v>
      </c>
      <c r="T372" t="str">
        <f t="shared" si="256"/>
        <v>0111111111111101</v>
      </c>
      <c r="V372" s="9" t="str">
        <f t="shared" si="257"/>
        <v>01111111</v>
      </c>
      <c r="W372" s="9" t="str">
        <f t="shared" si="258"/>
        <v>11111101</v>
      </c>
      <c r="X372" s="9" t="str">
        <f t="shared" si="259"/>
        <v>7F</v>
      </c>
      <c r="Y372" s="9" t="str">
        <f t="shared" si="260"/>
        <v>FD</v>
      </c>
    </row>
    <row r="373" spans="1:36" x14ac:dyDescent="0.3">
      <c r="B373" s="2">
        <v>1</v>
      </c>
      <c r="C373" s="2">
        <v>1</v>
      </c>
      <c r="D373" s="2">
        <v>1</v>
      </c>
      <c r="E373" s="2">
        <v>1</v>
      </c>
      <c r="F373" s="2">
        <v>1</v>
      </c>
      <c r="G373" s="2">
        <v>1</v>
      </c>
      <c r="H373" s="2">
        <v>1</v>
      </c>
      <c r="I373" s="2">
        <v>1</v>
      </c>
      <c r="K373" s="2" t="str">
        <f t="shared" si="248"/>
        <v>01</v>
      </c>
      <c r="L373" s="2" t="str">
        <f t="shared" si="249"/>
        <v>01</v>
      </c>
      <c r="M373" s="2" t="str">
        <f t="shared" si="250"/>
        <v>01</v>
      </c>
      <c r="N373" s="2" t="str">
        <f t="shared" si="251"/>
        <v>01</v>
      </c>
      <c r="O373" s="2" t="str">
        <f t="shared" si="252"/>
        <v>01</v>
      </c>
      <c r="P373" s="2" t="str">
        <f t="shared" si="253"/>
        <v>01</v>
      </c>
      <c r="Q373" s="2" t="str">
        <f t="shared" si="254"/>
        <v>01</v>
      </c>
      <c r="R373" s="2" t="str">
        <f t="shared" si="255"/>
        <v>01</v>
      </c>
      <c r="T373" t="str">
        <f t="shared" si="256"/>
        <v>0101010101010101</v>
      </c>
      <c r="V373" s="9" t="str">
        <f t="shared" si="257"/>
        <v>01010101</v>
      </c>
      <c r="W373" s="9" t="str">
        <f t="shared" si="258"/>
        <v>01010101</v>
      </c>
      <c r="X373" s="9" t="str">
        <f t="shared" si="259"/>
        <v>55</v>
      </c>
      <c r="Y373" s="9" t="str">
        <f t="shared" si="260"/>
        <v>55</v>
      </c>
    </row>
    <row r="374" spans="1:36" x14ac:dyDescent="0.3">
      <c r="B374" s="2">
        <v>1</v>
      </c>
      <c r="C374" s="2">
        <v>1</v>
      </c>
      <c r="D374" s="2">
        <v>1</v>
      </c>
      <c r="E374" s="2">
        <v>1</v>
      </c>
      <c r="F374" s="2">
        <v>1</v>
      </c>
      <c r="G374" s="2">
        <v>1</v>
      </c>
      <c r="H374" s="2">
        <v>1</v>
      </c>
      <c r="I374" s="2">
        <v>1</v>
      </c>
      <c r="K374" s="2" t="str">
        <f t="shared" si="248"/>
        <v>01</v>
      </c>
      <c r="L374" s="2" t="str">
        <f t="shared" si="249"/>
        <v>01</v>
      </c>
      <c r="M374" s="2" t="str">
        <f t="shared" si="250"/>
        <v>01</v>
      </c>
      <c r="N374" s="2" t="str">
        <f t="shared" si="251"/>
        <v>01</v>
      </c>
      <c r="O374" s="2" t="str">
        <f t="shared" si="252"/>
        <v>01</v>
      </c>
      <c r="P374" s="2" t="str">
        <f t="shared" si="253"/>
        <v>01</v>
      </c>
      <c r="Q374" s="2" t="str">
        <f t="shared" si="254"/>
        <v>01</v>
      </c>
      <c r="R374" s="2" t="str">
        <f t="shared" si="255"/>
        <v>01</v>
      </c>
      <c r="T374" t="str">
        <f t="shared" si="256"/>
        <v>0101010101010101</v>
      </c>
      <c r="V374" s="10" t="str">
        <f t="shared" si="257"/>
        <v>01010101</v>
      </c>
      <c r="W374" s="10" t="str">
        <f t="shared" si="258"/>
        <v>01010101</v>
      </c>
      <c r="X374" s="10" t="str">
        <f t="shared" si="259"/>
        <v>55</v>
      </c>
      <c r="Y374" s="10" t="str">
        <f t="shared" si="260"/>
        <v>55</v>
      </c>
    </row>
    <row r="375" spans="1:36" x14ac:dyDescent="0.3">
      <c r="A375" t="s">
        <v>27</v>
      </c>
      <c r="AJ375" t="str">
        <f>";"&amp;PROPER(A375)</f>
        <v>;Firefly 4</v>
      </c>
    </row>
    <row r="376" spans="1:36" x14ac:dyDescent="0.3">
      <c r="B376" s="2">
        <v>3</v>
      </c>
      <c r="C376" s="2">
        <v>3</v>
      </c>
      <c r="D376" s="2">
        <v>3</v>
      </c>
      <c r="E376" s="2">
        <v>3</v>
      </c>
      <c r="F376" s="2">
        <v>3</v>
      </c>
      <c r="G376" s="2">
        <v>3</v>
      </c>
      <c r="H376" s="2">
        <v>3</v>
      </c>
      <c r="I376" s="2">
        <v>3</v>
      </c>
      <c r="K376" s="2" t="str">
        <f t="shared" ref="K376:K391" si="262">DEC2BIN(B376,2)</f>
        <v>11</v>
      </c>
      <c r="L376" s="2" t="str">
        <f t="shared" ref="L376:L391" si="263">DEC2BIN(C376,2)</f>
        <v>11</v>
      </c>
      <c r="M376" s="2" t="str">
        <f t="shared" ref="M376:M391" si="264">DEC2BIN(D376,2)</f>
        <v>11</v>
      </c>
      <c r="N376" s="2" t="str">
        <f t="shared" ref="N376:N391" si="265">DEC2BIN(E376,2)</f>
        <v>11</v>
      </c>
      <c r="O376" s="2" t="str">
        <f t="shared" ref="O376:O391" si="266">DEC2BIN(F376,2)</f>
        <v>11</v>
      </c>
      <c r="P376" s="2" t="str">
        <f t="shared" ref="P376:P391" si="267">DEC2BIN(G376,2)</f>
        <v>11</v>
      </c>
      <c r="Q376" s="2" t="str">
        <f t="shared" ref="Q376:Q391" si="268">DEC2BIN(H376,2)</f>
        <v>11</v>
      </c>
      <c r="R376" s="2" t="str">
        <f t="shared" ref="R376:R391" si="269">DEC2BIN(I376,2)</f>
        <v>11</v>
      </c>
      <c r="T376" t="str">
        <f t="shared" ref="T376:T391" si="270">_xlfn.CONCAT(K376:R376)</f>
        <v>1111111111111111</v>
      </c>
      <c r="V376" s="8" t="str">
        <f>LEFT(T376,8)</f>
        <v>11111111</v>
      </c>
      <c r="W376" s="8" t="str">
        <f>RIGHT(T376,8)</f>
        <v>11111111</v>
      </c>
      <c r="X376" s="8" t="str">
        <f>BIN2HEX(V376,2)</f>
        <v>FF</v>
      </c>
      <c r="Y376" s="8" t="str">
        <f>BIN2HEX(W376,2)</f>
        <v>FF</v>
      </c>
      <c r="AA376" t="str" cm="1">
        <f t="array" ref="AA376:AH376">TRANSPOSE(X376:X383)</f>
        <v>FF</v>
      </c>
      <c r="AB376" t="str">
        <v>FF</v>
      </c>
      <c r="AC376" t="str">
        <v>D5</v>
      </c>
      <c r="AD376" t="str">
        <v>D5</v>
      </c>
      <c r="AE376" t="str">
        <v>D0</v>
      </c>
      <c r="AF376" t="str">
        <v>D0</v>
      </c>
      <c r="AG376" t="str">
        <v>D1</v>
      </c>
      <c r="AH376" t="str">
        <v>D1</v>
      </c>
      <c r="AJ376" t="str">
        <f>LOWER("!byte $"&amp;AA376&amp;", $"&amp;AB376&amp;", $"&amp;AC376&amp;", $"&amp;AD376&amp;", $"&amp;AE376&amp;", $"&amp;AF376&amp;", $"&amp;AG376&amp;", $"&amp;AH376)</f>
        <v>!byte $ff, $ff, $d5, $d5, $d0, $d0, $d1, $d1</v>
      </c>
    </row>
    <row r="377" spans="1:36" x14ac:dyDescent="0.3">
      <c r="B377" s="2">
        <v>3</v>
      </c>
      <c r="C377" s="2">
        <v>3</v>
      </c>
      <c r="D377" s="2">
        <v>3</v>
      </c>
      <c r="E377" s="2">
        <v>3</v>
      </c>
      <c r="F377" s="2">
        <v>3</v>
      </c>
      <c r="G377" s="2">
        <v>3</v>
      </c>
      <c r="H377" s="2">
        <v>3</v>
      </c>
      <c r="I377" s="2">
        <v>3</v>
      </c>
      <c r="K377" s="2" t="str">
        <f t="shared" si="262"/>
        <v>11</v>
      </c>
      <c r="L377" s="2" t="str">
        <f t="shared" si="263"/>
        <v>11</v>
      </c>
      <c r="M377" s="2" t="str">
        <f t="shared" si="264"/>
        <v>11</v>
      </c>
      <c r="N377" s="2" t="str">
        <f t="shared" si="265"/>
        <v>11</v>
      </c>
      <c r="O377" s="2" t="str">
        <f t="shared" si="266"/>
        <v>11</v>
      </c>
      <c r="P377" s="2" t="str">
        <f t="shared" si="267"/>
        <v>11</v>
      </c>
      <c r="Q377" s="2" t="str">
        <f t="shared" si="268"/>
        <v>11</v>
      </c>
      <c r="R377" s="2" t="str">
        <f t="shared" si="269"/>
        <v>11</v>
      </c>
      <c r="T377" t="str">
        <f t="shared" si="270"/>
        <v>1111111111111111</v>
      </c>
      <c r="V377" s="9" t="str">
        <f t="shared" ref="V377:V391" si="271">LEFT(T377,8)</f>
        <v>11111111</v>
      </c>
      <c r="W377" s="9" t="str">
        <f t="shared" ref="W377:W391" si="272">RIGHT(T377,8)</f>
        <v>11111111</v>
      </c>
      <c r="X377" s="9" t="str">
        <f t="shared" ref="X377:X391" si="273">BIN2HEX(V377,2)</f>
        <v>FF</v>
      </c>
      <c r="Y377" s="9" t="str">
        <f t="shared" ref="Y377:Y391" si="274">BIN2HEX(W377,2)</f>
        <v>FF</v>
      </c>
      <c r="AA377" t="str" cm="1">
        <f t="array" ref="AA377:AH377">TRANSPOSE(X384:X391)</f>
        <v>D1</v>
      </c>
      <c r="AB377" t="str">
        <v>D1</v>
      </c>
      <c r="AC377" t="str">
        <v>D0</v>
      </c>
      <c r="AD377" t="str">
        <v>D0</v>
      </c>
      <c r="AE377" t="str">
        <v>D5</v>
      </c>
      <c r="AF377" t="str">
        <v>D5</v>
      </c>
      <c r="AG377" t="str">
        <v>FF</v>
      </c>
      <c r="AH377" t="str">
        <v>FF</v>
      </c>
      <c r="AJ377" t="str">
        <f t="shared" ref="AJ377:AJ379" si="275">LOWER("!byte $"&amp;AA377&amp;", $"&amp;AB377&amp;", $"&amp;AC377&amp;", $"&amp;AD377&amp;", $"&amp;AE377&amp;", $"&amp;AF377&amp;", $"&amp;AG377&amp;", $"&amp;AH377)</f>
        <v>!byte $d1, $d1, $d0, $d0, $d5, $d5, $ff, $ff</v>
      </c>
    </row>
    <row r="378" spans="1:36" x14ac:dyDescent="0.3">
      <c r="B378" s="2">
        <v>3</v>
      </c>
      <c r="C378" s="2">
        <v>1</v>
      </c>
      <c r="D378" s="2">
        <v>1</v>
      </c>
      <c r="E378" s="2">
        <v>1</v>
      </c>
      <c r="F378" s="2">
        <v>1</v>
      </c>
      <c r="G378" s="2">
        <v>1</v>
      </c>
      <c r="H378" s="2">
        <v>1</v>
      </c>
      <c r="I378" s="2">
        <v>3</v>
      </c>
      <c r="K378" s="2" t="str">
        <f t="shared" si="262"/>
        <v>11</v>
      </c>
      <c r="L378" s="2" t="str">
        <f t="shared" si="263"/>
        <v>01</v>
      </c>
      <c r="M378" s="2" t="str">
        <f t="shared" si="264"/>
        <v>01</v>
      </c>
      <c r="N378" s="2" t="str">
        <f t="shared" si="265"/>
        <v>01</v>
      </c>
      <c r="O378" s="2" t="str">
        <f t="shared" si="266"/>
        <v>01</v>
      </c>
      <c r="P378" s="2" t="str">
        <f t="shared" si="267"/>
        <v>01</v>
      </c>
      <c r="Q378" s="2" t="str">
        <f t="shared" si="268"/>
        <v>01</v>
      </c>
      <c r="R378" s="2" t="str">
        <f t="shared" si="269"/>
        <v>11</v>
      </c>
      <c r="T378" t="str">
        <f t="shared" si="270"/>
        <v>1101010101010111</v>
      </c>
      <c r="V378" s="9" t="str">
        <f t="shared" si="271"/>
        <v>11010101</v>
      </c>
      <c r="W378" s="9" t="str">
        <f t="shared" si="272"/>
        <v>01010111</v>
      </c>
      <c r="X378" s="9" t="str">
        <f t="shared" si="273"/>
        <v>D5</v>
      </c>
      <c r="Y378" s="9" t="str">
        <f t="shared" si="274"/>
        <v>57</v>
      </c>
      <c r="AA378" t="str" cm="1">
        <f t="array" ref="AA378:AH378">TRANSPOSE(Y376:Y383)</f>
        <v>FF</v>
      </c>
      <c r="AB378" t="str">
        <v>FF</v>
      </c>
      <c r="AC378" t="str">
        <v>57</v>
      </c>
      <c r="AD378" t="str">
        <v>57</v>
      </c>
      <c r="AE378" t="str">
        <v>07</v>
      </c>
      <c r="AF378" t="str">
        <v>07</v>
      </c>
      <c r="AG378" t="str">
        <v>47</v>
      </c>
      <c r="AH378" t="str">
        <v>47</v>
      </c>
      <c r="AJ378" t="str">
        <f t="shared" si="275"/>
        <v>!byte $ff, $ff, $57, $57, $07, $07, $47, $47</v>
      </c>
    </row>
    <row r="379" spans="1:36" x14ac:dyDescent="0.3">
      <c r="B379" s="2">
        <v>3</v>
      </c>
      <c r="C379" s="2">
        <v>1</v>
      </c>
      <c r="D379" s="2">
        <v>1</v>
      </c>
      <c r="E379" s="2">
        <v>1</v>
      </c>
      <c r="F379" s="2">
        <v>1</v>
      </c>
      <c r="G379" s="2">
        <v>1</v>
      </c>
      <c r="H379" s="2">
        <v>1</v>
      </c>
      <c r="I379" s="2">
        <v>3</v>
      </c>
      <c r="K379" s="2" t="str">
        <f t="shared" si="262"/>
        <v>11</v>
      </c>
      <c r="L379" s="2" t="str">
        <f t="shared" si="263"/>
        <v>01</v>
      </c>
      <c r="M379" s="2" t="str">
        <f t="shared" si="264"/>
        <v>01</v>
      </c>
      <c r="N379" s="2" t="str">
        <f t="shared" si="265"/>
        <v>01</v>
      </c>
      <c r="O379" s="2" t="str">
        <f t="shared" si="266"/>
        <v>01</v>
      </c>
      <c r="P379" s="2" t="str">
        <f t="shared" si="267"/>
        <v>01</v>
      </c>
      <c r="Q379" s="2" t="str">
        <f t="shared" si="268"/>
        <v>01</v>
      </c>
      <c r="R379" s="2" t="str">
        <f t="shared" si="269"/>
        <v>11</v>
      </c>
      <c r="T379" t="str">
        <f t="shared" si="270"/>
        <v>1101010101010111</v>
      </c>
      <c r="V379" s="9" t="str">
        <f t="shared" si="271"/>
        <v>11010101</v>
      </c>
      <c r="W379" s="9" t="str">
        <f t="shared" si="272"/>
        <v>01010111</v>
      </c>
      <c r="X379" s="9" t="str">
        <f t="shared" si="273"/>
        <v>D5</v>
      </c>
      <c r="Y379" s="9" t="str">
        <f t="shared" si="274"/>
        <v>57</v>
      </c>
      <c r="AA379" t="str" cm="1">
        <f t="array" ref="AA379:AH379">TRANSPOSE(Y384:Y391)</f>
        <v>47</v>
      </c>
      <c r="AB379" t="str">
        <v>47</v>
      </c>
      <c r="AC379" t="str">
        <v>07</v>
      </c>
      <c r="AD379" t="str">
        <v>07</v>
      </c>
      <c r="AE379" t="str">
        <v>57</v>
      </c>
      <c r="AF379" t="str">
        <v>57</v>
      </c>
      <c r="AG379" t="str">
        <v>FF</v>
      </c>
      <c r="AH379" t="str">
        <v>FF</v>
      </c>
      <c r="AJ379" t="str">
        <f t="shared" si="275"/>
        <v>!byte $47, $47, $07, $07, $57, $57, $ff, $ff</v>
      </c>
    </row>
    <row r="380" spans="1:36" x14ac:dyDescent="0.3">
      <c r="B380" s="2">
        <v>3</v>
      </c>
      <c r="C380" s="2">
        <v>1</v>
      </c>
      <c r="D380" s="2">
        <v>0</v>
      </c>
      <c r="E380" s="2">
        <v>0</v>
      </c>
      <c r="F380" s="2">
        <v>0</v>
      </c>
      <c r="G380" s="2">
        <v>0</v>
      </c>
      <c r="H380" s="2">
        <v>1</v>
      </c>
      <c r="I380" s="2">
        <v>3</v>
      </c>
      <c r="K380" s="2" t="str">
        <f t="shared" si="262"/>
        <v>11</v>
      </c>
      <c r="L380" s="2" t="str">
        <f t="shared" si="263"/>
        <v>01</v>
      </c>
      <c r="M380" s="2" t="str">
        <f t="shared" si="264"/>
        <v>00</v>
      </c>
      <c r="N380" s="2" t="str">
        <f t="shared" si="265"/>
        <v>00</v>
      </c>
      <c r="O380" s="2" t="str">
        <f t="shared" si="266"/>
        <v>00</v>
      </c>
      <c r="P380" s="2" t="str">
        <f t="shared" si="267"/>
        <v>00</v>
      </c>
      <c r="Q380" s="2" t="str">
        <f t="shared" si="268"/>
        <v>01</v>
      </c>
      <c r="R380" s="2" t="str">
        <f t="shared" si="269"/>
        <v>11</v>
      </c>
      <c r="T380" t="str">
        <f t="shared" si="270"/>
        <v>1101000000000111</v>
      </c>
      <c r="V380" s="9" t="str">
        <f t="shared" si="271"/>
        <v>11010000</v>
      </c>
      <c r="W380" s="9" t="str">
        <f t="shared" si="272"/>
        <v>00000111</v>
      </c>
      <c r="X380" s="9" t="str">
        <f t="shared" si="273"/>
        <v>D0</v>
      </c>
      <c r="Y380" s="9" t="str">
        <f t="shared" si="274"/>
        <v>07</v>
      </c>
    </row>
    <row r="381" spans="1:36" x14ac:dyDescent="0.3">
      <c r="B381" s="2">
        <v>3</v>
      </c>
      <c r="C381" s="2">
        <v>1</v>
      </c>
      <c r="D381" s="2">
        <v>0</v>
      </c>
      <c r="E381" s="2">
        <v>0</v>
      </c>
      <c r="F381" s="2">
        <v>0</v>
      </c>
      <c r="G381" s="2">
        <v>0</v>
      </c>
      <c r="H381" s="2">
        <v>1</v>
      </c>
      <c r="I381" s="2">
        <v>3</v>
      </c>
      <c r="K381" s="2" t="str">
        <f t="shared" si="262"/>
        <v>11</v>
      </c>
      <c r="L381" s="2" t="str">
        <f t="shared" si="263"/>
        <v>01</v>
      </c>
      <c r="M381" s="2" t="str">
        <f t="shared" si="264"/>
        <v>00</v>
      </c>
      <c r="N381" s="2" t="str">
        <f t="shared" si="265"/>
        <v>00</v>
      </c>
      <c r="O381" s="2" t="str">
        <f t="shared" si="266"/>
        <v>00</v>
      </c>
      <c r="P381" s="2" t="str">
        <f t="shared" si="267"/>
        <v>00</v>
      </c>
      <c r="Q381" s="2" t="str">
        <f t="shared" si="268"/>
        <v>01</v>
      </c>
      <c r="R381" s="2" t="str">
        <f t="shared" si="269"/>
        <v>11</v>
      </c>
      <c r="T381" t="str">
        <f t="shared" si="270"/>
        <v>1101000000000111</v>
      </c>
      <c r="V381" s="9" t="str">
        <f t="shared" si="271"/>
        <v>11010000</v>
      </c>
      <c r="W381" s="9" t="str">
        <f t="shared" si="272"/>
        <v>00000111</v>
      </c>
      <c r="X381" s="9" t="str">
        <f t="shared" si="273"/>
        <v>D0</v>
      </c>
      <c r="Y381" s="9" t="str">
        <f t="shared" si="274"/>
        <v>07</v>
      </c>
    </row>
    <row r="382" spans="1:36" x14ac:dyDescent="0.3">
      <c r="B382" s="2">
        <v>3</v>
      </c>
      <c r="C382" s="2">
        <v>1</v>
      </c>
      <c r="D382" s="2">
        <v>0</v>
      </c>
      <c r="E382" s="2">
        <v>1</v>
      </c>
      <c r="F382" s="2">
        <v>1</v>
      </c>
      <c r="G382" s="2">
        <v>0</v>
      </c>
      <c r="H382" s="2">
        <v>1</v>
      </c>
      <c r="I382" s="2">
        <v>3</v>
      </c>
      <c r="K382" s="2" t="str">
        <f t="shared" si="262"/>
        <v>11</v>
      </c>
      <c r="L382" s="2" t="str">
        <f t="shared" si="263"/>
        <v>01</v>
      </c>
      <c r="M382" s="2" t="str">
        <f t="shared" si="264"/>
        <v>00</v>
      </c>
      <c r="N382" s="2" t="str">
        <f t="shared" si="265"/>
        <v>01</v>
      </c>
      <c r="O382" s="2" t="str">
        <f t="shared" si="266"/>
        <v>01</v>
      </c>
      <c r="P382" s="2" t="str">
        <f t="shared" si="267"/>
        <v>00</v>
      </c>
      <c r="Q382" s="2" t="str">
        <f t="shared" si="268"/>
        <v>01</v>
      </c>
      <c r="R382" s="2" t="str">
        <f t="shared" si="269"/>
        <v>11</v>
      </c>
      <c r="T382" t="str">
        <f t="shared" si="270"/>
        <v>1101000101000111</v>
      </c>
      <c r="V382" s="9" t="str">
        <f t="shared" si="271"/>
        <v>11010001</v>
      </c>
      <c r="W382" s="9" t="str">
        <f t="shared" si="272"/>
        <v>01000111</v>
      </c>
      <c r="X382" s="9" t="str">
        <f t="shared" si="273"/>
        <v>D1</v>
      </c>
      <c r="Y382" s="9" t="str">
        <f t="shared" si="274"/>
        <v>47</v>
      </c>
    </row>
    <row r="383" spans="1:36" x14ac:dyDescent="0.3">
      <c r="B383" s="2">
        <v>3</v>
      </c>
      <c r="C383" s="2">
        <v>1</v>
      </c>
      <c r="D383" s="2">
        <v>0</v>
      </c>
      <c r="E383" s="2">
        <v>1</v>
      </c>
      <c r="F383" s="2">
        <v>1</v>
      </c>
      <c r="G383" s="2">
        <v>0</v>
      </c>
      <c r="H383" s="2">
        <v>1</v>
      </c>
      <c r="I383" s="2">
        <v>3</v>
      </c>
      <c r="K383" s="2" t="str">
        <f t="shared" si="262"/>
        <v>11</v>
      </c>
      <c r="L383" s="2" t="str">
        <f t="shared" si="263"/>
        <v>01</v>
      </c>
      <c r="M383" s="2" t="str">
        <f t="shared" si="264"/>
        <v>00</v>
      </c>
      <c r="N383" s="2" t="str">
        <f t="shared" si="265"/>
        <v>01</v>
      </c>
      <c r="O383" s="2" t="str">
        <f t="shared" si="266"/>
        <v>01</v>
      </c>
      <c r="P383" s="2" t="str">
        <f t="shared" si="267"/>
        <v>00</v>
      </c>
      <c r="Q383" s="2" t="str">
        <f t="shared" si="268"/>
        <v>01</v>
      </c>
      <c r="R383" s="2" t="str">
        <f t="shared" si="269"/>
        <v>11</v>
      </c>
      <c r="T383" t="str">
        <f t="shared" si="270"/>
        <v>1101000101000111</v>
      </c>
      <c r="V383" s="10" t="str">
        <f t="shared" si="271"/>
        <v>11010001</v>
      </c>
      <c r="W383" s="10" t="str">
        <f t="shared" si="272"/>
        <v>01000111</v>
      </c>
      <c r="X383" s="10" t="str">
        <f t="shared" si="273"/>
        <v>D1</v>
      </c>
      <c r="Y383" s="10" t="str">
        <f t="shared" si="274"/>
        <v>47</v>
      </c>
    </row>
    <row r="384" spans="1:36" x14ac:dyDescent="0.3">
      <c r="B384" s="2">
        <v>3</v>
      </c>
      <c r="C384" s="2">
        <v>1</v>
      </c>
      <c r="D384" s="2">
        <v>0</v>
      </c>
      <c r="E384" s="2">
        <v>1</v>
      </c>
      <c r="F384" s="2">
        <v>1</v>
      </c>
      <c r="G384" s="2">
        <v>0</v>
      </c>
      <c r="H384" s="2">
        <v>1</v>
      </c>
      <c r="I384" s="2">
        <v>3</v>
      </c>
      <c r="K384" s="2" t="str">
        <f t="shared" si="262"/>
        <v>11</v>
      </c>
      <c r="L384" s="2" t="str">
        <f t="shared" si="263"/>
        <v>01</v>
      </c>
      <c r="M384" s="2" t="str">
        <f t="shared" si="264"/>
        <v>00</v>
      </c>
      <c r="N384" s="2" t="str">
        <f t="shared" si="265"/>
        <v>01</v>
      </c>
      <c r="O384" s="2" t="str">
        <f t="shared" si="266"/>
        <v>01</v>
      </c>
      <c r="P384" s="2" t="str">
        <f t="shared" si="267"/>
        <v>00</v>
      </c>
      <c r="Q384" s="2" t="str">
        <f t="shared" si="268"/>
        <v>01</v>
      </c>
      <c r="R384" s="2" t="str">
        <f t="shared" si="269"/>
        <v>11</v>
      </c>
      <c r="T384" t="str">
        <f t="shared" si="270"/>
        <v>1101000101000111</v>
      </c>
      <c r="V384" s="8" t="str">
        <f t="shared" si="271"/>
        <v>11010001</v>
      </c>
      <c r="W384" s="8" t="str">
        <f t="shared" si="272"/>
        <v>01000111</v>
      </c>
      <c r="X384" s="8" t="str">
        <f t="shared" si="273"/>
        <v>D1</v>
      </c>
      <c r="Y384" s="8" t="str">
        <f t="shared" si="274"/>
        <v>47</v>
      </c>
    </row>
    <row r="385" spans="1:36" x14ac:dyDescent="0.3">
      <c r="B385" s="2">
        <v>3</v>
      </c>
      <c r="C385" s="2">
        <v>1</v>
      </c>
      <c r="D385" s="2">
        <v>0</v>
      </c>
      <c r="E385" s="2">
        <v>1</v>
      </c>
      <c r="F385" s="2">
        <v>1</v>
      </c>
      <c r="G385" s="2">
        <v>0</v>
      </c>
      <c r="H385" s="2">
        <v>1</v>
      </c>
      <c r="I385" s="2">
        <v>3</v>
      </c>
      <c r="K385" s="2" t="str">
        <f t="shared" si="262"/>
        <v>11</v>
      </c>
      <c r="L385" s="2" t="str">
        <f t="shared" si="263"/>
        <v>01</v>
      </c>
      <c r="M385" s="2" t="str">
        <f t="shared" si="264"/>
        <v>00</v>
      </c>
      <c r="N385" s="2" t="str">
        <f t="shared" si="265"/>
        <v>01</v>
      </c>
      <c r="O385" s="2" t="str">
        <f t="shared" si="266"/>
        <v>01</v>
      </c>
      <c r="P385" s="2" t="str">
        <f t="shared" si="267"/>
        <v>00</v>
      </c>
      <c r="Q385" s="2" t="str">
        <f t="shared" si="268"/>
        <v>01</v>
      </c>
      <c r="R385" s="2" t="str">
        <f t="shared" si="269"/>
        <v>11</v>
      </c>
      <c r="T385" t="str">
        <f t="shared" si="270"/>
        <v>1101000101000111</v>
      </c>
      <c r="V385" s="9" t="str">
        <f t="shared" si="271"/>
        <v>11010001</v>
      </c>
      <c r="W385" s="9" t="str">
        <f t="shared" si="272"/>
        <v>01000111</v>
      </c>
      <c r="X385" s="9" t="str">
        <f t="shared" si="273"/>
        <v>D1</v>
      </c>
      <c r="Y385" s="9" t="str">
        <f t="shared" si="274"/>
        <v>47</v>
      </c>
    </row>
    <row r="386" spans="1:36" x14ac:dyDescent="0.3">
      <c r="B386" s="2">
        <v>3</v>
      </c>
      <c r="C386" s="2">
        <v>1</v>
      </c>
      <c r="D386" s="2">
        <v>0</v>
      </c>
      <c r="E386" s="2">
        <v>0</v>
      </c>
      <c r="F386" s="2">
        <v>0</v>
      </c>
      <c r="G386" s="2">
        <v>0</v>
      </c>
      <c r="H386" s="2">
        <v>1</v>
      </c>
      <c r="I386" s="2">
        <v>3</v>
      </c>
      <c r="K386" s="2" t="str">
        <f t="shared" si="262"/>
        <v>11</v>
      </c>
      <c r="L386" s="2" t="str">
        <f t="shared" si="263"/>
        <v>01</v>
      </c>
      <c r="M386" s="2" t="str">
        <f t="shared" si="264"/>
        <v>00</v>
      </c>
      <c r="N386" s="2" t="str">
        <f t="shared" si="265"/>
        <v>00</v>
      </c>
      <c r="O386" s="2" t="str">
        <f t="shared" si="266"/>
        <v>00</v>
      </c>
      <c r="P386" s="2" t="str">
        <f t="shared" si="267"/>
        <v>00</v>
      </c>
      <c r="Q386" s="2" t="str">
        <f t="shared" si="268"/>
        <v>01</v>
      </c>
      <c r="R386" s="2" t="str">
        <f t="shared" si="269"/>
        <v>11</v>
      </c>
      <c r="T386" t="str">
        <f t="shared" si="270"/>
        <v>1101000000000111</v>
      </c>
      <c r="V386" s="9" t="str">
        <f t="shared" si="271"/>
        <v>11010000</v>
      </c>
      <c r="W386" s="9" t="str">
        <f t="shared" si="272"/>
        <v>00000111</v>
      </c>
      <c r="X386" s="9" t="str">
        <f t="shared" si="273"/>
        <v>D0</v>
      </c>
      <c r="Y386" s="9" t="str">
        <f t="shared" si="274"/>
        <v>07</v>
      </c>
    </row>
    <row r="387" spans="1:36" x14ac:dyDescent="0.3">
      <c r="B387" s="2">
        <v>3</v>
      </c>
      <c r="C387" s="2">
        <v>1</v>
      </c>
      <c r="D387" s="2">
        <v>0</v>
      </c>
      <c r="E387" s="2">
        <v>0</v>
      </c>
      <c r="F387" s="2">
        <v>0</v>
      </c>
      <c r="G387" s="2">
        <v>0</v>
      </c>
      <c r="H387" s="2">
        <v>1</v>
      </c>
      <c r="I387" s="2">
        <v>3</v>
      </c>
      <c r="K387" s="2" t="str">
        <f t="shared" si="262"/>
        <v>11</v>
      </c>
      <c r="L387" s="2" t="str">
        <f t="shared" si="263"/>
        <v>01</v>
      </c>
      <c r="M387" s="2" t="str">
        <f t="shared" si="264"/>
        <v>00</v>
      </c>
      <c r="N387" s="2" t="str">
        <f t="shared" si="265"/>
        <v>00</v>
      </c>
      <c r="O387" s="2" t="str">
        <f t="shared" si="266"/>
        <v>00</v>
      </c>
      <c r="P387" s="2" t="str">
        <f t="shared" si="267"/>
        <v>00</v>
      </c>
      <c r="Q387" s="2" t="str">
        <f t="shared" si="268"/>
        <v>01</v>
      </c>
      <c r="R387" s="2" t="str">
        <f t="shared" si="269"/>
        <v>11</v>
      </c>
      <c r="T387" t="str">
        <f t="shared" si="270"/>
        <v>1101000000000111</v>
      </c>
      <c r="V387" s="9" t="str">
        <f t="shared" si="271"/>
        <v>11010000</v>
      </c>
      <c r="W387" s="9" t="str">
        <f t="shared" si="272"/>
        <v>00000111</v>
      </c>
      <c r="X387" s="9" t="str">
        <f t="shared" si="273"/>
        <v>D0</v>
      </c>
      <c r="Y387" s="9" t="str">
        <f t="shared" si="274"/>
        <v>07</v>
      </c>
    </row>
    <row r="388" spans="1:36" x14ac:dyDescent="0.3">
      <c r="B388" s="2">
        <v>3</v>
      </c>
      <c r="C388" s="2">
        <v>1</v>
      </c>
      <c r="D388" s="2">
        <v>1</v>
      </c>
      <c r="E388" s="2">
        <v>1</v>
      </c>
      <c r="F388" s="2">
        <v>1</v>
      </c>
      <c r="G388" s="2">
        <v>1</v>
      </c>
      <c r="H388" s="2">
        <v>1</v>
      </c>
      <c r="I388" s="2">
        <v>3</v>
      </c>
      <c r="K388" s="2" t="str">
        <f t="shared" si="262"/>
        <v>11</v>
      </c>
      <c r="L388" s="2" t="str">
        <f t="shared" si="263"/>
        <v>01</v>
      </c>
      <c r="M388" s="2" t="str">
        <f t="shared" si="264"/>
        <v>01</v>
      </c>
      <c r="N388" s="2" t="str">
        <f t="shared" si="265"/>
        <v>01</v>
      </c>
      <c r="O388" s="2" t="str">
        <f t="shared" si="266"/>
        <v>01</v>
      </c>
      <c r="P388" s="2" t="str">
        <f t="shared" si="267"/>
        <v>01</v>
      </c>
      <c r="Q388" s="2" t="str">
        <f t="shared" si="268"/>
        <v>01</v>
      </c>
      <c r="R388" s="2" t="str">
        <f t="shared" si="269"/>
        <v>11</v>
      </c>
      <c r="T388" t="str">
        <f t="shared" si="270"/>
        <v>1101010101010111</v>
      </c>
      <c r="V388" s="9" t="str">
        <f t="shared" si="271"/>
        <v>11010101</v>
      </c>
      <c r="W388" s="9" t="str">
        <f t="shared" si="272"/>
        <v>01010111</v>
      </c>
      <c r="X388" s="9" t="str">
        <f t="shared" si="273"/>
        <v>D5</v>
      </c>
      <c r="Y388" s="9" t="str">
        <f t="shared" si="274"/>
        <v>57</v>
      </c>
    </row>
    <row r="389" spans="1:36" x14ac:dyDescent="0.3">
      <c r="B389" s="2">
        <v>3</v>
      </c>
      <c r="C389" s="2">
        <v>1</v>
      </c>
      <c r="D389" s="2">
        <v>1</v>
      </c>
      <c r="E389" s="2">
        <v>1</v>
      </c>
      <c r="F389" s="2">
        <v>1</v>
      </c>
      <c r="G389" s="2">
        <v>1</v>
      </c>
      <c r="H389" s="2">
        <v>1</v>
      </c>
      <c r="I389" s="2">
        <v>3</v>
      </c>
      <c r="K389" s="2" t="str">
        <f t="shared" si="262"/>
        <v>11</v>
      </c>
      <c r="L389" s="2" t="str">
        <f t="shared" si="263"/>
        <v>01</v>
      </c>
      <c r="M389" s="2" t="str">
        <f t="shared" si="264"/>
        <v>01</v>
      </c>
      <c r="N389" s="2" t="str">
        <f t="shared" si="265"/>
        <v>01</v>
      </c>
      <c r="O389" s="2" t="str">
        <f t="shared" si="266"/>
        <v>01</v>
      </c>
      <c r="P389" s="2" t="str">
        <f t="shared" si="267"/>
        <v>01</v>
      </c>
      <c r="Q389" s="2" t="str">
        <f t="shared" si="268"/>
        <v>01</v>
      </c>
      <c r="R389" s="2" t="str">
        <f t="shared" si="269"/>
        <v>11</v>
      </c>
      <c r="T389" t="str">
        <f t="shared" si="270"/>
        <v>1101010101010111</v>
      </c>
      <c r="V389" s="9" t="str">
        <f t="shared" si="271"/>
        <v>11010101</v>
      </c>
      <c r="W389" s="9" t="str">
        <f t="shared" si="272"/>
        <v>01010111</v>
      </c>
      <c r="X389" s="9" t="str">
        <f t="shared" si="273"/>
        <v>D5</v>
      </c>
      <c r="Y389" s="9" t="str">
        <f t="shared" si="274"/>
        <v>57</v>
      </c>
    </row>
    <row r="390" spans="1:36" x14ac:dyDescent="0.3">
      <c r="B390" s="2">
        <v>3</v>
      </c>
      <c r="C390" s="2">
        <v>3</v>
      </c>
      <c r="D390" s="2">
        <v>3</v>
      </c>
      <c r="E390" s="2">
        <v>3</v>
      </c>
      <c r="F390" s="2">
        <v>3</v>
      </c>
      <c r="G390" s="2">
        <v>3</v>
      </c>
      <c r="H390" s="2">
        <v>3</v>
      </c>
      <c r="I390" s="2">
        <v>3</v>
      </c>
      <c r="K390" s="2" t="str">
        <f t="shared" si="262"/>
        <v>11</v>
      </c>
      <c r="L390" s="2" t="str">
        <f t="shared" si="263"/>
        <v>11</v>
      </c>
      <c r="M390" s="2" t="str">
        <f t="shared" si="264"/>
        <v>11</v>
      </c>
      <c r="N390" s="2" t="str">
        <f t="shared" si="265"/>
        <v>11</v>
      </c>
      <c r="O390" s="2" t="str">
        <f t="shared" si="266"/>
        <v>11</v>
      </c>
      <c r="P390" s="2" t="str">
        <f t="shared" si="267"/>
        <v>11</v>
      </c>
      <c r="Q390" s="2" t="str">
        <f t="shared" si="268"/>
        <v>11</v>
      </c>
      <c r="R390" s="2" t="str">
        <f t="shared" si="269"/>
        <v>11</v>
      </c>
      <c r="T390" t="str">
        <f t="shared" si="270"/>
        <v>1111111111111111</v>
      </c>
      <c r="V390" s="9" t="str">
        <f t="shared" si="271"/>
        <v>11111111</v>
      </c>
      <c r="W390" s="9" t="str">
        <f t="shared" si="272"/>
        <v>11111111</v>
      </c>
      <c r="X390" s="9" t="str">
        <f t="shared" si="273"/>
        <v>FF</v>
      </c>
      <c r="Y390" s="9" t="str">
        <f t="shared" si="274"/>
        <v>FF</v>
      </c>
    </row>
    <row r="391" spans="1:36" x14ac:dyDescent="0.3">
      <c r="B391" s="2">
        <v>3</v>
      </c>
      <c r="C391" s="2">
        <v>3</v>
      </c>
      <c r="D391" s="2">
        <v>3</v>
      </c>
      <c r="E391" s="2">
        <v>3</v>
      </c>
      <c r="F391" s="2">
        <v>3</v>
      </c>
      <c r="G391" s="2">
        <v>3</v>
      </c>
      <c r="H391" s="2">
        <v>3</v>
      </c>
      <c r="I391" s="2">
        <v>3</v>
      </c>
      <c r="K391" s="2" t="str">
        <f t="shared" si="262"/>
        <v>11</v>
      </c>
      <c r="L391" s="2" t="str">
        <f t="shared" si="263"/>
        <v>11</v>
      </c>
      <c r="M391" s="2" t="str">
        <f t="shared" si="264"/>
        <v>11</v>
      </c>
      <c r="N391" s="2" t="str">
        <f t="shared" si="265"/>
        <v>11</v>
      </c>
      <c r="O391" s="2" t="str">
        <f t="shared" si="266"/>
        <v>11</v>
      </c>
      <c r="P391" s="2" t="str">
        <f t="shared" si="267"/>
        <v>11</v>
      </c>
      <c r="Q391" s="2" t="str">
        <f t="shared" si="268"/>
        <v>11</v>
      </c>
      <c r="R391" s="2" t="str">
        <f t="shared" si="269"/>
        <v>11</v>
      </c>
      <c r="T391" t="str">
        <f t="shared" si="270"/>
        <v>1111111111111111</v>
      </c>
      <c r="V391" s="10" t="str">
        <f t="shared" si="271"/>
        <v>11111111</v>
      </c>
      <c r="W391" s="10" t="str">
        <f t="shared" si="272"/>
        <v>11111111</v>
      </c>
      <c r="X391" s="10" t="str">
        <f t="shared" si="273"/>
        <v>FF</v>
      </c>
      <c r="Y391" s="10" t="str">
        <f t="shared" si="274"/>
        <v>FF</v>
      </c>
    </row>
    <row r="392" spans="1:36" x14ac:dyDescent="0.3">
      <c r="A392" t="s">
        <v>19</v>
      </c>
      <c r="AJ392" t="str">
        <f>";"&amp;PROPER(A392)</f>
        <v>;Amoeba 1</v>
      </c>
    </row>
    <row r="393" spans="1:36" x14ac:dyDescent="0.3">
      <c r="B393" s="2">
        <v>1</v>
      </c>
      <c r="C393" s="2">
        <v>1</v>
      </c>
      <c r="D393" s="2">
        <v>3</v>
      </c>
      <c r="E393" s="2">
        <v>0</v>
      </c>
      <c r="F393" s="2">
        <v>0</v>
      </c>
      <c r="G393" s="2">
        <v>3</v>
      </c>
      <c r="H393" s="2">
        <v>1</v>
      </c>
      <c r="I393" s="2">
        <v>1</v>
      </c>
      <c r="K393" s="2" t="str">
        <f t="shared" ref="K393:K408" si="276">DEC2BIN(B393,2)</f>
        <v>01</v>
      </c>
      <c r="L393" s="2" t="str">
        <f t="shared" ref="L393:L408" si="277">DEC2BIN(C393,2)</f>
        <v>01</v>
      </c>
      <c r="M393" s="2" t="str">
        <f t="shared" ref="M393:M408" si="278">DEC2BIN(D393,2)</f>
        <v>11</v>
      </c>
      <c r="N393" s="2" t="str">
        <f t="shared" ref="N393:N408" si="279">DEC2BIN(E393,2)</f>
        <v>00</v>
      </c>
      <c r="O393" s="2" t="str">
        <f t="shared" ref="O393:O408" si="280">DEC2BIN(F393,2)</f>
        <v>00</v>
      </c>
      <c r="P393" s="2" t="str">
        <f t="shared" ref="P393:P408" si="281">DEC2BIN(G393,2)</f>
        <v>11</v>
      </c>
      <c r="Q393" s="2" t="str">
        <f t="shared" ref="Q393:Q408" si="282">DEC2BIN(H393,2)</f>
        <v>01</v>
      </c>
      <c r="R393" s="2" t="str">
        <f t="shared" ref="R393:R408" si="283">DEC2BIN(I393,2)</f>
        <v>01</v>
      </c>
      <c r="T393" t="str">
        <f t="shared" ref="T393:T408" si="284">_xlfn.CONCAT(K393:R393)</f>
        <v>0101110000110101</v>
      </c>
      <c r="V393" s="8" t="str">
        <f>LEFT(T393,8)</f>
        <v>01011100</v>
      </c>
      <c r="W393" s="8" t="str">
        <f>RIGHT(T393,8)</f>
        <v>00110101</v>
      </c>
      <c r="X393" s="8" t="str">
        <f>BIN2HEX(V393,2)</f>
        <v>5C</v>
      </c>
      <c r="Y393" s="8" t="str">
        <f>BIN2HEX(W393,2)</f>
        <v>35</v>
      </c>
      <c r="AA393" t="str" cm="1">
        <f t="array" ref="AA393:AH393">TRANSPOSE(X393:X400)</f>
        <v>5C</v>
      </c>
      <c r="AB393" t="str">
        <v>57</v>
      </c>
      <c r="AC393" t="str">
        <v>55</v>
      </c>
      <c r="AD393" t="str">
        <v>D5</v>
      </c>
      <c r="AE393" t="str">
        <v>35</v>
      </c>
      <c r="AF393" t="str">
        <v>D5</v>
      </c>
      <c r="AG393" t="str">
        <v>55</v>
      </c>
      <c r="AH393" t="str">
        <v>55</v>
      </c>
      <c r="AJ393" t="str">
        <f>LOWER("!byte $"&amp;AA393&amp;", $"&amp;AB393&amp;", $"&amp;AC393&amp;", $"&amp;AD393&amp;", $"&amp;AE393&amp;", $"&amp;AF393&amp;", $"&amp;AG393&amp;", $"&amp;AH393)</f>
        <v>!byte $5c, $57, $55, $d5, $35, $d5, $55, $55</v>
      </c>
    </row>
    <row r="394" spans="1:36" x14ac:dyDescent="0.3">
      <c r="B394" s="2">
        <v>1</v>
      </c>
      <c r="C394" s="2">
        <v>1</v>
      </c>
      <c r="D394" s="2">
        <v>1</v>
      </c>
      <c r="E394" s="2">
        <v>3</v>
      </c>
      <c r="F394" s="2">
        <v>3</v>
      </c>
      <c r="G394" s="2">
        <v>1</v>
      </c>
      <c r="H394" s="2">
        <v>1</v>
      </c>
      <c r="I394" s="2">
        <v>1</v>
      </c>
      <c r="K394" s="2" t="str">
        <f t="shared" si="276"/>
        <v>01</v>
      </c>
      <c r="L394" s="2" t="str">
        <f t="shared" si="277"/>
        <v>01</v>
      </c>
      <c r="M394" s="2" t="str">
        <f t="shared" si="278"/>
        <v>01</v>
      </c>
      <c r="N394" s="2" t="str">
        <f t="shared" si="279"/>
        <v>11</v>
      </c>
      <c r="O394" s="2" t="str">
        <f t="shared" si="280"/>
        <v>11</v>
      </c>
      <c r="P394" s="2" t="str">
        <f t="shared" si="281"/>
        <v>01</v>
      </c>
      <c r="Q394" s="2" t="str">
        <f t="shared" si="282"/>
        <v>01</v>
      </c>
      <c r="R394" s="2" t="str">
        <f t="shared" si="283"/>
        <v>01</v>
      </c>
      <c r="T394" t="str">
        <f t="shared" si="284"/>
        <v>0101011111010101</v>
      </c>
      <c r="V394" s="9" t="str">
        <f t="shared" ref="V394:V408" si="285">LEFT(T394,8)</f>
        <v>01010111</v>
      </c>
      <c r="W394" s="9" t="str">
        <f t="shared" ref="W394:W408" si="286">RIGHT(T394,8)</f>
        <v>11010101</v>
      </c>
      <c r="X394" s="9" t="str">
        <f t="shared" ref="X394:X408" si="287">BIN2HEX(V394,2)</f>
        <v>57</v>
      </c>
      <c r="Y394" s="9" t="str">
        <f t="shared" ref="Y394:Y408" si="288">BIN2HEX(W394,2)</f>
        <v>D5</v>
      </c>
      <c r="AA394" t="str" cm="1">
        <f t="array" ref="AA394:AH394">TRANSPOSE(X401:X408)</f>
        <v>F5</v>
      </c>
      <c r="AB394" t="str">
        <v>0D</v>
      </c>
      <c r="AC394" t="str">
        <v>0D</v>
      </c>
      <c r="AD394" t="str">
        <v>F5</v>
      </c>
      <c r="AE394" t="str">
        <v>55</v>
      </c>
      <c r="AF394" t="str">
        <v>57</v>
      </c>
      <c r="AG394" t="str">
        <v>5C</v>
      </c>
      <c r="AH394" t="str">
        <v>70</v>
      </c>
      <c r="AJ394" t="str">
        <f t="shared" ref="AJ394:AJ396" si="289">LOWER("!byte $"&amp;AA394&amp;", $"&amp;AB394&amp;", $"&amp;AC394&amp;", $"&amp;AD394&amp;", $"&amp;AE394&amp;", $"&amp;AF394&amp;", $"&amp;AG394&amp;", $"&amp;AH394)</f>
        <v>!byte $f5, $0d, $0d, $f5, $55, $57, $5c, $70</v>
      </c>
    </row>
    <row r="395" spans="1:36" x14ac:dyDescent="0.3">
      <c r="B395" s="2">
        <v>1</v>
      </c>
      <c r="C395" s="2">
        <v>1</v>
      </c>
      <c r="D395" s="2">
        <v>1</v>
      </c>
      <c r="E395" s="2">
        <v>1</v>
      </c>
      <c r="F395" s="2">
        <v>1</v>
      </c>
      <c r="G395" s="2">
        <v>1</v>
      </c>
      <c r="H395" s="2">
        <v>1</v>
      </c>
      <c r="I395" s="2">
        <v>1</v>
      </c>
      <c r="K395" s="2" t="str">
        <f t="shared" si="276"/>
        <v>01</v>
      </c>
      <c r="L395" s="2" t="str">
        <f t="shared" si="277"/>
        <v>01</v>
      </c>
      <c r="M395" s="2" t="str">
        <f t="shared" si="278"/>
        <v>01</v>
      </c>
      <c r="N395" s="2" t="str">
        <f t="shared" si="279"/>
        <v>01</v>
      </c>
      <c r="O395" s="2" t="str">
        <f t="shared" si="280"/>
        <v>01</v>
      </c>
      <c r="P395" s="2" t="str">
        <f t="shared" si="281"/>
        <v>01</v>
      </c>
      <c r="Q395" s="2" t="str">
        <f t="shared" si="282"/>
        <v>01</v>
      </c>
      <c r="R395" s="2" t="str">
        <f t="shared" si="283"/>
        <v>01</v>
      </c>
      <c r="T395" t="str">
        <f t="shared" si="284"/>
        <v>0101010101010101</v>
      </c>
      <c r="V395" s="9" t="str">
        <f t="shared" si="285"/>
        <v>01010101</v>
      </c>
      <c r="W395" s="9" t="str">
        <f t="shared" si="286"/>
        <v>01010101</v>
      </c>
      <c r="X395" s="9" t="str">
        <f t="shared" si="287"/>
        <v>55</v>
      </c>
      <c r="Y395" s="9" t="str">
        <f t="shared" si="288"/>
        <v>55</v>
      </c>
      <c r="AA395" t="str" cm="1">
        <f t="array" ref="AA395:AH395">TRANSPOSE(Y393:Y400)</f>
        <v>35</v>
      </c>
      <c r="AB395" t="str">
        <v>D5</v>
      </c>
      <c r="AC395" t="str">
        <v>55</v>
      </c>
      <c r="AD395" t="str">
        <v>55</v>
      </c>
      <c r="AE395" t="str">
        <v>57</v>
      </c>
      <c r="AF395" t="str">
        <v>55</v>
      </c>
      <c r="AG395" t="str">
        <v>55</v>
      </c>
      <c r="AH395" t="str">
        <v>F5</v>
      </c>
      <c r="AJ395" t="str">
        <f t="shared" si="289"/>
        <v>!byte $35, $d5, $55, $55, $57, $55, $55, $f5</v>
      </c>
    </row>
    <row r="396" spans="1:36" x14ac:dyDescent="0.3">
      <c r="B396" s="2">
        <v>3</v>
      </c>
      <c r="C396" s="2">
        <v>1</v>
      </c>
      <c r="D396" s="2">
        <v>1</v>
      </c>
      <c r="E396" s="2">
        <v>1</v>
      </c>
      <c r="F396" s="2">
        <v>1</v>
      </c>
      <c r="G396" s="2">
        <v>1</v>
      </c>
      <c r="H396" s="2">
        <v>1</v>
      </c>
      <c r="I396" s="2">
        <v>1</v>
      </c>
      <c r="K396" s="2" t="str">
        <f t="shared" si="276"/>
        <v>11</v>
      </c>
      <c r="L396" s="2" t="str">
        <f t="shared" si="277"/>
        <v>01</v>
      </c>
      <c r="M396" s="2" t="str">
        <f t="shared" si="278"/>
        <v>01</v>
      </c>
      <c r="N396" s="2" t="str">
        <f t="shared" si="279"/>
        <v>01</v>
      </c>
      <c r="O396" s="2" t="str">
        <f t="shared" si="280"/>
        <v>01</v>
      </c>
      <c r="P396" s="2" t="str">
        <f t="shared" si="281"/>
        <v>01</v>
      </c>
      <c r="Q396" s="2" t="str">
        <f t="shared" si="282"/>
        <v>01</v>
      </c>
      <c r="R396" s="2" t="str">
        <f t="shared" si="283"/>
        <v>01</v>
      </c>
      <c r="T396" t="str">
        <f t="shared" si="284"/>
        <v>1101010101010101</v>
      </c>
      <c r="V396" s="9" t="str">
        <f t="shared" si="285"/>
        <v>11010101</v>
      </c>
      <c r="W396" s="9" t="str">
        <f t="shared" si="286"/>
        <v>01010101</v>
      </c>
      <c r="X396" s="9" t="str">
        <f t="shared" si="287"/>
        <v>D5</v>
      </c>
      <c r="Y396" s="9" t="str">
        <f t="shared" si="288"/>
        <v>55</v>
      </c>
      <c r="AA396" t="str" cm="1">
        <f t="array" ref="AA396:AH396">TRANSPOSE(Y401:Y408)</f>
        <v>F5</v>
      </c>
      <c r="AB396" t="str">
        <v>57</v>
      </c>
      <c r="AC396" t="str">
        <v>57</v>
      </c>
      <c r="AD396" t="str">
        <v>55</v>
      </c>
      <c r="AE396" t="str">
        <v>55</v>
      </c>
      <c r="AF396" t="str">
        <v>D5</v>
      </c>
      <c r="AG396" t="str">
        <v>35</v>
      </c>
      <c r="AH396" t="str">
        <v>0D</v>
      </c>
      <c r="AJ396" t="str">
        <f t="shared" si="289"/>
        <v>!byte $f5, $57, $57, $55, $55, $d5, $35, $0d</v>
      </c>
    </row>
    <row r="397" spans="1:36" x14ac:dyDescent="0.3">
      <c r="B397" s="2">
        <v>0</v>
      </c>
      <c r="C397" s="2">
        <v>3</v>
      </c>
      <c r="D397" s="2">
        <v>1</v>
      </c>
      <c r="E397" s="2">
        <v>1</v>
      </c>
      <c r="F397" s="2">
        <v>1</v>
      </c>
      <c r="G397" s="2">
        <v>1</v>
      </c>
      <c r="H397" s="2">
        <v>1</v>
      </c>
      <c r="I397" s="2">
        <v>3</v>
      </c>
      <c r="K397" s="2" t="str">
        <f t="shared" si="276"/>
        <v>00</v>
      </c>
      <c r="L397" s="2" t="str">
        <f t="shared" si="277"/>
        <v>11</v>
      </c>
      <c r="M397" s="2" t="str">
        <f t="shared" si="278"/>
        <v>01</v>
      </c>
      <c r="N397" s="2" t="str">
        <f t="shared" si="279"/>
        <v>01</v>
      </c>
      <c r="O397" s="2" t="str">
        <f t="shared" si="280"/>
        <v>01</v>
      </c>
      <c r="P397" s="2" t="str">
        <f t="shared" si="281"/>
        <v>01</v>
      </c>
      <c r="Q397" s="2" t="str">
        <f t="shared" si="282"/>
        <v>01</v>
      </c>
      <c r="R397" s="2" t="str">
        <f t="shared" si="283"/>
        <v>11</v>
      </c>
      <c r="T397" t="str">
        <f t="shared" si="284"/>
        <v>0011010101010111</v>
      </c>
      <c r="V397" s="9" t="str">
        <f t="shared" si="285"/>
        <v>00110101</v>
      </c>
      <c r="W397" s="9" t="str">
        <f t="shared" si="286"/>
        <v>01010111</v>
      </c>
      <c r="X397" s="9" t="str">
        <f t="shared" si="287"/>
        <v>35</v>
      </c>
      <c r="Y397" s="9" t="str">
        <f t="shared" si="288"/>
        <v>57</v>
      </c>
    </row>
    <row r="398" spans="1:36" x14ac:dyDescent="0.3">
      <c r="B398" s="2">
        <v>3</v>
      </c>
      <c r="C398" s="2">
        <v>1</v>
      </c>
      <c r="D398" s="2">
        <v>1</v>
      </c>
      <c r="E398" s="2">
        <v>1</v>
      </c>
      <c r="F398" s="2">
        <v>1</v>
      </c>
      <c r="G398" s="2">
        <v>1</v>
      </c>
      <c r="H398" s="2">
        <v>1</v>
      </c>
      <c r="I398" s="2">
        <v>1</v>
      </c>
      <c r="K398" s="2" t="str">
        <f t="shared" si="276"/>
        <v>11</v>
      </c>
      <c r="L398" s="2" t="str">
        <f t="shared" si="277"/>
        <v>01</v>
      </c>
      <c r="M398" s="2" t="str">
        <f t="shared" si="278"/>
        <v>01</v>
      </c>
      <c r="N398" s="2" t="str">
        <f t="shared" si="279"/>
        <v>01</v>
      </c>
      <c r="O398" s="2" t="str">
        <f t="shared" si="280"/>
        <v>01</v>
      </c>
      <c r="P398" s="2" t="str">
        <f t="shared" si="281"/>
        <v>01</v>
      </c>
      <c r="Q398" s="2" t="str">
        <f t="shared" si="282"/>
        <v>01</v>
      </c>
      <c r="R398" s="2" t="str">
        <f t="shared" si="283"/>
        <v>01</v>
      </c>
      <c r="T398" t="str">
        <f t="shared" si="284"/>
        <v>1101010101010101</v>
      </c>
      <c r="V398" s="9" t="str">
        <f t="shared" si="285"/>
        <v>11010101</v>
      </c>
      <c r="W398" s="9" t="str">
        <f t="shared" si="286"/>
        <v>01010101</v>
      </c>
      <c r="X398" s="9" t="str">
        <f t="shared" si="287"/>
        <v>D5</v>
      </c>
      <c r="Y398" s="9" t="str">
        <f t="shared" si="288"/>
        <v>55</v>
      </c>
    </row>
    <row r="399" spans="1:36" x14ac:dyDescent="0.3">
      <c r="B399" s="2">
        <v>1</v>
      </c>
      <c r="C399" s="2">
        <v>1</v>
      </c>
      <c r="D399" s="2">
        <v>1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  <c r="K399" s="2" t="str">
        <f t="shared" si="276"/>
        <v>01</v>
      </c>
      <c r="L399" s="2" t="str">
        <f t="shared" si="277"/>
        <v>01</v>
      </c>
      <c r="M399" s="2" t="str">
        <f t="shared" si="278"/>
        <v>01</v>
      </c>
      <c r="N399" s="2" t="str">
        <f t="shared" si="279"/>
        <v>01</v>
      </c>
      <c r="O399" s="2" t="str">
        <f t="shared" si="280"/>
        <v>01</v>
      </c>
      <c r="P399" s="2" t="str">
        <f t="shared" si="281"/>
        <v>01</v>
      </c>
      <c r="Q399" s="2" t="str">
        <f t="shared" si="282"/>
        <v>01</v>
      </c>
      <c r="R399" s="2" t="str">
        <f t="shared" si="283"/>
        <v>01</v>
      </c>
      <c r="T399" t="str">
        <f t="shared" si="284"/>
        <v>0101010101010101</v>
      </c>
      <c r="V399" s="9" t="str">
        <f t="shared" si="285"/>
        <v>01010101</v>
      </c>
      <c r="W399" s="9" t="str">
        <f t="shared" si="286"/>
        <v>01010101</v>
      </c>
      <c r="X399" s="9" t="str">
        <f t="shared" si="287"/>
        <v>55</v>
      </c>
      <c r="Y399" s="9" t="str">
        <f t="shared" si="288"/>
        <v>55</v>
      </c>
    </row>
    <row r="400" spans="1:36" x14ac:dyDescent="0.3">
      <c r="B400" s="2">
        <v>1</v>
      </c>
      <c r="C400" s="2">
        <v>1</v>
      </c>
      <c r="D400" s="2">
        <v>1</v>
      </c>
      <c r="E400" s="2">
        <v>1</v>
      </c>
      <c r="F400" s="2">
        <v>3</v>
      </c>
      <c r="G400" s="2">
        <v>3</v>
      </c>
      <c r="H400" s="2">
        <v>1</v>
      </c>
      <c r="I400" s="2">
        <v>1</v>
      </c>
      <c r="K400" s="2" t="str">
        <f t="shared" si="276"/>
        <v>01</v>
      </c>
      <c r="L400" s="2" t="str">
        <f t="shared" si="277"/>
        <v>01</v>
      </c>
      <c r="M400" s="2" t="str">
        <f t="shared" si="278"/>
        <v>01</v>
      </c>
      <c r="N400" s="2" t="str">
        <f t="shared" si="279"/>
        <v>01</v>
      </c>
      <c r="O400" s="2" t="str">
        <f t="shared" si="280"/>
        <v>11</v>
      </c>
      <c r="P400" s="2" t="str">
        <f t="shared" si="281"/>
        <v>11</v>
      </c>
      <c r="Q400" s="2" t="str">
        <f t="shared" si="282"/>
        <v>01</v>
      </c>
      <c r="R400" s="2" t="str">
        <f t="shared" si="283"/>
        <v>01</v>
      </c>
      <c r="T400" t="str">
        <f t="shared" si="284"/>
        <v>0101010111110101</v>
      </c>
      <c r="V400" s="10" t="str">
        <f t="shared" si="285"/>
        <v>01010101</v>
      </c>
      <c r="W400" s="10" t="str">
        <f t="shared" si="286"/>
        <v>11110101</v>
      </c>
      <c r="X400" s="10" t="str">
        <f t="shared" si="287"/>
        <v>55</v>
      </c>
      <c r="Y400" s="10" t="str">
        <f t="shared" si="288"/>
        <v>F5</v>
      </c>
    </row>
    <row r="401" spans="1:36" x14ac:dyDescent="0.3">
      <c r="B401" s="2">
        <v>3</v>
      </c>
      <c r="C401" s="2">
        <v>3</v>
      </c>
      <c r="D401" s="2">
        <v>1</v>
      </c>
      <c r="E401" s="2">
        <v>1</v>
      </c>
      <c r="F401" s="2">
        <v>3</v>
      </c>
      <c r="G401" s="2">
        <v>3</v>
      </c>
      <c r="H401" s="2">
        <v>1</v>
      </c>
      <c r="I401" s="2">
        <v>1</v>
      </c>
      <c r="K401" s="2" t="str">
        <f t="shared" si="276"/>
        <v>11</v>
      </c>
      <c r="L401" s="2" t="str">
        <f t="shared" si="277"/>
        <v>11</v>
      </c>
      <c r="M401" s="2" t="str">
        <f t="shared" si="278"/>
        <v>01</v>
      </c>
      <c r="N401" s="2" t="str">
        <f t="shared" si="279"/>
        <v>01</v>
      </c>
      <c r="O401" s="2" t="str">
        <f t="shared" si="280"/>
        <v>11</v>
      </c>
      <c r="P401" s="2" t="str">
        <f t="shared" si="281"/>
        <v>11</v>
      </c>
      <c r="Q401" s="2" t="str">
        <f t="shared" si="282"/>
        <v>01</v>
      </c>
      <c r="R401" s="2" t="str">
        <f t="shared" si="283"/>
        <v>01</v>
      </c>
      <c r="T401" t="str">
        <f t="shared" si="284"/>
        <v>1111010111110101</v>
      </c>
      <c r="V401" s="8" t="str">
        <f t="shared" si="285"/>
        <v>11110101</v>
      </c>
      <c r="W401" s="8" t="str">
        <f t="shared" si="286"/>
        <v>11110101</v>
      </c>
      <c r="X401" s="8" t="str">
        <f t="shared" si="287"/>
        <v>F5</v>
      </c>
      <c r="Y401" s="8" t="str">
        <f t="shared" si="288"/>
        <v>F5</v>
      </c>
    </row>
    <row r="402" spans="1:36" x14ac:dyDescent="0.3">
      <c r="B402" s="2">
        <v>0</v>
      </c>
      <c r="C402" s="2">
        <v>0</v>
      </c>
      <c r="D402" s="2">
        <v>3</v>
      </c>
      <c r="E402" s="2">
        <v>1</v>
      </c>
      <c r="F402" s="2">
        <v>1</v>
      </c>
      <c r="G402" s="2">
        <v>1</v>
      </c>
      <c r="H402" s="2">
        <v>1</v>
      </c>
      <c r="I402" s="2">
        <v>3</v>
      </c>
      <c r="K402" s="2" t="str">
        <f t="shared" si="276"/>
        <v>00</v>
      </c>
      <c r="L402" s="2" t="str">
        <f t="shared" si="277"/>
        <v>00</v>
      </c>
      <c r="M402" s="2" t="str">
        <f t="shared" si="278"/>
        <v>11</v>
      </c>
      <c r="N402" s="2" t="str">
        <f t="shared" si="279"/>
        <v>01</v>
      </c>
      <c r="O402" s="2" t="str">
        <f t="shared" si="280"/>
        <v>01</v>
      </c>
      <c r="P402" s="2" t="str">
        <f t="shared" si="281"/>
        <v>01</v>
      </c>
      <c r="Q402" s="2" t="str">
        <f t="shared" si="282"/>
        <v>01</v>
      </c>
      <c r="R402" s="2" t="str">
        <f t="shared" si="283"/>
        <v>11</v>
      </c>
      <c r="T402" t="str">
        <f t="shared" si="284"/>
        <v>0000110101010111</v>
      </c>
      <c r="V402" s="9" t="str">
        <f t="shared" si="285"/>
        <v>00001101</v>
      </c>
      <c r="W402" s="9" t="str">
        <f t="shared" si="286"/>
        <v>01010111</v>
      </c>
      <c r="X402" s="9" t="str">
        <f t="shared" si="287"/>
        <v>0D</v>
      </c>
      <c r="Y402" s="9" t="str">
        <f t="shared" si="288"/>
        <v>57</v>
      </c>
    </row>
    <row r="403" spans="1:36" x14ac:dyDescent="0.3">
      <c r="B403" s="2">
        <v>0</v>
      </c>
      <c r="C403" s="2">
        <v>0</v>
      </c>
      <c r="D403" s="2">
        <v>3</v>
      </c>
      <c r="E403" s="2">
        <v>1</v>
      </c>
      <c r="F403" s="2">
        <v>1</v>
      </c>
      <c r="G403" s="2">
        <v>1</v>
      </c>
      <c r="H403" s="2">
        <v>1</v>
      </c>
      <c r="I403" s="2">
        <v>3</v>
      </c>
      <c r="K403" s="2" t="str">
        <f t="shared" si="276"/>
        <v>00</v>
      </c>
      <c r="L403" s="2" t="str">
        <f t="shared" si="277"/>
        <v>00</v>
      </c>
      <c r="M403" s="2" t="str">
        <f t="shared" si="278"/>
        <v>11</v>
      </c>
      <c r="N403" s="2" t="str">
        <f t="shared" si="279"/>
        <v>01</v>
      </c>
      <c r="O403" s="2" t="str">
        <f t="shared" si="280"/>
        <v>01</v>
      </c>
      <c r="P403" s="2" t="str">
        <f t="shared" si="281"/>
        <v>01</v>
      </c>
      <c r="Q403" s="2" t="str">
        <f t="shared" si="282"/>
        <v>01</v>
      </c>
      <c r="R403" s="2" t="str">
        <f t="shared" si="283"/>
        <v>11</v>
      </c>
      <c r="T403" t="str">
        <f t="shared" si="284"/>
        <v>0000110101010111</v>
      </c>
      <c r="V403" s="9" t="str">
        <f t="shared" si="285"/>
        <v>00001101</v>
      </c>
      <c r="W403" s="9" t="str">
        <f t="shared" si="286"/>
        <v>01010111</v>
      </c>
      <c r="X403" s="9" t="str">
        <f t="shared" si="287"/>
        <v>0D</v>
      </c>
      <c r="Y403" s="9" t="str">
        <f t="shared" si="288"/>
        <v>57</v>
      </c>
    </row>
    <row r="404" spans="1:36" x14ac:dyDescent="0.3">
      <c r="B404" s="2">
        <v>3</v>
      </c>
      <c r="C404" s="2">
        <v>3</v>
      </c>
      <c r="D404" s="2">
        <v>1</v>
      </c>
      <c r="E404" s="2">
        <v>1</v>
      </c>
      <c r="F404" s="2">
        <v>1</v>
      </c>
      <c r="G404" s="2">
        <v>1</v>
      </c>
      <c r="H404" s="2">
        <v>1</v>
      </c>
      <c r="I404" s="2">
        <v>1</v>
      </c>
      <c r="K404" s="2" t="str">
        <f t="shared" si="276"/>
        <v>11</v>
      </c>
      <c r="L404" s="2" t="str">
        <f t="shared" si="277"/>
        <v>11</v>
      </c>
      <c r="M404" s="2" t="str">
        <f t="shared" si="278"/>
        <v>01</v>
      </c>
      <c r="N404" s="2" t="str">
        <f t="shared" si="279"/>
        <v>01</v>
      </c>
      <c r="O404" s="2" t="str">
        <f t="shared" si="280"/>
        <v>01</v>
      </c>
      <c r="P404" s="2" t="str">
        <f t="shared" si="281"/>
        <v>01</v>
      </c>
      <c r="Q404" s="2" t="str">
        <f t="shared" si="282"/>
        <v>01</v>
      </c>
      <c r="R404" s="2" t="str">
        <f t="shared" si="283"/>
        <v>01</v>
      </c>
      <c r="T404" t="str">
        <f t="shared" si="284"/>
        <v>1111010101010101</v>
      </c>
      <c r="V404" s="9" t="str">
        <f t="shared" si="285"/>
        <v>11110101</v>
      </c>
      <c r="W404" s="9" t="str">
        <f t="shared" si="286"/>
        <v>01010101</v>
      </c>
      <c r="X404" s="9" t="str">
        <f t="shared" si="287"/>
        <v>F5</v>
      </c>
      <c r="Y404" s="9" t="str">
        <f t="shared" si="288"/>
        <v>55</v>
      </c>
    </row>
    <row r="405" spans="1:36" x14ac:dyDescent="0.3">
      <c r="B405" s="2">
        <v>1</v>
      </c>
      <c r="C405" s="2">
        <v>1</v>
      </c>
      <c r="D405" s="2">
        <v>1</v>
      </c>
      <c r="E405" s="2">
        <v>1</v>
      </c>
      <c r="F405" s="2">
        <v>1</v>
      </c>
      <c r="G405" s="2">
        <v>1</v>
      </c>
      <c r="H405" s="2">
        <v>1</v>
      </c>
      <c r="I405" s="2">
        <v>1</v>
      </c>
      <c r="K405" s="2" t="str">
        <f t="shared" si="276"/>
        <v>01</v>
      </c>
      <c r="L405" s="2" t="str">
        <f t="shared" si="277"/>
        <v>01</v>
      </c>
      <c r="M405" s="2" t="str">
        <f t="shared" si="278"/>
        <v>01</v>
      </c>
      <c r="N405" s="2" t="str">
        <f t="shared" si="279"/>
        <v>01</v>
      </c>
      <c r="O405" s="2" t="str">
        <f t="shared" si="280"/>
        <v>01</v>
      </c>
      <c r="P405" s="2" t="str">
        <f t="shared" si="281"/>
        <v>01</v>
      </c>
      <c r="Q405" s="2" t="str">
        <f t="shared" si="282"/>
        <v>01</v>
      </c>
      <c r="R405" s="2" t="str">
        <f t="shared" si="283"/>
        <v>01</v>
      </c>
      <c r="T405" t="str">
        <f t="shared" si="284"/>
        <v>0101010101010101</v>
      </c>
      <c r="V405" s="9" t="str">
        <f t="shared" si="285"/>
        <v>01010101</v>
      </c>
      <c r="W405" s="9" t="str">
        <f t="shared" si="286"/>
        <v>01010101</v>
      </c>
      <c r="X405" s="9" t="str">
        <f t="shared" si="287"/>
        <v>55</v>
      </c>
      <c r="Y405" s="9" t="str">
        <f t="shared" si="288"/>
        <v>55</v>
      </c>
    </row>
    <row r="406" spans="1:36" x14ac:dyDescent="0.3">
      <c r="B406" s="2">
        <v>1</v>
      </c>
      <c r="C406" s="2">
        <v>1</v>
      </c>
      <c r="D406" s="2">
        <v>1</v>
      </c>
      <c r="E406" s="2">
        <v>3</v>
      </c>
      <c r="F406" s="2">
        <v>3</v>
      </c>
      <c r="G406" s="2">
        <v>1</v>
      </c>
      <c r="H406" s="2">
        <v>1</v>
      </c>
      <c r="I406" s="2">
        <v>1</v>
      </c>
      <c r="K406" s="2" t="str">
        <f t="shared" si="276"/>
        <v>01</v>
      </c>
      <c r="L406" s="2" t="str">
        <f t="shared" si="277"/>
        <v>01</v>
      </c>
      <c r="M406" s="2" t="str">
        <f t="shared" si="278"/>
        <v>01</v>
      </c>
      <c r="N406" s="2" t="str">
        <f t="shared" si="279"/>
        <v>11</v>
      </c>
      <c r="O406" s="2" t="str">
        <f t="shared" si="280"/>
        <v>11</v>
      </c>
      <c r="P406" s="2" t="str">
        <f t="shared" si="281"/>
        <v>01</v>
      </c>
      <c r="Q406" s="2" t="str">
        <f t="shared" si="282"/>
        <v>01</v>
      </c>
      <c r="R406" s="2" t="str">
        <f t="shared" si="283"/>
        <v>01</v>
      </c>
      <c r="T406" t="str">
        <f t="shared" si="284"/>
        <v>0101011111010101</v>
      </c>
      <c r="V406" s="9" t="str">
        <f t="shared" si="285"/>
        <v>01010111</v>
      </c>
      <c r="W406" s="9" t="str">
        <f t="shared" si="286"/>
        <v>11010101</v>
      </c>
      <c r="X406" s="9" t="str">
        <f t="shared" si="287"/>
        <v>57</v>
      </c>
      <c r="Y406" s="9" t="str">
        <f t="shared" si="288"/>
        <v>D5</v>
      </c>
    </row>
    <row r="407" spans="1:36" x14ac:dyDescent="0.3">
      <c r="B407" s="2">
        <v>1</v>
      </c>
      <c r="C407" s="2">
        <v>1</v>
      </c>
      <c r="D407" s="2">
        <v>3</v>
      </c>
      <c r="E407" s="2">
        <v>0</v>
      </c>
      <c r="F407" s="2">
        <v>0</v>
      </c>
      <c r="G407" s="2">
        <v>3</v>
      </c>
      <c r="H407" s="2">
        <v>1</v>
      </c>
      <c r="I407" s="2">
        <v>1</v>
      </c>
      <c r="K407" s="2" t="str">
        <f t="shared" si="276"/>
        <v>01</v>
      </c>
      <c r="L407" s="2" t="str">
        <f t="shared" si="277"/>
        <v>01</v>
      </c>
      <c r="M407" s="2" t="str">
        <f t="shared" si="278"/>
        <v>11</v>
      </c>
      <c r="N407" s="2" t="str">
        <f t="shared" si="279"/>
        <v>00</v>
      </c>
      <c r="O407" s="2" t="str">
        <f t="shared" si="280"/>
        <v>00</v>
      </c>
      <c r="P407" s="2" t="str">
        <f t="shared" si="281"/>
        <v>11</v>
      </c>
      <c r="Q407" s="2" t="str">
        <f t="shared" si="282"/>
        <v>01</v>
      </c>
      <c r="R407" s="2" t="str">
        <f t="shared" si="283"/>
        <v>01</v>
      </c>
      <c r="T407" t="str">
        <f t="shared" si="284"/>
        <v>0101110000110101</v>
      </c>
      <c r="V407" s="9" t="str">
        <f t="shared" si="285"/>
        <v>01011100</v>
      </c>
      <c r="W407" s="9" t="str">
        <f t="shared" si="286"/>
        <v>00110101</v>
      </c>
      <c r="X407" s="9" t="str">
        <f t="shared" si="287"/>
        <v>5C</v>
      </c>
      <c r="Y407" s="9" t="str">
        <f t="shared" si="288"/>
        <v>35</v>
      </c>
    </row>
    <row r="408" spans="1:36" x14ac:dyDescent="0.3">
      <c r="B408" s="2">
        <v>1</v>
      </c>
      <c r="C408" s="2">
        <v>3</v>
      </c>
      <c r="D408" s="2">
        <v>0</v>
      </c>
      <c r="E408" s="2">
        <v>0</v>
      </c>
      <c r="F408" s="2">
        <v>0</v>
      </c>
      <c r="G408" s="2">
        <v>0</v>
      </c>
      <c r="H408" s="2">
        <v>3</v>
      </c>
      <c r="I408" s="2">
        <v>1</v>
      </c>
      <c r="K408" s="2" t="str">
        <f t="shared" si="276"/>
        <v>01</v>
      </c>
      <c r="L408" s="2" t="str">
        <f t="shared" si="277"/>
        <v>11</v>
      </c>
      <c r="M408" s="2" t="str">
        <f t="shared" si="278"/>
        <v>00</v>
      </c>
      <c r="N408" s="2" t="str">
        <f t="shared" si="279"/>
        <v>00</v>
      </c>
      <c r="O408" s="2" t="str">
        <f t="shared" si="280"/>
        <v>00</v>
      </c>
      <c r="P408" s="2" t="str">
        <f t="shared" si="281"/>
        <v>00</v>
      </c>
      <c r="Q408" s="2" t="str">
        <f t="shared" si="282"/>
        <v>11</v>
      </c>
      <c r="R408" s="2" t="str">
        <f t="shared" si="283"/>
        <v>01</v>
      </c>
      <c r="T408" t="str">
        <f t="shared" si="284"/>
        <v>0111000000001101</v>
      </c>
      <c r="V408" s="10" t="str">
        <f t="shared" si="285"/>
        <v>01110000</v>
      </c>
      <c r="W408" s="10" t="str">
        <f t="shared" si="286"/>
        <v>00001101</v>
      </c>
      <c r="X408" s="10" t="str">
        <f t="shared" si="287"/>
        <v>70</v>
      </c>
      <c r="Y408" s="10" t="str">
        <f t="shared" si="288"/>
        <v>0D</v>
      </c>
    </row>
    <row r="409" spans="1:36" x14ac:dyDescent="0.3">
      <c r="A409" t="s">
        <v>20</v>
      </c>
      <c r="AJ409" t="str">
        <f>";"&amp;PROPER(A409)</f>
        <v>;Amoeba 2</v>
      </c>
    </row>
    <row r="410" spans="1:36" x14ac:dyDescent="0.3">
      <c r="B410" s="2">
        <v>1</v>
      </c>
      <c r="C410" s="2">
        <v>1</v>
      </c>
      <c r="D410" s="2">
        <v>1</v>
      </c>
      <c r="E410" s="2">
        <v>3</v>
      </c>
      <c r="F410" s="2">
        <v>3</v>
      </c>
      <c r="G410" s="2">
        <v>1</v>
      </c>
      <c r="H410" s="2">
        <v>1</v>
      </c>
      <c r="I410" s="2">
        <v>1</v>
      </c>
      <c r="K410" s="2" t="str">
        <f t="shared" ref="K410:K425" si="290">DEC2BIN(B410,2)</f>
        <v>01</v>
      </c>
      <c r="L410" s="2" t="str">
        <f t="shared" ref="L410:L425" si="291">DEC2BIN(C410,2)</f>
        <v>01</v>
      </c>
      <c r="M410" s="2" t="str">
        <f t="shared" ref="M410:M425" si="292">DEC2BIN(D410,2)</f>
        <v>01</v>
      </c>
      <c r="N410" s="2" t="str">
        <f t="shared" ref="N410:N425" si="293">DEC2BIN(E410,2)</f>
        <v>11</v>
      </c>
      <c r="O410" s="2" t="str">
        <f t="shared" ref="O410:O425" si="294">DEC2BIN(F410,2)</f>
        <v>11</v>
      </c>
      <c r="P410" s="2" t="str">
        <f t="shared" ref="P410:P425" si="295">DEC2BIN(G410,2)</f>
        <v>01</v>
      </c>
      <c r="Q410" s="2" t="str">
        <f t="shared" ref="Q410:Q425" si="296">DEC2BIN(H410,2)</f>
        <v>01</v>
      </c>
      <c r="R410" s="2" t="str">
        <f t="shared" ref="R410:R425" si="297">DEC2BIN(I410,2)</f>
        <v>01</v>
      </c>
      <c r="T410" t="str">
        <f t="shared" ref="T410:T425" si="298">_xlfn.CONCAT(K410:R410)</f>
        <v>0101011111010101</v>
      </c>
      <c r="V410" s="8" t="str">
        <f>LEFT(T410,8)</f>
        <v>01010111</v>
      </c>
      <c r="W410" s="8" t="str">
        <f>RIGHT(T410,8)</f>
        <v>11010101</v>
      </c>
      <c r="X410" s="8" t="str">
        <f>BIN2HEX(V410,2)</f>
        <v>57</v>
      </c>
      <c r="Y410" s="8" t="str">
        <f>BIN2HEX(W410,2)</f>
        <v>D5</v>
      </c>
      <c r="AA410" t="str" cm="1">
        <f t="array" ref="AA410:AH410">TRANSPOSE(X410:X417)</f>
        <v>57</v>
      </c>
      <c r="AB410" t="str">
        <v>55</v>
      </c>
      <c r="AC410" t="str">
        <v>D5</v>
      </c>
      <c r="AD410" t="str">
        <v>35</v>
      </c>
      <c r="AE410" t="str">
        <v>0D</v>
      </c>
      <c r="AF410" t="str">
        <v>35</v>
      </c>
      <c r="AG410" t="str">
        <v>D5</v>
      </c>
      <c r="AH410" t="str">
        <v>57</v>
      </c>
      <c r="AJ410" t="str">
        <f>LOWER("!byte $"&amp;AA410&amp;", $"&amp;AB410&amp;", $"&amp;AC410&amp;", $"&amp;AD410&amp;", $"&amp;AE410&amp;", $"&amp;AF410&amp;", $"&amp;AG410&amp;", $"&amp;AH410)</f>
        <v>!byte $57, $55, $d5, $35, $0d, $35, $d5, $57</v>
      </c>
    </row>
    <row r="411" spans="1:36" x14ac:dyDescent="0.3">
      <c r="B411" s="2">
        <v>1</v>
      </c>
      <c r="C411" s="2">
        <v>1</v>
      </c>
      <c r="D411" s="2">
        <v>1</v>
      </c>
      <c r="E411" s="2">
        <v>1</v>
      </c>
      <c r="F411" s="2">
        <v>1</v>
      </c>
      <c r="G411" s="2">
        <v>1</v>
      </c>
      <c r="H411" s="2">
        <v>1</v>
      </c>
      <c r="I411" s="2">
        <v>1</v>
      </c>
      <c r="K411" s="2" t="str">
        <f t="shared" si="290"/>
        <v>01</v>
      </c>
      <c r="L411" s="2" t="str">
        <f t="shared" si="291"/>
        <v>01</v>
      </c>
      <c r="M411" s="2" t="str">
        <f t="shared" si="292"/>
        <v>01</v>
      </c>
      <c r="N411" s="2" t="str">
        <f t="shared" si="293"/>
        <v>01</v>
      </c>
      <c r="O411" s="2" t="str">
        <f t="shared" si="294"/>
        <v>01</v>
      </c>
      <c r="P411" s="2" t="str">
        <f t="shared" si="295"/>
        <v>01</v>
      </c>
      <c r="Q411" s="2" t="str">
        <f t="shared" si="296"/>
        <v>01</v>
      </c>
      <c r="R411" s="2" t="str">
        <f t="shared" si="297"/>
        <v>01</v>
      </c>
      <c r="T411" t="str">
        <f t="shared" si="298"/>
        <v>0101010101010101</v>
      </c>
      <c r="V411" s="9" t="str">
        <f t="shared" ref="V411:V425" si="299">LEFT(T411,8)</f>
        <v>01010101</v>
      </c>
      <c r="W411" s="9" t="str">
        <f t="shared" ref="W411:W425" si="300">RIGHT(T411,8)</f>
        <v>01010101</v>
      </c>
      <c r="X411" s="9" t="str">
        <f t="shared" ref="X411:X425" si="301">BIN2HEX(V411,2)</f>
        <v>55</v>
      </c>
      <c r="Y411" s="9" t="str">
        <f t="shared" ref="Y411:Y425" si="302">BIN2HEX(W411,2)</f>
        <v>55</v>
      </c>
      <c r="AA411" t="str" cm="1">
        <f t="array" ref="AA411:AH411">TRANSPOSE(X418:X425)</f>
        <v>57</v>
      </c>
      <c r="AB411" t="str">
        <v>F5</v>
      </c>
      <c r="AC411" t="str">
        <v>F5</v>
      </c>
      <c r="AD411" t="str">
        <v>55</v>
      </c>
      <c r="AE411" t="str">
        <v>55</v>
      </c>
      <c r="AF411" t="str">
        <v>55</v>
      </c>
      <c r="AG411" t="str">
        <v>57</v>
      </c>
      <c r="AH411" t="str">
        <v>5C</v>
      </c>
      <c r="AJ411" t="str">
        <f t="shared" ref="AJ411:AJ413" si="303">LOWER("!byte $"&amp;AA411&amp;", $"&amp;AB411&amp;", $"&amp;AC411&amp;", $"&amp;AD411&amp;", $"&amp;AE411&amp;", $"&amp;AF411&amp;", $"&amp;AG411&amp;", $"&amp;AH411)</f>
        <v>!byte $57, $f5, $f5, $55, $55, $55, $57, $5c</v>
      </c>
    </row>
    <row r="412" spans="1:36" x14ac:dyDescent="0.3">
      <c r="B412" s="2">
        <v>3</v>
      </c>
      <c r="C412" s="2">
        <v>1</v>
      </c>
      <c r="D412" s="2">
        <v>1</v>
      </c>
      <c r="E412" s="2">
        <v>1</v>
      </c>
      <c r="F412" s="2">
        <v>1</v>
      </c>
      <c r="G412" s="2">
        <v>1</v>
      </c>
      <c r="H412" s="2">
        <v>1</v>
      </c>
      <c r="I412" s="2">
        <v>1</v>
      </c>
      <c r="K412" s="2" t="str">
        <f t="shared" si="290"/>
        <v>11</v>
      </c>
      <c r="L412" s="2" t="str">
        <f t="shared" si="291"/>
        <v>01</v>
      </c>
      <c r="M412" s="2" t="str">
        <f t="shared" si="292"/>
        <v>01</v>
      </c>
      <c r="N412" s="2" t="str">
        <f t="shared" si="293"/>
        <v>01</v>
      </c>
      <c r="O412" s="2" t="str">
        <f t="shared" si="294"/>
        <v>01</v>
      </c>
      <c r="P412" s="2" t="str">
        <f t="shared" si="295"/>
        <v>01</v>
      </c>
      <c r="Q412" s="2" t="str">
        <f t="shared" si="296"/>
        <v>01</v>
      </c>
      <c r="R412" s="2" t="str">
        <f t="shared" si="297"/>
        <v>01</v>
      </c>
      <c r="T412" t="str">
        <f t="shared" si="298"/>
        <v>1101010101010101</v>
      </c>
      <c r="V412" s="9" t="str">
        <f t="shared" si="299"/>
        <v>11010101</v>
      </c>
      <c r="W412" s="9" t="str">
        <f t="shared" si="300"/>
        <v>01010101</v>
      </c>
      <c r="X412" s="9" t="str">
        <f t="shared" si="301"/>
        <v>D5</v>
      </c>
      <c r="Y412" s="9" t="str">
        <f t="shared" si="302"/>
        <v>55</v>
      </c>
      <c r="AA412" t="str" cm="1">
        <f t="array" ref="AA412:AH412">TRANSPOSE(Y410:Y417)</f>
        <v>D5</v>
      </c>
      <c r="AB412" t="str">
        <v>55</v>
      </c>
      <c r="AC412" t="str">
        <v>55</v>
      </c>
      <c r="AD412" t="str">
        <v>57</v>
      </c>
      <c r="AE412" t="str">
        <v>5C</v>
      </c>
      <c r="AF412" t="str">
        <v>57</v>
      </c>
      <c r="AG412" t="str">
        <v>F5</v>
      </c>
      <c r="AH412" t="str">
        <v>0D</v>
      </c>
      <c r="AJ412" t="str">
        <f t="shared" si="303"/>
        <v>!byte $d5, $55, $55, $57, $5c, $57, $f5, $0d</v>
      </c>
    </row>
    <row r="413" spans="1:36" x14ac:dyDescent="0.3">
      <c r="B413" s="2">
        <v>0</v>
      </c>
      <c r="C413" s="2">
        <v>3</v>
      </c>
      <c r="D413" s="2">
        <v>1</v>
      </c>
      <c r="E413" s="2">
        <v>1</v>
      </c>
      <c r="F413" s="2">
        <v>1</v>
      </c>
      <c r="G413" s="2">
        <v>1</v>
      </c>
      <c r="H413" s="2">
        <v>1</v>
      </c>
      <c r="I413" s="2">
        <v>3</v>
      </c>
      <c r="K413" s="2" t="str">
        <f t="shared" si="290"/>
        <v>00</v>
      </c>
      <c r="L413" s="2" t="str">
        <f t="shared" si="291"/>
        <v>11</v>
      </c>
      <c r="M413" s="2" t="str">
        <f t="shared" si="292"/>
        <v>01</v>
      </c>
      <c r="N413" s="2" t="str">
        <f t="shared" si="293"/>
        <v>01</v>
      </c>
      <c r="O413" s="2" t="str">
        <f t="shared" si="294"/>
        <v>01</v>
      </c>
      <c r="P413" s="2" t="str">
        <f t="shared" si="295"/>
        <v>01</v>
      </c>
      <c r="Q413" s="2" t="str">
        <f t="shared" si="296"/>
        <v>01</v>
      </c>
      <c r="R413" s="2" t="str">
        <f t="shared" si="297"/>
        <v>11</v>
      </c>
      <c r="T413" t="str">
        <f t="shared" si="298"/>
        <v>0011010101010111</v>
      </c>
      <c r="V413" s="9" t="str">
        <f t="shared" si="299"/>
        <v>00110101</v>
      </c>
      <c r="W413" s="9" t="str">
        <f t="shared" si="300"/>
        <v>01010111</v>
      </c>
      <c r="X413" s="9" t="str">
        <f t="shared" si="301"/>
        <v>35</v>
      </c>
      <c r="Y413" s="9" t="str">
        <f t="shared" si="302"/>
        <v>57</v>
      </c>
      <c r="AA413" t="str" cm="1">
        <f t="array" ref="AA413:AH413">TRANSPOSE(Y418:Y425)</f>
        <v>0D</v>
      </c>
      <c r="AB413" t="str">
        <v>F5</v>
      </c>
      <c r="AC413" t="str">
        <v>55</v>
      </c>
      <c r="AD413" t="str">
        <v>55</v>
      </c>
      <c r="AE413" t="str">
        <v>55</v>
      </c>
      <c r="AF413" t="str">
        <v>55</v>
      </c>
      <c r="AG413" t="str">
        <v>D5</v>
      </c>
      <c r="AH413" t="str">
        <v>35</v>
      </c>
      <c r="AJ413" t="str">
        <f t="shared" si="303"/>
        <v>!byte $0d, $f5, $55, $55, $55, $55, $d5, $35</v>
      </c>
    </row>
    <row r="414" spans="1:36" x14ac:dyDescent="0.3">
      <c r="B414" s="2">
        <v>0</v>
      </c>
      <c r="C414" s="2">
        <v>0</v>
      </c>
      <c r="D414" s="2">
        <v>3</v>
      </c>
      <c r="E414" s="2">
        <v>1</v>
      </c>
      <c r="F414" s="2">
        <v>1</v>
      </c>
      <c r="G414" s="2">
        <v>1</v>
      </c>
      <c r="H414" s="2">
        <v>3</v>
      </c>
      <c r="I414" s="2">
        <v>0</v>
      </c>
      <c r="K414" s="2" t="str">
        <f t="shared" si="290"/>
        <v>00</v>
      </c>
      <c r="L414" s="2" t="str">
        <f t="shared" si="291"/>
        <v>00</v>
      </c>
      <c r="M414" s="2" t="str">
        <f t="shared" si="292"/>
        <v>11</v>
      </c>
      <c r="N414" s="2" t="str">
        <f t="shared" si="293"/>
        <v>01</v>
      </c>
      <c r="O414" s="2" t="str">
        <f t="shared" si="294"/>
        <v>01</v>
      </c>
      <c r="P414" s="2" t="str">
        <f t="shared" si="295"/>
        <v>01</v>
      </c>
      <c r="Q414" s="2" t="str">
        <f t="shared" si="296"/>
        <v>11</v>
      </c>
      <c r="R414" s="2" t="str">
        <f t="shared" si="297"/>
        <v>00</v>
      </c>
      <c r="T414" t="str">
        <f t="shared" si="298"/>
        <v>0000110101011100</v>
      </c>
      <c r="V414" s="9" t="str">
        <f t="shared" si="299"/>
        <v>00001101</v>
      </c>
      <c r="W414" s="9" t="str">
        <f t="shared" si="300"/>
        <v>01011100</v>
      </c>
      <c r="X414" s="9" t="str">
        <f t="shared" si="301"/>
        <v>0D</v>
      </c>
      <c r="Y414" s="9" t="str">
        <f t="shared" si="302"/>
        <v>5C</v>
      </c>
    </row>
    <row r="415" spans="1:36" x14ac:dyDescent="0.3">
      <c r="B415" s="2">
        <v>0</v>
      </c>
      <c r="C415" s="2">
        <v>3</v>
      </c>
      <c r="D415" s="2">
        <v>1</v>
      </c>
      <c r="E415" s="2">
        <v>1</v>
      </c>
      <c r="F415" s="2">
        <v>1</v>
      </c>
      <c r="G415" s="2">
        <v>1</v>
      </c>
      <c r="H415" s="2">
        <v>1</v>
      </c>
      <c r="I415" s="2">
        <v>3</v>
      </c>
      <c r="K415" s="2" t="str">
        <f t="shared" si="290"/>
        <v>00</v>
      </c>
      <c r="L415" s="2" t="str">
        <f t="shared" si="291"/>
        <v>11</v>
      </c>
      <c r="M415" s="2" t="str">
        <f t="shared" si="292"/>
        <v>01</v>
      </c>
      <c r="N415" s="2" t="str">
        <f t="shared" si="293"/>
        <v>01</v>
      </c>
      <c r="O415" s="2" t="str">
        <f t="shared" si="294"/>
        <v>01</v>
      </c>
      <c r="P415" s="2" t="str">
        <f t="shared" si="295"/>
        <v>01</v>
      </c>
      <c r="Q415" s="2" t="str">
        <f t="shared" si="296"/>
        <v>01</v>
      </c>
      <c r="R415" s="2" t="str">
        <f t="shared" si="297"/>
        <v>11</v>
      </c>
      <c r="T415" t="str">
        <f t="shared" si="298"/>
        <v>0011010101010111</v>
      </c>
      <c r="V415" s="9" t="str">
        <f t="shared" si="299"/>
        <v>00110101</v>
      </c>
      <c r="W415" s="9" t="str">
        <f t="shared" si="300"/>
        <v>01010111</v>
      </c>
      <c r="X415" s="9" t="str">
        <f t="shared" si="301"/>
        <v>35</v>
      </c>
      <c r="Y415" s="9" t="str">
        <f t="shared" si="302"/>
        <v>57</v>
      </c>
    </row>
    <row r="416" spans="1:36" x14ac:dyDescent="0.3">
      <c r="B416" s="2">
        <v>3</v>
      </c>
      <c r="C416" s="2">
        <v>1</v>
      </c>
      <c r="D416" s="2">
        <v>1</v>
      </c>
      <c r="E416" s="2">
        <v>1</v>
      </c>
      <c r="F416" s="2">
        <v>3</v>
      </c>
      <c r="G416" s="2">
        <v>3</v>
      </c>
      <c r="H416" s="2">
        <v>1</v>
      </c>
      <c r="I416" s="2">
        <v>1</v>
      </c>
      <c r="K416" s="2" t="str">
        <f t="shared" si="290"/>
        <v>11</v>
      </c>
      <c r="L416" s="2" t="str">
        <f t="shared" si="291"/>
        <v>01</v>
      </c>
      <c r="M416" s="2" t="str">
        <f t="shared" si="292"/>
        <v>01</v>
      </c>
      <c r="N416" s="2" t="str">
        <f t="shared" si="293"/>
        <v>01</v>
      </c>
      <c r="O416" s="2" t="str">
        <f t="shared" si="294"/>
        <v>11</v>
      </c>
      <c r="P416" s="2" t="str">
        <f t="shared" si="295"/>
        <v>11</v>
      </c>
      <c r="Q416" s="2" t="str">
        <f t="shared" si="296"/>
        <v>01</v>
      </c>
      <c r="R416" s="2" t="str">
        <f t="shared" si="297"/>
        <v>01</v>
      </c>
      <c r="T416" t="str">
        <f t="shared" si="298"/>
        <v>1101010111110101</v>
      </c>
      <c r="V416" s="9" t="str">
        <f t="shared" si="299"/>
        <v>11010101</v>
      </c>
      <c r="W416" s="9" t="str">
        <f t="shared" si="300"/>
        <v>11110101</v>
      </c>
      <c r="X416" s="9" t="str">
        <f t="shared" si="301"/>
        <v>D5</v>
      </c>
      <c r="Y416" s="9" t="str">
        <f t="shared" si="302"/>
        <v>F5</v>
      </c>
    </row>
    <row r="417" spans="1:36" x14ac:dyDescent="0.3">
      <c r="B417" s="2">
        <v>1</v>
      </c>
      <c r="C417" s="2">
        <v>1</v>
      </c>
      <c r="D417" s="2">
        <v>1</v>
      </c>
      <c r="E417" s="2">
        <v>3</v>
      </c>
      <c r="F417" s="2">
        <v>0</v>
      </c>
      <c r="G417" s="2">
        <v>0</v>
      </c>
      <c r="H417" s="2">
        <v>3</v>
      </c>
      <c r="I417" s="2">
        <v>1</v>
      </c>
      <c r="K417" s="2" t="str">
        <f t="shared" si="290"/>
        <v>01</v>
      </c>
      <c r="L417" s="2" t="str">
        <f t="shared" si="291"/>
        <v>01</v>
      </c>
      <c r="M417" s="2" t="str">
        <f t="shared" si="292"/>
        <v>01</v>
      </c>
      <c r="N417" s="2" t="str">
        <f t="shared" si="293"/>
        <v>11</v>
      </c>
      <c r="O417" s="2" t="str">
        <f t="shared" si="294"/>
        <v>00</v>
      </c>
      <c r="P417" s="2" t="str">
        <f t="shared" si="295"/>
        <v>00</v>
      </c>
      <c r="Q417" s="2" t="str">
        <f t="shared" si="296"/>
        <v>11</v>
      </c>
      <c r="R417" s="2" t="str">
        <f t="shared" si="297"/>
        <v>01</v>
      </c>
      <c r="T417" t="str">
        <f t="shared" si="298"/>
        <v>0101011100001101</v>
      </c>
      <c r="V417" s="10" t="str">
        <f t="shared" si="299"/>
        <v>01010111</v>
      </c>
      <c r="W417" s="10" t="str">
        <f t="shared" si="300"/>
        <v>00001101</v>
      </c>
      <c r="X417" s="10" t="str">
        <f t="shared" si="301"/>
        <v>57</v>
      </c>
      <c r="Y417" s="10" t="str">
        <f t="shared" si="302"/>
        <v>0D</v>
      </c>
    </row>
    <row r="418" spans="1:36" x14ac:dyDescent="0.3">
      <c r="B418" s="2">
        <v>1</v>
      </c>
      <c r="C418" s="2">
        <v>1</v>
      </c>
      <c r="D418" s="2">
        <v>1</v>
      </c>
      <c r="E418" s="2">
        <v>3</v>
      </c>
      <c r="F418" s="2">
        <v>0</v>
      </c>
      <c r="G418" s="2">
        <v>0</v>
      </c>
      <c r="H418" s="2">
        <v>3</v>
      </c>
      <c r="I418" s="2">
        <v>1</v>
      </c>
      <c r="K418" s="2" t="str">
        <f t="shared" si="290"/>
        <v>01</v>
      </c>
      <c r="L418" s="2" t="str">
        <f t="shared" si="291"/>
        <v>01</v>
      </c>
      <c r="M418" s="2" t="str">
        <f t="shared" si="292"/>
        <v>01</v>
      </c>
      <c r="N418" s="2" t="str">
        <f t="shared" si="293"/>
        <v>11</v>
      </c>
      <c r="O418" s="2" t="str">
        <f t="shared" si="294"/>
        <v>00</v>
      </c>
      <c r="P418" s="2" t="str">
        <f t="shared" si="295"/>
        <v>00</v>
      </c>
      <c r="Q418" s="2" t="str">
        <f t="shared" si="296"/>
        <v>11</v>
      </c>
      <c r="R418" s="2" t="str">
        <f t="shared" si="297"/>
        <v>01</v>
      </c>
      <c r="T418" t="str">
        <f t="shared" si="298"/>
        <v>0101011100001101</v>
      </c>
      <c r="V418" s="8" t="str">
        <f t="shared" si="299"/>
        <v>01010111</v>
      </c>
      <c r="W418" s="8" t="str">
        <f t="shared" si="300"/>
        <v>00001101</v>
      </c>
      <c r="X418" s="8" t="str">
        <f t="shared" si="301"/>
        <v>57</v>
      </c>
      <c r="Y418" s="8" t="str">
        <f t="shared" si="302"/>
        <v>0D</v>
      </c>
    </row>
    <row r="419" spans="1:36" x14ac:dyDescent="0.3">
      <c r="B419" s="2">
        <v>3</v>
      </c>
      <c r="C419" s="2">
        <v>3</v>
      </c>
      <c r="D419" s="2">
        <v>1</v>
      </c>
      <c r="E419" s="2">
        <v>1</v>
      </c>
      <c r="F419" s="2">
        <v>3</v>
      </c>
      <c r="G419" s="2">
        <v>3</v>
      </c>
      <c r="H419" s="2">
        <v>1</v>
      </c>
      <c r="I419" s="2">
        <v>1</v>
      </c>
      <c r="K419" s="2" t="str">
        <f t="shared" si="290"/>
        <v>11</v>
      </c>
      <c r="L419" s="2" t="str">
        <f t="shared" si="291"/>
        <v>11</v>
      </c>
      <c r="M419" s="2" t="str">
        <f t="shared" si="292"/>
        <v>01</v>
      </c>
      <c r="N419" s="2" t="str">
        <f t="shared" si="293"/>
        <v>01</v>
      </c>
      <c r="O419" s="2" t="str">
        <f t="shared" si="294"/>
        <v>11</v>
      </c>
      <c r="P419" s="2" t="str">
        <f t="shared" si="295"/>
        <v>11</v>
      </c>
      <c r="Q419" s="2" t="str">
        <f t="shared" si="296"/>
        <v>01</v>
      </c>
      <c r="R419" s="2" t="str">
        <f t="shared" si="297"/>
        <v>01</v>
      </c>
      <c r="T419" t="str">
        <f t="shared" si="298"/>
        <v>1111010111110101</v>
      </c>
      <c r="V419" s="9" t="str">
        <f t="shared" si="299"/>
        <v>11110101</v>
      </c>
      <c r="W419" s="9" t="str">
        <f t="shared" si="300"/>
        <v>11110101</v>
      </c>
      <c r="X419" s="9" t="str">
        <f t="shared" si="301"/>
        <v>F5</v>
      </c>
      <c r="Y419" s="9" t="str">
        <f t="shared" si="302"/>
        <v>F5</v>
      </c>
    </row>
    <row r="420" spans="1:36" x14ac:dyDescent="0.3">
      <c r="B420" s="2">
        <v>3</v>
      </c>
      <c r="C420" s="2">
        <v>3</v>
      </c>
      <c r="D420" s="2">
        <v>1</v>
      </c>
      <c r="E420" s="2">
        <v>1</v>
      </c>
      <c r="F420" s="2">
        <v>1</v>
      </c>
      <c r="G420" s="2">
        <v>1</v>
      </c>
      <c r="H420" s="2">
        <v>1</v>
      </c>
      <c r="I420" s="2">
        <v>1</v>
      </c>
      <c r="K420" s="2" t="str">
        <f t="shared" si="290"/>
        <v>11</v>
      </c>
      <c r="L420" s="2" t="str">
        <f t="shared" si="291"/>
        <v>11</v>
      </c>
      <c r="M420" s="2" t="str">
        <f t="shared" si="292"/>
        <v>01</v>
      </c>
      <c r="N420" s="2" t="str">
        <f t="shared" si="293"/>
        <v>01</v>
      </c>
      <c r="O420" s="2" t="str">
        <f t="shared" si="294"/>
        <v>01</v>
      </c>
      <c r="P420" s="2" t="str">
        <f t="shared" si="295"/>
        <v>01</v>
      </c>
      <c r="Q420" s="2" t="str">
        <f t="shared" si="296"/>
        <v>01</v>
      </c>
      <c r="R420" s="2" t="str">
        <f t="shared" si="297"/>
        <v>01</v>
      </c>
      <c r="T420" t="str">
        <f t="shared" si="298"/>
        <v>1111010101010101</v>
      </c>
      <c r="V420" s="9" t="str">
        <f t="shared" si="299"/>
        <v>11110101</v>
      </c>
      <c r="W420" s="9" t="str">
        <f t="shared" si="300"/>
        <v>01010101</v>
      </c>
      <c r="X420" s="9" t="str">
        <f t="shared" si="301"/>
        <v>F5</v>
      </c>
      <c r="Y420" s="9" t="str">
        <f t="shared" si="302"/>
        <v>55</v>
      </c>
    </row>
    <row r="421" spans="1:36" x14ac:dyDescent="0.3">
      <c r="B421" s="2">
        <v>1</v>
      </c>
      <c r="C421" s="2">
        <v>1</v>
      </c>
      <c r="D421" s="2">
        <v>1</v>
      </c>
      <c r="E421" s="2">
        <v>1</v>
      </c>
      <c r="F421" s="2">
        <v>1</v>
      </c>
      <c r="G421" s="2">
        <v>1</v>
      </c>
      <c r="H421" s="2">
        <v>1</v>
      </c>
      <c r="I421" s="2">
        <v>1</v>
      </c>
      <c r="K421" s="2" t="str">
        <f t="shared" si="290"/>
        <v>01</v>
      </c>
      <c r="L421" s="2" t="str">
        <f t="shared" si="291"/>
        <v>01</v>
      </c>
      <c r="M421" s="2" t="str">
        <f t="shared" si="292"/>
        <v>01</v>
      </c>
      <c r="N421" s="2" t="str">
        <f t="shared" si="293"/>
        <v>01</v>
      </c>
      <c r="O421" s="2" t="str">
        <f t="shared" si="294"/>
        <v>01</v>
      </c>
      <c r="P421" s="2" t="str">
        <f t="shared" si="295"/>
        <v>01</v>
      </c>
      <c r="Q421" s="2" t="str">
        <f t="shared" si="296"/>
        <v>01</v>
      </c>
      <c r="R421" s="2" t="str">
        <f t="shared" si="297"/>
        <v>01</v>
      </c>
      <c r="T421" t="str">
        <f t="shared" si="298"/>
        <v>0101010101010101</v>
      </c>
      <c r="V421" s="9" t="str">
        <f t="shared" si="299"/>
        <v>01010101</v>
      </c>
      <c r="W421" s="9" t="str">
        <f t="shared" si="300"/>
        <v>01010101</v>
      </c>
      <c r="X421" s="9" t="str">
        <f t="shared" si="301"/>
        <v>55</v>
      </c>
      <c r="Y421" s="9" t="str">
        <f t="shared" si="302"/>
        <v>55</v>
      </c>
    </row>
    <row r="422" spans="1:36" x14ac:dyDescent="0.3">
      <c r="B422" s="2">
        <v>1</v>
      </c>
      <c r="C422" s="2">
        <v>1</v>
      </c>
      <c r="D422" s="2">
        <v>1</v>
      </c>
      <c r="E422" s="2">
        <v>1</v>
      </c>
      <c r="F422" s="2">
        <v>1</v>
      </c>
      <c r="G422" s="2">
        <v>1</v>
      </c>
      <c r="H422" s="2">
        <v>1</v>
      </c>
      <c r="I422" s="2">
        <v>1</v>
      </c>
      <c r="K422" s="2" t="str">
        <f t="shared" si="290"/>
        <v>01</v>
      </c>
      <c r="L422" s="2" t="str">
        <f t="shared" si="291"/>
        <v>01</v>
      </c>
      <c r="M422" s="2" t="str">
        <f t="shared" si="292"/>
        <v>01</v>
      </c>
      <c r="N422" s="2" t="str">
        <f t="shared" si="293"/>
        <v>01</v>
      </c>
      <c r="O422" s="2" t="str">
        <f t="shared" si="294"/>
        <v>01</v>
      </c>
      <c r="P422" s="2" t="str">
        <f t="shared" si="295"/>
        <v>01</v>
      </c>
      <c r="Q422" s="2" t="str">
        <f t="shared" si="296"/>
        <v>01</v>
      </c>
      <c r="R422" s="2" t="str">
        <f t="shared" si="297"/>
        <v>01</v>
      </c>
      <c r="T422" t="str">
        <f t="shared" si="298"/>
        <v>0101010101010101</v>
      </c>
      <c r="V422" s="9" t="str">
        <f t="shared" si="299"/>
        <v>01010101</v>
      </c>
      <c r="W422" s="9" t="str">
        <f t="shared" si="300"/>
        <v>01010101</v>
      </c>
      <c r="X422" s="9" t="str">
        <f t="shared" si="301"/>
        <v>55</v>
      </c>
      <c r="Y422" s="9" t="str">
        <f t="shared" si="302"/>
        <v>55</v>
      </c>
    </row>
    <row r="423" spans="1:36" x14ac:dyDescent="0.3">
      <c r="B423" s="2">
        <v>1</v>
      </c>
      <c r="C423" s="2">
        <v>1</v>
      </c>
      <c r="D423" s="2">
        <v>1</v>
      </c>
      <c r="E423" s="2">
        <v>1</v>
      </c>
      <c r="F423" s="2">
        <v>1</v>
      </c>
      <c r="G423" s="2">
        <v>1</v>
      </c>
      <c r="H423" s="2">
        <v>1</v>
      </c>
      <c r="I423" s="2">
        <v>1</v>
      </c>
      <c r="K423" s="2" t="str">
        <f t="shared" si="290"/>
        <v>01</v>
      </c>
      <c r="L423" s="2" t="str">
        <f t="shared" si="291"/>
        <v>01</v>
      </c>
      <c r="M423" s="2" t="str">
        <f t="shared" si="292"/>
        <v>01</v>
      </c>
      <c r="N423" s="2" t="str">
        <f t="shared" si="293"/>
        <v>01</v>
      </c>
      <c r="O423" s="2" t="str">
        <f t="shared" si="294"/>
        <v>01</v>
      </c>
      <c r="P423" s="2" t="str">
        <f t="shared" si="295"/>
        <v>01</v>
      </c>
      <c r="Q423" s="2" t="str">
        <f t="shared" si="296"/>
        <v>01</v>
      </c>
      <c r="R423" s="2" t="str">
        <f t="shared" si="297"/>
        <v>01</v>
      </c>
      <c r="T423" t="str">
        <f t="shared" si="298"/>
        <v>0101010101010101</v>
      </c>
      <c r="V423" s="9" t="str">
        <f t="shared" si="299"/>
        <v>01010101</v>
      </c>
      <c r="W423" s="9" t="str">
        <f t="shared" si="300"/>
        <v>01010101</v>
      </c>
      <c r="X423" s="9" t="str">
        <f t="shared" si="301"/>
        <v>55</v>
      </c>
      <c r="Y423" s="9" t="str">
        <f t="shared" si="302"/>
        <v>55</v>
      </c>
    </row>
    <row r="424" spans="1:36" x14ac:dyDescent="0.3">
      <c r="B424" s="2">
        <v>1</v>
      </c>
      <c r="C424" s="2">
        <v>1</v>
      </c>
      <c r="D424" s="2">
        <v>1</v>
      </c>
      <c r="E424" s="2">
        <v>3</v>
      </c>
      <c r="F424" s="2">
        <v>3</v>
      </c>
      <c r="G424" s="2">
        <v>1</v>
      </c>
      <c r="H424" s="2">
        <v>1</v>
      </c>
      <c r="I424" s="2">
        <v>1</v>
      </c>
      <c r="K424" s="2" t="str">
        <f t="shared" si="290"/>
        <v>01</v>
      </c>
      <c r="L424" s="2" t="str">
        <f t="shared" si="291"/>
        <v>01</v>
      </c>
      <c r="M424" s="2" t="str">
        <f t="shared" si="292"/>
        <v>01</v>
      </c>
      <c r="N424" s="2" t="str">
        <f t="shared" si="293"/>
        <v>11</v>
      </c>
      <c r="O424" s="2" t="str">
        <f t="shared" si="294"/>
        <v>11</v>
      </c>
      <c r="P424" s="2" t="str">
        <f t="shared" si="295"/>
        <v>01</v>
      </c>
      <c r="Q424" s="2" t="str">
        <f t="shared" si="296"/>
        <v>01</v>
      </c>
      <c r="R424" s="2" t="str">
        <f t="shared" si="297"/>
        <v>01</v>
      </c>
      <c r="T424" t="str">
        <f t="shared" si="298"/>
        <v>0101011111010101</v>
      </c>
      <c r="V424" s="9" t="str">
        <f t="shared" si="299"/>
        <v>01010111</v>
      </c>
      <c r="W424" s="9" t="str">
        <f t="shared" si="300"/>
        <v>11010101</v>
      </c>
      <c r="X424" s="9" t="str">
        <f t="shared" si="301"/>
        <v>57</v>
      </c>
      <c r="Y424" s="9" t="str">
        <f t="shared" si="302"/>
        <v>D5</v>
      </c>
    </row>
    <row r="425" spans="1:36" x14ac:dyDescent="0.3">
      <c r="B425" s="2">
        <v>1</v>
      </c>
      <c r="C425" s="2">
        <v>1</v>
      </c>
      <c r="D425" s="2">
        <v>3</v>
      </c>
      <c r="E425" s="2">
        <v>0</v>
      </c>
      <c r="F425" s="2">
        <v>0</v>
      </c>
      <c r="G425" s="2">
        <v>3</v>
      </c>
      <c r="H425" s="2">
        <v>1</v>
      </c>
      <c r="I425" s="2">
        <v>1</v>
      </c>
      <c r="K425" s="2" t="str">
        <f t="shared" si="290"/>
        <v>01</v>
      </c>
      <c r="L425" s="2" t="str">
        <f t="shared" si="291"/>
        <v>01</v>
      </c>
      <c r="M425" s="2" t="str">
        <f t="shared" si="292"/>
        <v>11</v>
      </c>
      <c r="N425" s="2" t="str">
        <f t="shared" si="293"/>
        <v>00</v>
      </c>
      <c r="O425" s="2" t="str">
        <f t="shared" si="294"/>
        <v>00</v>
      </c>
      <c r="P425" s="2" t="str">
        <f t="shared" si="295"/>
        <v>11</v>
      </c>
      <c r="Q425" s="2" t="str">
        <f t="shared" si="296"/>
        <v>01</v>
      </c>
      <c r="R425" s="2" t="str">
        <f t="shared" si="297"/>
        <v>01</v>
      </c>
      <c r="T425" t="str">
        <f t="shared" si="298"/>
        <v>0101110000110101</v>
      </c>
      <c r="V425" s="10" t="str">
        <f t="shared" si="299"/>
        <v>01011100</v>
      </c>
      <c r="W425" s="10" t="str">
        <f t="shared" si="300"/>
        <v>00110101</v>
      </c>
      <c r="X425" s="10" t="str">
        <f t="shared" si="301"/>
        <v>5C</v>
      </c>
      <c r="Y425" s="10" t="str">
        <f t="shared" si="302"/>
        <v>35</v>
      </c>
    </row>
    <row r="426" spans="1:36" x14ac:dyDescent="0.3">
      <c r="A426" t="s">
        <v>47</v>
      </c>
      <c r="AJ426" t="str">
        <f>";"&amp;PROPER(A426)</f>
        <v>;Bomb 1</v>
      </c>
    </row>
    <row r="427" spans="1:36" x14ac:dyDescent="0.3"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K427" s="2" t="str">
        <f t="shared" ref="K427:K442" si="304">DEC2BIN(B427,2)</f>
        <v>00</v>
      </c>
      <c r="L427" s="2" t="str">
        <f t="shared" ref="L427:L442" si="305">DEC2BIN(C427,2)</f>
        <v>00</v>
      </c>
      <c r="M427" s="2" t="str">
        <f t="shared" ref="M427:M442" si="306">DEC2BIN(D427,2)</f>
        <v>00</v>
      </c>
      <c r="N427" s="2" t="str">
        <f t="shared" ref="N427:N442" si="307">DEC2BIN(E427,2)</f>
        <v>00</v>
      </c>
      <c r="O427" s="2" t="str">
        <f t="shared" ref="O427:O442" si="308">DEC2BIN(F427,2)</f>
        <v>00</v>
      </c>
      <c r="P427" s="2" t="str">
        <f t="shared" ref="P427:P442" si="309">DEC2BIN(G427,2)</f>
        <v>00</v>
      </c>
      <c r="Q427" s="2" t="str">
        <f t="shared" ref="Q427:Q442" si="310">DEC2BIN(H427,2)</f>
        <v>00</v>
      </c>
      <c r="R427" s="2" t="str">
        <f t="shared" ref="R427:R442" si="311">DEC2BIN(I427,2)</f>
        <v>00</v>
      </c>
      <c r="T427" t="str">
        <f t="shared" ref="T427:T442" si="312">_xlfn.CONCAT(K427:R427)</f>
        <v>0000000000000000</v>
      </c>
      <c r="V427" s="8" t="str">
        <f>LEFT(T427,8)</f>
        <v>00000000</v>
      </c>
      <c r="W427" s="8" t="str">
        <f>RIGHT(T427,8)</f>
        <v>00000000</v>
      </c>
      <c r="X427" s="8" t="str">
        <f>BIN2HEX(V427,2)</f>
        <v>00</v>
      </c>
      <c r="Y427" s="8" t="str">
        <f>BIN2HEX(W427,2)</f>
        <v>00</v>
      </c>
      <c r="AA427" t="str" cm="1">
        <f t="array" ref="AA427:AH427">TRANSPOSE(X427:X434)</f>
        <v>00</v>
      </c>
      <c r="AB427" t="str">
        <v>00</v>
      </c>
      <c r="AC427" t="str">
        <v>02</v>
      </c>
      <c r="AD427" t="str">
        <v>01</v>
      </c>
      <c r="AE427" t="str">
        <v>01</v>
      </c>
      <c r="AF427" t="str">
        <v>05</v>
      </c>
      <c r="AG427" t="str">
        <v>15</v>
      </c>
      <c r="AH427" t="str">
        <v>50</v>
      </c>
      <c r="AJ427" t="str">
        <f>LOWER("!byte $"&amp;AA427&amp;", $"&amp;AB427&amp;", $"&amp;AC427&amp;", $"&amp;AD427&amp;", $"&amp;AE427&amp;", $"&amp;AF427&amp;", $"&amp;AG427&amp;", $"&amp;AH427)</f>
        <v>!byte $00, $00, $02, $01, $01, $05, $15, $50</v>
      </c>
    </row>
    <row r="428" spans="1:36" x14ac:dyDescent="0.3">
      <c r="B428" s="2">
        <v>0</v>
      </c>
      <c r="C428" s="2">
        <v>0</v>
      </c>
      <c r="D428" s="2">
        <v>0</v>
      </c>
      <c r="E428" s="2">
        <v>0</v>
      </c>
      <c r="F428" s="2">
        <v>2</v>
      </c>
      <c r="G428" s="2">
        <v>0</v>
      </c>
      <c r="H428" s="2">
        <v>0</v>
      </c>
      <c r="I428" s="2">
        <v>0</v>
      </c>
      <c r="K428" s="2" t="str">
        <f t="shared" si="304"/>
        <v>00</v>
      </c>
      <c r="L428" s="2" t="str">
        <f t="shared" si="305"/>
        <v>00</v>
      </c>
      <c r="M428" s="2" t="str">
        <f t="shared" si="306"/>
        <v>00</v>
      </c>
      <c r="N428" s="2" t="str">
        <f t="shared" si="307"/>
        <v>00</v>
      </c>
      <c r="O428" s="2" t="str">
        <f t="shared" si="308"/>
        <v>10</v>
      </c>
      <c r="P428" s="2" t="str">
        <f t="shared" si="309"/>
        <v>00</v>
      </c>
      <c r="Q428" s="2" t="str">
        <f t="shared" si="310"/>
        <v>00</v>
      </c>
      <c r="R428" s="2" t="str">
        <f t="shared" si="311"/>
        <v>00</v>
      </c>
      <c r="T428" t="str">
        <f t="shared" si="312"/>
        <v>0000000010000000</v>
      </c>
      <c r="V428" s="9" t="str">
        <f t="shared" ref="V428:V442" si="313">LEFT(T428,8)</f>
        <v>00000000</v>
      </c>
      <c r="W428" s="9" t="str">
        <f t="shared" ref="W428:W442" si="314">RIGHT(T428,8)</f>
        <v>10000000</v>
      </c>
      <c r="X428" s="9" t="str">
        <f t="shared" ref="X428:X442" si="315">BIN2HEX(V428,2)</f>
        <v>00</v>
      </c>
      <c r="Y428" s="9" t="str">
        <f t="shared" ref="Y428:Y442" si="316">BIN2HEX(W428,2)</f>
        <v>80</v>
      </c>
      <c r="AA428" t="str" cm="1">
        <f t="array" ref="AA428:AH428">TRANSPOSE(X435:X442)</f>
        <v>48</v>
      </c>
      <c r="AB428" t="str">
        <v>48</v>
      </c>
      <c r="AC428" t="str">
        <v>40</v>
      </c>
      <c r="AD428" t="str">
        <v>52</v>
      </c>
      <c r="AE428" t="str">
        <v>58</v>
      </c>
      <c r="AF428" t="str">
        <v>50</v>
      </c>
      <c r="AG428" t="str">
        <v>15</v>
      </c>
      <c r="AH428" t="str">
        <v>05</v>
      </c>
      <c r="AJ428" t="str">
        <f t="shared" ref="AJ428:AJ430" si="317">LOWER("!byte $"&amp;AA428&amp;", $"&amp;AB428&amp;", $"&amp;AC428&amp;", $"&amp;AD428&amp;", $"&amp;AE428&amp;", $"&amp;AF428&amp;", $"&amp;AG428&amp;", $"&amp;AH428)</f>
        <v>!byte $48, $48, $40, $52, $58, $50, $15, $05</v>
      </c>
    </row>
    <row r="429" spans="1:36" x14ac:dyDescent="0.3">
      <c r="B429" s="2">
        <v>0</v>
      </c>
      <c r="C429" s="2">
        <v>0</v>
      </c>
      <c r="D429" s="2">
        <v>0</v>
      </c>
      <c r="E429" s="2">
        <v>2</v>
      </c>
      <c r="F429" s="2">
        <v>0</v>
      </c>
      <c r="G429" s="2">
        <v>0</v>
      </c>
      <c r="H429" s="2">
        <v>0</v>
      </c>
      <c r="I429" s="2">
        <v>0</v>
      </c>
      <c r="K429" s="2" t="str">
        <f t="shared" si="304"/>
        <v>00</v>
      </c>
      <c r="L429" s="2" t="str">
        <f t="shared" si="305"/>
        <v>00</v>
      </c>
      <c r="M429" s="2" t="str">
        <f t="shared" si="306"/>
        <v>00</v>
      </c>
      <c r="N429" s="2" t="str">
        <f t="shared" si="307"/>
        <v>10</v>
      </c>
      <c r="O429" s="2" t="str">
        <f t="shared" si="308"/>
        <v>00</v>
      </c>
      <c r="P429" s="2" t="str">
        <f t="shared" si="309"/>
        <v>00</v>
      </c>
      <c r="Q429" s="2" t="str">
        <f t="shared" si="310"/>
        <v>00</v>
      </c>
      <c r="R429" s="2" t="str">
        <f t="shared" si="311"/>
        <v>00</v>
      </c>
      <c r="T429" t="str">
        <f t="shared" si="312"/>
        <v>0000001000000000</v>
      </c>
      <c r="V429" s="9" t="str">
        <f t="shared" si="313"/>
        <v>00000010</v>
      </c>
      <c r="W429" s="9" t="str">
        <f t="shared" si="314"/>
        <v>00000000</v>
      </c>
      <c r="X429" s="9" t="str">
        <f t="shared" si="315"/>
        <v>02</v>
      </c>
      <c r="Y429" s="9" t="str">
        <f t="shared" si="316"/>
        <v>00</v>
      </c>
      <c r="AA429" t="str" cm="1">
        <f t="array" ref="AA429:AH429">TRANSPOSE(Y427:Y434)</f>
        <v>00</v>
      </c>
      <c r="AB429" t="str">
        <v>80</v>
      </c>
      <c r="AC429" t="str">
        <v>00</v>
      </c>
      <c r="AD429" t="str">
        <v>00</v>
      </c>
      <c r="AE429" t="str">
        <v>00</v>
      </c>
      <c r="AF429" t="str">
        <v>40</v>
      </c>
      <c r="AG429" t="str">
        <v>50</v>
      </c>
      <c r="AH429" t="str">
        <v>14</v>
      </c>
      <c r="AJ429" t="str">
        <f t="shared" si="317"/>
        <v>!byte $00, $80, $00, $00, $00, $40, $50, $14</v>
      </c>
    </row>
    <row r="430" spans="1:36" x14ac:dyDescent="0.3">
      <c r="B430" s="2">
        <v>0</v>
      </c>
      <c r="C430" s="2">
        <v>0</v>
      </c>
      <c r="D430" s="2">
        <v>0</v>
      </c>
      <c r="E430" s="2">
        <v>1</v>
      </c>
      <c r="F430" s="2">
        <v>0</v>
      </c>
      <c r="G430" s="2">
        <v>0</v>
      </c>
      <c r="H430" s="2">
        <v>0</v>
      </c>
      <c r="I430" s="2">
        <v>0</v>
      </c>
      <c r="K430" s="2" t="str">
        <f t="shared" si="304"/>
        <v>00</v>
      </c>
      <c r="L430" s="2" t="str">
        <f t="shared" si="305"/>
        <v>00</v>
      </c>
      <c r="M430" s="2" t="str">
        <f t="shared" si="306"/>
        <v>00</v>
      </c>
      <c r="N430" s="2" t="str">
        <f t="shared" si="307"/>
        <v>01</v>
      </c>
      <c r="O430" s="2" t="str">
        <f t="shared" si="308"/>
        <v>00</v>
      </c>
      <c r="P430" s="2" t="str">
        <f t="shared" si="309"/>
        <v>00</v>
      </c>
      <c r="Q430" s="2" t="str">
        <f t="shared" si="310"/>
        <v>00</v>
      </c>
      <c r="R430" s="2" t="str">
        <f t="shared" si="311"/>
        <v>00</v>
      </c>
      <c r="T430" t="str">
        <f t="shared" si="312"/>
        <v>0000000100000000</v>
      </c>
      <c r="V430" s="9" t="str">
        <f t="shared" si="313"/>
        <v>00000001</v>
      </c>
      <c r="W430" s="9" t="str">
        <f t="shared" si="314"/>
        <v>00000000</v>
      </c>
      <c r="X430" s="9" t="str">
        <f t="shared" si="315"/>
        <v>01</v>
      </c>
      <c r="Y430" s="9" t="str">
        <f t="shared" si="316"/>
        <v>00</v>
      </c>
      <c r="AA430" t="str" cm="1">
        <f t="array" ref="AA430:AH430">TRANSPOSE(Y435:Y442)</f>
        <v>84</v>
      </c>
      <c r="AB430" t="str">
        <v>84</v>
      </c>
      <c r="AC430" t="str">
        <v>04</v>
      </c>
      <c r="AD430" t="str">
        <v>14</v>
      </c>
      <c r="AE430" t="str">
        <v>94</v>
      </c>
      <c r="AF430" t="str">
        <v>14</v>
      </c>
      <c r="AG430" t="str">
        <v>50</v>
      </c>
      <c r="AH430" t="str">
        <v>40</v>
      </c>
      <c r="AJ430" t="str">
        <f t="shared" si="317"/>
        <v>!byte $84, $84, $04, $14, $94, $14, $50, $40</v>
      </c>
    </row>
    <row r="431" spans="1:36" x14ac:dyDescent="0.3">
      <c r="B431" s="2">
        <v>0</v>
      </c>
      <c r="C431" s="2">
        <v>0</v>
      </c>
      <c r="D431" s="2">
        <v>0</v>
      </c>
      <c r="E431" s="2">
        <v>1</v>
      </c>
      <c r="F431" s="2">
        <v>0</v>
      </c>
      <c r="G431" s="2">
        <v>0</v>
      </c>
      <c r="H431" s="2">
        <v>0</v>
      </c>
      <c r="I431" s="2">
        <v>0</v>
      </c>
      <c r="K431" s="2" t="str">
        <f t="shared" si="304"/>
        <v>00</v>
      </c>
      <c r="L431" s="2" t="str">
        <f t="shared" si="305"/>
        <v>00</v>
      </c>
      <c r="M431" s="2" t="str">
        <f t="shared" si="306"/>
        <v>00</v>
      </c>
      <c r="N431" s="2" t="str">
        <f t="shared" si="307"/>
        <v>01</v>
      </c>
      <c r="O431" s="2" t="str">
        <f t="shared" si="308"/>
        <v>00</v>
      </c>
      <c r="P431" s="2" t="str">
        <f t="shared" si="309"/>
        <v>00</v>
      </c>
      <c r="Q431" s="2" t="str">
        <f t="shared" si="310"/>
        <v>00</v>
      </c>
      <c r="R431" s="2" t="str">
        <f t="shared" si="311"/>
        <v>00</v>
      </c>
      <c r="T431" t="str">
        <f t="shared" si="312"/>
        <v>0000000100000000</v>
      </c>
      <c r="V431" s="9" t="str">
        <f t="shared" si="313"/>
        <v>00000001</v>
      </c>
      <c r="W431" s="9" t="str">
        <f t="shared" si="314"/>
        <v>00000000</v>
      </c>
      <c r="X431" s="9" t="str">
        <f t="shared" si="315"/>
        <v>01</v>
      </c>
      <c r="Y431" s="9" t="str">
        <f t="shared" si="316"/>
        <v>00</v>
      </c>
    </row>
    <row r="432" spans="1:36" x14ac:dyDescent="0.3">
      <c r="B432" s="2">
        <v>0</v>
      </c>
      <c r="C432" s="2">
        <v>0</v>
      </c>
      <c r="D432" s="2">
        <v>1</v>
      </c>
      <c r="E432" s="2">
        <v>1</v>
      </c>
      <c r="F432" s="2">
        <v>1</v>
      </c>
      <c r="G432" s="2">
        <v>0</v>
      </c>
      <c r="H432" s="2">
        <v>0</v>
      </c>
      <c r="I432" s="2">
        <v>0</v>
      </c>
      <c r="K432" s="2" t="str">
        <f t="shared" si="304"/>
        <v>00</v>
      </c>
      <c r="L432" s="2" t="str">
        <f t="shared" si="305"/>
        <v>00</v>
      </c>
      <c r="M432" s="2" t="str">
        <f t="shared" si="306"/>
        <v>01</v>
      </c>
      <c r="N432" s="2" t="str">
        <f t="shared" si="307"/>
        <v>01</v>
      </c>
      <c r="O432" s="2" t="str">
        <f t="shared" si="308"/>
        <v>01</v>
      </c>
      <c r="P432" s="2" t="str">
        <f t="shared" si="309"/>
        <v>00</v>
      </c>
      <c r="Q432" s="2" t="str">
        <f t="shared" si="310"/>
        <v>00</v>
      </c>
      <c r="R432" s="2" t="str">
        <f t="shared" si="311"/>
        <v>00</v>
      </c>
      <c r="T432" t="str">
        <f t="shared" si="312"/>
        <v>0000010101000000</v>
      </c>
      <c r="V432" s="9" t="str">
        <f t="shared" si="313"/>
        <v>00000101</v>
      </c>
      <c r="W432" s="9" t="str">
        <f t="shared" si="314"/>
        <v>01000000</v>
      </c>
      <c r="X432" s="9" t="str">
        <f t="shared" si="315"/>
        <v>05</v>
      </c>
      <c r="Y432" s="9" t="str">
        <f t="shared" si="316"/>
        <v>40</v>
      </c>
    </row>
    <row r="433" spans="1:36" x14ac:dyDescent="0.3">
      <c r="B433" s="2">
        <v>0</v>
      </c>
      <c r="C433" s="2">
        <v>1</v>
      </c>
      <c r="D433" s="2">
        <v>1</v>
      </c>
      <c r="E433" s="2">
        <v>1</v>
      </c>
      <c r="F433" s="2">
        <v>1</v>
      </c>
      <c r="G433" s="2">
        <v>1</v>
      </c>
      <c r="H433" s="2">
        <v>0</v>
      </c>
      <c r="I433" s="2">
        <v>0</v>
      </c>
      <c r="K433" s="2" t="str">
        <f t="shared" si="304"/>
        <v>00</v>
      </c>
      <c r="L433" s="2" t="str">
        <f t="shared" si="305"/>
        <v>01</v>
      </c>
      <c r="M433" s="2" t="str">
        <f t="shared" si="306"/>
        <v>01</v>
      </c>
      <c r="N433" s="2" t="str">
        <f t="shared" si="307"/>
        <v>01</v>
      </c>
      <c r="O433" s="2" t="str">
        <f t="shared" si="308"/>
        <v>01</v>
      </c>
      <c r="P433" s="2" t="str">
        <f t="shared" si="309"/>
        <v>01</v>
      </c>
      <c r="Q433" s="2" t="str">
        <f t="shared" si="310"/>
        <v>00</v>
      </c>
      <c r="R433" s="2" t="str">
        <f t="shared" si="311"/>
        <v>00</v>
      </c>
      <c r="T433" t="str">
        <f t="shared" si="312"/>
        <v>0001010101010000</v>
      </c>
      <c r="V433" s="9" t="str">
        <f t="shared" si="313"/>
        <v>00010101</v>
      </c>
      <c r="W433" s="9" t="str">
        <f t="shared" si="314"/>
        <v>01010000</v>
      </c>
      <c r="X433" s="9" t="str">
        <f t="shared" si="315"/>
        <v>15</v>
      </c>
      <c r="Y433" s="9" t="str">
        <f t="shared" si="316"/>
        <v>50</v>
      </c>
    </row>
    <row r="434" spans="1:36" x14ac:dyDescent="0.3">
      <c r="B434" s="2">
        <v>1</v>
      </c>
      <c r="C434" s="2">
        <v>1</v>
      </c>
      <c r="D434" s="2">
        <v>0</v>
      </c>
      <c r="E434" s="2">
        <v>0</v>
      </c>
      <c r="F434" s="2">
        <v>0</v>
      </c>
      <c r="G434" s="2">
        <v>1</v>
      </c>
      <c r="H434" s="2">
        <v>1</v>
      </c>
      <c r="I434" s="2">
        <v>0</v>
      </c>
      <c r="K434" s="2" t="str">
        <f t="shared" si="304"/>
        <v>01</v>
      </c>
      <c r="L434" s="2" t="str">
        <f t="shared" si="305"/>
        <v>01</v>
      </c>
      <c r="M434" s="2" t="str">
        <f t="shared" si="306"/>
        <v>00</v>
      </c>
      <c r="N434" s="2" t="str">
        <f t="shared" si="307"/>
        <v>00</v>
      </c>
      <c r="O434" s="2" t="str">
        <f t="shared" si="308"/>
        <v>00</v>
      </c>
      <c r="P434" s="2" t="str">
        <f t="shared" si="309"/>
        <v>01</v>
      </c>
      <c r="Q434" s="2" t="str">
        <f t="shared" si="310"/>
        <v>01</v>
      </c>
      <c r="R434" s="2" t="str">
        <f t="shared" si="311"/>
        <v>00</v>
      </c>
      <c r="T434" t="str">
        <f t="shared" si="312"/>
        <v>0101000000010100</v>
      </c>
      <c r="V434" s="10" t="str">
        <f t="shared" si="313"/>
        <v>01010000</v>
      </c>
      <c r="W434" s="10" t="str">
        <f t="shared" si="314"/>
        <v>00010100</v>
      </c>
      <c r="X434" s="10" t="str">
        <f t="shared" si="315"/>
        <v>50</v>
      </c>
      <c r="Y434" s="10" t="str">
        <f t="shared" si="316"/>
        <v>14</v>
      </c>
    </row>
    <row r="435" spans="1:36" x14ac:dyDescent="0.3">
      <c r="B435" s="2">
        <v>1</v>
      </c>
      <c r="C435" s="2">
        <v>0</v>
      </c>
      <c r="D435" s="2">
        <v>2</v>
      </c>
      <c r="E435" s="2">
        <v>0</v>
      </c>
      <c r="F435" s="2">
        <v>2</v>
      </c>
      <c r="G435" s="2">
        <v>0</v>
      </c>
      <c r="H435" s="2">
        <v>1</v>
      </c>
      <c r="I435" s="2">
        <v>0</v>
      </c>
      <c r="K435" s="2" t="str">
        <f t="shared" si="304"/>
        <v>01</v>
      </c>
      <c r="L435" s="2" t="str">
        <f t="shared" si="305"/>
        <v>00</v>
      </c>
      <c r="M435" s="2" t="str">
        <f t="shared" si="306"/>
        <v>10</v>
      </c>
      <c r="N435" s="2" t="str">
        <f t="shared" si="307"/>
        <v>00</v>
      </c>
      <c r="O435" s="2" t="str">
        <f t="shared" si="308"/>
        <v>10</v>
      </c>
      <c r="P435" s="2" t="str">
        <f t="shared" si="309"/>
        <v>00</v>
      </c>
      <c r="Q435" s="2" t="str">
        <f t="shared" si="310"/>
        <v>01</v>
      </c>
      <c r="R435" s="2" t="str">
        <f t="shared" si="311"/>
        <v>00</v>
      </c>
      <c r="T435" t="str">
        <f t="shared" si="312"/>
        <v>0100100010000100</v>
      </c>
      <c r="V435" s="8" t="str">
        <f t="shared" si="313"/>
        <v>01001000</v>
      </c>
      <c r="W435" s="8" t="str">
        <f t="shared" si="314"/>
        <v>10000100</v>
      </c>
      <c r="X435" s="8" t="str">
        <f t="shared" si="315"/>
        <v>48</v>
      </c>
      <c r="Y435" s="8" t="str">
        <f t="shared" si="316"/>
        <v>84</v>
      </c>
    </row>
    <row r="436" spans="1:36" x14ac:dyDescent="0.3">
      <c r="B436" s="2">
        <v>1</v>
      </c>
      <c r="C436" s="2">
        <v>0</v>
      </c>
      <c r="D436" s="2">
        <v>2</v>
      </c>
      <c r="E436" s="2">
        <v>0</v>
      </c>
      <c r="F436" s="2">
        <v>2</v>
      </c>
      <c r="G436" s="2">
        <v>0</v>
      </c>
      <c r="H436" s="2">
        <v>1</v>
      </c>
      <c r="I436" s="2">
        <v>0</v>
      </c>
      <c r="K436" s="2" t="str">
        <f t="shared" si="304"/>
        <v>01</v>
      </c>
      <c r="L436" s="2" t="str">
        <f t="shared" si="305"/>
        <v>00</v>
      </c>
      <c r="M436" s="2" t="str">
        <f t="shared" si="306"/>
        <v>10</v>
      </c>
      <c r="N436" s="2" t="str">
        <f t="shared" si="307"/>
        <v>00</v>
      </c>
      <c r="O436" s="2" t="str">
        <f t="shared" si="308"/>
        <v>10</v>
      </c>
      <c r="P436" s="2" t="str">
        <f t="shared" si="309"/>
        <v>00</v>
      </c>
      <c r="Q436" s="2" t="str">
        <f t="shared" si="310"/>
        <v>01</v>
      </c>
      <c r="R436" s="2" t="str">
        <f t="shared" si="311"/>
        <v>00</v>
      </c>
      <c r="T436" t="str">
        <f t="shared" si="312"/>
        <v>0100100010000100</v>
      </c>
      <c r="V436" s="9" t="str">
        <f t="shared" si="313"/>
        <v>01001000</v>
      </c>
      <c r="W436" s="9" t="str">
        <f t="shared" si="314"/>
        <v>10000100</v>
      </c>
      <c r="X436" s="9" t="str">
        <f t="shared" si="315"/>
        <v>48</v>
      </c>
      <c r="Y436" s="9" t="str">
        <f t="shared" si="316"/>
        <v>84</v>
      </c>
    </row>
    <row r="437" spans="1:36" x14ac:dyDescent="0.3">
      <c r="B437" s="2">
        <v>1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1</v>
      </c>
      <c r="I437" s="2">
        <v>0</v>
      </c>
      <c r="K437" s="2" t="str">
        <f t="shared" si="304"/>
        <v>01</v>
      </c>
      <c r="L437" s="2" t="str">
        <f t="shared" si="305"/>
        <v>00</v>
      </c>
      <c r="M437" s="2" t="str">
        <f t="shared" si="306"/>
        <v>00</v>
      </c>
      <c r="N437" s="2" t="str">
        <f t="shared" si="307"/>
        <v>00</v>
      </c>
      <c r="O437" s="2" t="str">
        <f t="shared" si="308"/>
        <v>00</v>
      </c>
      <c r="P437" s="2" t="str">
        <f t="shared" si="309"/>
        <v>00</v>
      </c>
      <c r="Q437" s="2" t="str">
        <f t="shared" si="310"/>
        <v>01</v>
      </c>
      <c r="R437" s="2" t="str">
        <f t="shared" si="311"/>
        <v>00</v>
      </c>
      <c r="T437" t="str">
        <f t="shared" si="312"/>
        <v>0100000000000100</v>
      </c>
      <c r="V437" s="9" t="str">
        <f t="shared" si="313"/>
        <v>01000000</v>
      </c>
      <c r="W437" s="9" t="str">
        <f t="shared" si="314"/>
        <v>00000100</v>
      </c>
      <c r="X437" s="9" t="str">
        <f t="shared" si="315"/>
        <v>40</v>
      </c>
      <c r="Y437" s="9" t="str">
        <f t="shared" si="316"/>
        <v>04</v>
      </c>
    </row>
    <row r="438" spans="1:36" x14ac:dyDescent="0.3">
      <c r="B438" s="2">
        <v>1</v>
      </c>
      <c r="C438" s="2">
        <v>1</v>
      </c>
      <c r="D438" s="2">
        <v>0</v>
      </c>
      <c r="E438" s="2">
        <v>2</v>
      </c>
      <c r="F438" s="2">
        <v>0</v>
      </c>
      <c r="G438" s="2">
        <v>1</v>
      </c>
      <c r="H438" s="2">
        <v>1</v>
      </c>
      <c r="I438" s="2">
        <v>0</v>
      </c>
      <c r="K438" s="2" t="str">
        <f t="shared" si="304"/>
        <v>01</v>
      </c>
      <c r="L438" s="2" t="str">
        <f t="shared" si="305"/>
        <v>01</v>
      </c>
      <c r="M438" s="2" t="str">
        <f t="shared" si="306"/>
        <v>00</v>
      </c>
      <c r="N438" s="2" t="str">
        <f t="shared" si="307"/>
        <v>10</v>
      </c>
      <c r="O438" s="2" t="str">
        <f t="shared" si="308"/>
        <v>00</v>
      </c>
      <c r="P438" s="2" t="str">
        <f t="shared" si="309"/>
        <v>01</v>
      </c>
      <c r="Q438" s="2" t="str">
        <f t="shared" si="310"/>
        <v>01</v>
      </c>
      <c r="R438" s="2" t="str">
        <f t="shared" si="311"/>
        <v>00</v>
      </c>
      <c r="T438" t="str">
        <f t="shared" si="312"/>
        <v>0101001000010100</v>
      </c>
      <c r="V438" s="9" t="str">
        <f t="shared" si="313"/>
        <v>01010010</v>
      </c>
      <c r="W438" s="9" t="str">
        <f t="shared" si="314"/>
        <v>00010100</v>
      </c>
      <c r="X438" s="9" t="str">
        <f t="shared" si="315"/>
        <v>52</v>
      </c>
      <c r="Y438" s="9" t="str">
        <f t="shared" si="316"/>
        <v>14</v>
      </c>
    </row>
    <row r="439" spans="1:36" x14ac:dyDescent="0.3">
      <c r="B439" s="2">
        <v>1</v>
      </c>
      <c r="C439" s="2">
        <v>1</v>
      </c>
      <c r="D439" s="2">
        <v>2</v>
      </c>
      <c r="E439" s="2">
        <v>0</v>
      </c>
      <c r="F439" s="2">
        <v>2</v>
      </c>
      <c r="G439" s="2">
        <v>1</v>
      </c>
      <c r="H439" s="2">
        <v>1</v>
      </c>
      <c r="I439" s="2">
        <v>0</v>
      </c>
      <c r="K439" s="2" t="str">
        <f t="shared" si="304"/>
        <v>01</v>
      </c>
      <c r="L439" s="2" t="str">
        <f t="shared" si="305"/>
        <v>01</v>
      </c>
      <c r="M439" s="2" t="str">
        <f t="shared" si="306"/>
        <v>10</v>
      </c>
      <c r="N439" s="2" t="str">
        <f t="shared" si="307"/>
        <v>00</v>
      </c>
      <c r="O439" s="2" t="str">
        <f t="shared" si="308"/>
        <v>10</v>
      </c>
      <c r="P439" s="2" t="str">
        <f t="shared" si="309"/>
        <v>01</v>
      </c>
      <c r="Q439" s="2" t="str">
        <f t="shared" si="310"/>
        <v>01</v>
      </c>
      <c r="R439" s="2" t="str">
        <f t="shared" si="311"/>
        <v>00</v>
      </c>
      <c r="T439" t="str">
        <f t="shared" si="312"/>
        <v>0101100010010100</v>
      </c>
      <c r="V439" s="9" t="str">
        <f t="shared" si="313"/>
        <v>01011000</v>
      </c>
      <c r="W439" s="9" t="str">
        <f t="shared" si="314"/>
        <v>10010100</v>
      </c>
      <c r="X439" s="9" t="str">
        <f t="shared" si="315"/>
        <v>58</v>
      </c>
      <c r="Y439" s="9" t="str">
        <f t="shared" si="316"/>
        <v>94</v>
      </c>
    </row>
    <row r="440" spans="1:36" x14ac:dyDescent="0.3">
      <c r="B440" s="2">
        <v>1</v>
      </c>
      <c r="C440" s="2">
        <v>1</v>
      </c>
      <c r="D440" s="2">
        <v>0</v>
      </c>
      <c r="E440" s="2">
        <v>0</v>
      </c>
      <c r="F440" s="2">
        <v>0</v>
      </c>
      <c r="G440" s="2">
        <v>1</v>
      </c>
      <c r="H440" s="2">
        <v>1</v>
      </c>
      <c r="I440" s="2">
        <v>0</v>
      </c>
      <c r="K440" s="2" t="str">
        <f t="shared" si="304"/>
        <v>01</v>
      </c>
      <c r="L440" s="2" t="str">
        <f t="shared" si="305"/>
        <v>01</v>
      </c>
      <c r="M440" s="2" t="str">
        <f t="shared" si="306"/>
        <v>00</v>
      </c>
      <c r="N440" s="2" t="str">
        <f t="shared" si="307"/>
        <v>00</v>
      </c>
      <c r="O440" s="2" t="str">
        <f t="shared" si="308"/>
        <v>00</v>
      </c>
      <c r="P440" s="2" t="str">
        <f t="shared" si="309"/>
        <v>01</v>
      </c>
      <c r="Q440" s="2" t="str">
        <f t="shared" si="310"/>
        <v>01</v>
      </c>
      <c r="R440" s="2" t="str">
        <f t="shared" si="311"/>
        <v>00</v>
      </c>
      <c r="T440" t="str">
        <f t="shared" si="312"/>
        <v>0101000000010100</v>
      </c>
      <c r="V440" s="9" t="str">
        <f t="shared" si="313"/>
        <v>01010000</v>
      </c>
      <c r="W440" s="9" t="str">
        <f t="shared" si="314"/>
        <v>00010100</v>
      </c>
      <c r="X440" s="9" t="str">
        <f t="shared" si="315"/>
        <v>50</v>
      </c>
      <c r="Y440" s="9" t="str">
        <f t="shared" si="316"/>
        <v>14</v>
      </c>
    </row>
    <row r="441" spans="1:36" x14ac:dyDescent="0.3">
      <c r="B441" s="2">
        <v>0</v>
      </c>
      <c r="C441" s="2">
        <v>1</v>
      </c>
      <c r="D441" s="2">
        <v>1</v>
      </c>
      <c r="E441" s="2">
        <v>1</v>
      </c>
      <c r="F441" s="2">
        <v>1</v>
      </c>
      <c r="G441" s="2">
        <v>1</v>
      </c>
      <c r="H441" s="2">
        <v>0</v>
      </c>
      <c r="I441" s="2">
        <v>0</v>
      </c>
      <c r="K441" s="2" t="str">
        <f t="shared" si="304"/>
        <v>00</v>
      </c>
      <c r="L441" s="2" t="str">
        <f t="shared" si="305"/>
        <v>01</v>
      </c>
      <c r="M441" s="2" t="str">
        <f t="shared" si="306"/>
        <v>01</v>
      </c>
      <c r="N441" s="2" t="str">
        <f t="shared" si="307"/>
        <v>01</v>
      </c>
      <c r="O441" s="2" t="str">
        <f t="shared" si="308"/>
        <v>01</v>
      </c>
      <c r="P441" s="2" t="str">
        <f t="shared" si="309"/>
        <v>01</v>
      </c>
      <c r="Q441" s="2" t="str">
        <f t="shared" si="310"/>
        <v>00</v>
      </c>
      <c r="R441" s="2" t="str">
        <f t="shared" si="311"/>
        <v>00</v>
      </c>
      <c r="T441" t="str">
        <f t="shared" si="312"/>
        <v>0001010101010000</v>
      </c>
      <c r="V441" s="9" t="str">
        <f t="shared" si="313"/>
        <v>00010101</v>
      </c>
      <c r="W441" s="9" t="str">
        <f t="shared" si="314"/>
        <v>01010000</v>
      </c>
      <c r="X441" s="9" t="str">
        <f t="shared" si="315"/>
        <v>15</v>
      </c>
      <c r="Y441" s="9" t="str">
        <f t="shared" si="316"/>
        <v>50</v>
      </c>
    </row>
    <row r="442" spans="1:36" x14ac:dyDescent="0.3">
      <c r="B442" s="2">
        <v>0</v>
      </c>
      <c r="C442" s="2">
        <v>0</v>
      </c>
      <c r="D442" s="2">
        <v>1</v>
      </c>
      <c r="E442" s="2">
        <v>1</v>
      </c>
      <c r="F442" s="2">
        <v>1</v>
      </c>
      <c r="G442" s="2">
        <v>0</v>
      </c>
      <c r="H442" s="2">
        <v>0</v>
      </c>
      <c r="I442" s="2">
        <v>0</v>
      </c>
      <c r="K442" s="2" t="str">
        <f t="shared" si="304"/>
        <v>00</v>
      </c>
      <c r="L442" s="2" t="str">
        <f t="shared" si="305"/>
        <v>00</v>
      </c>
      <c r="M442" s="2" t="str">
        <f t="shared" si="306"/>
        <v>01</v>
      </c>
      <c r="N442" s="2" t="str">
        <f t="shared" si="307"/>
        <v>01</v>
      </c>
      <c r="O442" s="2" t="str">
        <f t="shared" si="308"/>
        <v>01</v>
      </c>
      <c r="P442" s="2" t="str">
        <f t="shared" si="309"/>
        <v>00</v>
      </c>
      <c r="Q442" s="2" t="str">
        <f t="shared" si="310"/>
        <v>00</v>
      </c>
      <c r="R442" s="2" t="str">
        <f t="shared" si="311"/>
        <v>00</v>
      </c>
      <c r="T442" t="str">
        <f t="shared" si="312"/>
        <v>0000010101000000</v>
      </c>
      <c r="V442" s="10" t="str">
        <f t="shared" si="313"/>
        <v>00000101</v>
      </c>
      <c r="W442" s="10" t="str">
        <f t="shared" si="314"/>
        <v>01000000</v>
      </c>
      <c r="X442" s="10" t="str">
        <f t="shared" si="315"/>
        <v>05</v>
      </c>
      <c r="Y442" s="10" t="str">
        <f t="shared" si="316"/>
        <v>40</v>
      </c>
    </row>
    <row r="443" spans="1:36" x14ac:dyDescent="0.3">
      <c r="A443" t="s">
        <v>48</v>
      </c>
      <c r="AJ443" t="str">
        <f>";"&amp;PROPER(A443)</f>
        <v>;Bomb 2</v>
      </c>
    </row>
    <row r="444" spans="1:36" x14ac:dyDescent="0.3"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K444" s="2" t="str">
        <f t="shared" ref="K444:K459" si="318">DEC2BIN(B444,2)</f>
        <v>00</v>
      </c>
      <c r="L444" s="2" t="str">
        <f t="shared" ref="L444:L459" si="319">DEC2BIN(C444,2)</f>
        <v>00</v>
      </c>
      <c r="M444" s="2" t="str">
        <f t="shared" ref="M444:M459" si="320">DEC2BIN(D444,2)</f>
        <v>00</v>
      </c>
      <c r="N444" s="2" t="str">
        <f t="shared" ref="N444:N459" si="321">DEC2BIN(E444,2)</f>
        <v>00</v>
      </c>
      <c r="O444" s="2" t="str">
        <f t="shared" ref="O444:O459" si="322">DEC2BIN(F444,2)</f>
        <v>00</v>
      </c>
      <c r="P444" s="2" t="str">
        <f t="shared" ref="P444:P459" si="323">DEC2BIN(G444,2)</f>
        <v>00</v>
      </c>
      <c r="Q444" s="2" t="str">
        <f t="shared" ref="Q444:Q459" si="324">DEC2BIN(H444,2)</f>
        <v>00</v>
      </c>
      <c r="R444" s="2" t="str">
        <f t="shared" ref="R444:R459" si="325">DEC2BIN(I444,2)</f>
        <v>00</v>
      </c>
      <c r="T444" t="str">
        <f t="shared" ref="T444:T459" si="326">_xlfn.CONCAT(K444:R444)</f>
        <v>0000000000000000</v>
      </c>
      <c r="V444" s="8" t="str">
        <f>LEFT(T444,8)</f>
        <v>00000000</v>
      </c>
      <c r="W444" s="8" t="str">
        <f>RIGHT(T444,8)</f>
        <v>00000000</v>
      </c>
      <c r="X444" s="8" t="str">
        <f>BIN2HEX(V444,2)</f>
        <v>00</v>
      </c>
      <c r="Y444" s="8" t="str">
        <f>BIN2HEX(W444,2)</f>
        <v>00</v>
      </c>
      <c r="AA444" t="str" cm="1">
        <f t="array" ref="AA444:AH444">TRANSPOSE(X444:X451)</f>
        <v>00</v>
      </c>
      <c r="AB444" t="str">
        <v>00</v>
      </c>
      <c r="AC444" t="str">
        <v>00</v>
      </c>
      <c r="AD444" t="str">
        <v>00</v>
      </c>
      <c r="AE444" t="str">
        <v>02</v>
      </c>
      <c r="AF444" t="str">
        <v>06</v>
      </c>
      <c r="AG444" t="str">
        <v>1F</v>
      </c>
      <c r="AH444" t="str">
        <v>7C</v>
      </c>
      <c r="AJ444" t="str">
        <f>LOWER("!byte $"&amp;AA444&amp;", $"&amp;AB444&amp;", $"&amp;AC444&amp;", $"&amp;AD444&amp;", $"&amp;AE444&amp;", $"&amp;AF444&amp;", $"&amp;AG444&amp;", $"&amp;AH444)</f>
        <v>!byte $00, $00, $00, $00, $02, $06, $1f, $7c</v>
      </c>
    </row>
    <row r="445" spans="1:36" x14ac:dyDescent="0.3"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K445" s="2" t="str">
        <f t="shared" si="318"/>
        <v>00</v>
      </c>
      <c r="L445" s="2" t="str">
        <f t="shared" si="319"/>
        <v>00</v>
      </c>
      <c r="M445" s="2" t="str">
        <f t="shared" si="320"/>
        <v>00</v>
      </c>
      <c r="N445" s="2" t="str">
        <f t="shared" si="321"/>
        <v>00</v>
      </c>
      <c r="O445" s="2" t="str">
        <f t="shared" si="322"/>
        <v>00</v>
      </c>
      <c r="P445" s="2" t="str">
        <f t="shared" si="323"/>
        <v>00</v>
      </c>
      <c r="Q445" s="2" t="str">
        <f t="shared" si="324"/>
        <v>00</v>
      </c>
      <c r="R445" s="2" t="str">
        <f t="shared" si="325"/>
        <v>00</v>
      </c>
      <c r="T445" t="str">
        <f t="shared" si="326"/>
        <v>0000000000000000</v>
      </c>
      <c r="V445" s="9" t="str">
        <f t="shared" ref="V445:V459" si="327">LEFT(T445,8)</f>
        <v>00000000</v>
      </c>
      <c r="W445" s="9" t="str">
        <f t="shared" ref="W445:W459" si="328">RIGHT(T445,8)</f>
        <v>00000000</v>
      </c>
      <c r="X445" s="9" t="str">
        <f t="shared" ref="X445:X459" si="329">BIN2HEX(V445,2)</f>
        <v>00</v>
      </c>
      <c r="Y445" s="9" t="str">
        <f t="shared" ref="Y445:Y459" si="330">BIN2HEX(W445,2)</f>
        <v>00</v>
      </c>
      <c r="AA445" t="str" cm="1">
        <f t="array" ref="AA445:AH445">TRANSPOSE(X452:X459)</f>
        <v>70</v>
      </c>
      <c r="AB445" t="str">
        <v>7C</v>
      </c>
      <c r="AC445" t="str">
        <v>7C</v>
      </c>
      <c r="AD445" t="str">
        <v>7C</v>
      </c>
      <c r="AE445" t="str">
        <v>7C</v>
      </c>
      <c r="AF445" t="str">
        <v>70</v>
      </c>
      <c r="AG445" t="str">
        <v>1F</v>
      </c>
      <c r="AH445" t="str">
        <v>05</v>
      </c>
      <c r="AJ445" t="str">
        <f t="shared" ref="AJ445:AJ447" si="331">LOWER("!byte $"&amp;AA445&amp;", $"&amp;AB445&amp;", $"&amp;AC445&amp;", $"&amp;AD445&amp;", $"&amp;AE445&amp;", $"&amp;AF445&amp;", $"&amp;AG445&amp;", $"&amp;AH445)</f>
        <v>!byte $70, $7c, $7c, $7c, $7c, $70, $1f, $05</v>
      </c>
    </row>
    <row r="446" spans="1:36" x14ac:dyDescent="0.3"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K446" s="2" t="str">
        <f t="shared" si="318"/>
        <v>00</v>
      </c>
      <c r="L446" s="2" t="str">
        <f t="shared" si="319"/>
        <v>00</v>
      </c>
      <c r="M446" s="2" t="str">
        <f t="shared" si="320"/>
        <v>00</v>
      </c>
      <c r="N446" s="2" t="str">
        <f t="shared" si="321"/>
        <v>00</v>
      </c>
      <c r="O446" s="2" t="str">
        <f t="shared" si="322"/>
        <v>00</v>
      </c>
      <c r="P446" s="2" t="str">
        <f t="shared" si="323"/>
        <v>00</v>
      </c>
      <c r="Q446" s="2" t="str">
        <f t="shared" si="324"/>
        <v>00</v>
      </c>
      <c r="R446" s="2" t="str">
        <f t="shared" si="325"/>
        <v>00</v>
      </c>
      <c r="T446" t="str">
        <f t="shared" si="326"/>
        <v>0000000000000000</v>
      </c>
      <c r="V446" s="9" t="str">
        <f t="shared" si="327"/>
        <v>00000000</v>
      </c>
      <c r="W446" s="9" t="str">
        <f t="shared" si="328"/>
        <v>00000000</v>
      </c>
      <c r="X446" s="9" t="str">
        <f t="shared" si="329"/>
        <v>00</v>
      </c>
      <c r="Y446" s="9" t="str">
        <f t="shared" si="330"/>
        <v>00</v>
      </c>
      <c r="AA446" t="str" cm="1">
        <f t="array" ref="AA446:AH446">TRANSPOSE(Y444:Y451)</f>
        <v>00</v>
      </c>
      <c r="AB446" t="str">
        <v>00</v>
      </c>
      <c r="AC446" t="str">
        <v>00</v>
      </c>
      <c r="AD446" t="str">
        <v>00</v>
      </c>
      <c r="AE446" t="str">
        <v>00</v>
      </c>
      <c r="AF446" t="str">
        <v>40</v>
      </c>
      <c r="AG446" t="str">
        <v>D0</v>
      </c>
      <c r="AH446" t="str">
        <v>F4</v>
      </c>
      <c r="AJ446" t="str">
        <f t="shared" si="331"/>
        <v>!byte $00, $00, $00, $00, $00, $40, $d0, $f4</v>
      </c>
    </row>
    <row r="447" spans="1:36" x14ac:dyDescent="0.3"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K447" s="2" t="str">
        <f t="shared" si="318"/>
        <v>00</v>
      </c>
      <c r="L447" s="2" t="str">
        <f t="shared" si="319"/>
        <v>00</v>
      </c>
      <c r="M447" s="2" t="str">
        <f t="shared" si="320"/>
        <v>00</v>
      </c>
      <c r="N447" s="2" t="str">
        <f t="shared" si="321"/>
        <v>00</v>
      </c>
      <c r="O447" s="2" t="str">
        <f t="shared" si="322"/>
        <v>00</v>
      </c>
      <c r="P447" s="2" t="str">
        <f t="shared" si="323"/>
        <v>00</v>
      </c>
      <c r="Q447" s="2" t="str">
        <f t="shared" si="324"/>
        <v>00</v>
      </c>
      <c r="R447" s="2" t="str">
        <f t="shared" si="325"/>
        <v>00</v>
      </c>
      <c r="T447" t="str">
        <f t="shared" si="326"/>
        <v>0000000000000000</v>
      </c>
      <c r="V447" s="9" t="str">
        <f t="shared" si="327"/>
        <v>00000000</v>
      </c>
      <c r="W447" s="9" t="str">
        <f t="shared" si="328"/>
        <v>00000000</v>
      </c>
      <c r="X447" s="9" t="str">
        <f t="shared" si="329"/>
        <v>00</v>
      </c>
      <c r="Y447" s="9" t="str">
        <f t="shared" si="330"/>
        <v>00</v>
      </c>
      <c r="AA447" t="str" cm="1">
        <f t="array" ref="AA447:AH447">TRANSPOSE(Y452:Y459)</f>
        <v>F4</v>
      </c>
      <c r="AB447" t="str">
        <v>F4</v>
      </c>
      <c r="AC447" t="str">
        <v>F4</v>
      </c>
      <c r="AD447" t="str">
        <v>F4</v>
      </c>
      <c r="AE447" t="str">
        <v>F4</v>
      </c>
      <c r="AF447" t="str">
        <v>34</v>
      </c>
      <c r="AG447" t="str">
        <v>D0</v>
      </c>
      <c r="AH447" t="str">
        <v>40</v>
      </c>
      <c r="AJ447" t="str">
        <f t="shared" si="331"/>
        <v>!byte $f4, $f4, $f4, $f4, $f4, $34, $d0, $40</v>
      </c>
    </row>
    <row r="448" spans="1:36" x14ac:dyDescent="0.3">
      <c r="B448" s="2">
        <v>0</v>
      </c>
      <c r="C448" s="2">
        <v>0</v>
      </c>
      <c r="D448" s="2">
        <v>0</v>
      </c>
      <c r="E448" s="2">
        <v>2</v>
      </c>
      <c r="F448" s="2">
        <v>0</v>
      </c>
      <c r="G448" s="2">
        <v>0</v>
      </c>
      <c r="H448" s="2">
        <v>0</v>
      </c>
      <c r="I448" s="2">
        <v>0</v>
      </c>
      <c r="K448" s="2" t="str">
        <f t="shared" si="318"/>
        <v>00</v>
      </c>
      <c r="L448" s="2" t="str">
        <f t="shared" si="319"/>
        <v>00</v>
      </c>
      <c r="M448" s="2" t="str">
        <f t="shared" si="320"/>
        <v>00</v>
      </c>
      <c r="N448" s="2" t="str">
        <f t="shared" si="321"/>
        <v>10</v>
      </c>
      <c r="O448" s="2" t="str">
        <f t="shared" si="322"/>
        <v>00</v>
      </c>
      <c r="P448" s="2" t="str">
        <f t="shared" si="323"/>
        <v>00</v>
      </c>
      <c r="Q448" s="2" t="str">
        <f t="shared" si="324"/>
        <v>00</v>
      </c>
      <c r="R448" s="2" t="str">
        <f t="shared" si="325"/>
        <v>00</v>
      </c>
      <c r="T448" t="str">
        <f t="shared" si="326"/>
        <v>0000001000000000</v>
      </c>
      <c r="V448" s="9" t="str">
        <f t="shared" si="327"/>
        <v>00000010</v>
      </c>
      <c r="W448" s="9" t="str">
        <f t="shared" si="328"/>
        <v>00000000</v>
      </c>
      <c r="X448" s="9" t="str">
        <f t="shared" si="329"/>
        <v>02</v>
      </c>
      <c r="Y448" s="9" t="str">
        <f t="shared" si="330"/>
        <v>00</v>
      </c>
    </row>
    <row r="449" spans="1:36" x14ac:dyDescent="0.3">
      <c r="B449" s="2">
        <v>0</v>
      </c>
      <c r="C449" s="2">
        <v>0</v>
      </c>
      <c r="D449" s="2">
        <v>1</v>
      </c>
      <c r="E449" s="2">
        <v>2</v>
      </c>
      <c r="F449" s="2">
        <v>1</v>
      </c>
      <c r="G449" s="2">
        <v>0</v>
      </c>
      <c r="H449" s="2">
        <v>0</v>
      </c>
      <c r="I449" s="2">
        <v>0</v>
      </c>
      <c r="K449" s="2" t="str">
        <f t="shared" si="318"/>
        <v>00</v>
      </c>
      <c r="L449" s="2" t="str">
        <f t="shared" si="319"/>
        <v>00</v>
      </c>
      <c r="M449" s="2" t="str">
        <f t="shared" si="320"/>
        <v>01</v>
      </c>
      <c r="N449" s="2" t="str">
        <f t="shared" si="321"/>
        <v>10</v>
      </c>
      <c r="O449" s="2" t="str">
        <f t="shared" si="322"/>
        <v>01</v>
      </c>
      <c r="P449" s="2" t="str">
        <f t="shared" si="323"/>
        <v>00</v>
      </c>
      <c r="Q449" s="2" t="str">
        <f t="shared" si="324"/>
        <v>00</v>
      </c>
      <c r="R449" s="2" t="str">
        <f t="shared" si="325"/>
        <v>00</v>
      </c>
      <c r="T449" t="str">
        <f t="shared" si="326"/>
        <v>0000011001000000</v>
      </c>
      <c r="V449" s="9" t="str">
        <f t="shared" si="327"/>
        <v>00000110</v>
      </c>
      <c r="W449" s="9" t="str">
        <f t="shared" si="328"/>
        <v>01000000</v>
      </c>
      <c r="X449" s="9" t="str">
        <f t="shared" si="329"/>
        <v>06</v>
      </c>
      <c r="Y449" s="9" t="str">
        <f t="shared" si="330"/>
        <v>40</v>
      </c>
    </row>
    <row r="450" spans="1:36" x14ac:dyDescent="0.3">
      <c r="B450" s="2">
        <v>0</v>
      </c>
      <c r="C450" s="2">
        <v>1</v>
      </c>
      <c r="D450" s="2">
        <v>3</v>
      </c>
      <c r="E450" s="2">
        <v>3</v>
      </c>
      <c r="F450" s="2">
        <v>3</v>
      </c>
      <c r="G450" s="2">
        <v>1</v>
      </c>
      <c r="H450" s="2">
        <v>0</v>
      </c>
      <c r="I450" s="2">
        <v>0</v>
      </c>
      <c r="K450" s="2" t="str">
        <f t="shared" si="318"/>
        <v>00</v>
      </c>
      <c r="L450" s="2" t="str">
        <f t="shared" si="319"/>
        <v>01</v>
      </c>
      <c r="M450" s="2" t="str">
        <f t="shared" si="320"/>
        <v>11</v>
      </c>
      <c r="N450" s="2" t="str">
        <f t="shared" si="321"/>
        <v>11</v>
      </c>
      <c r="O450" s="2" t="str">
        <f t="shared" si="322"/>
        <v>11</v>
      </c>
      <c r="P450" s="2" t="str">
        <f t="shared" si="323"/>
        <v>01</v>
      </c>
      <c r="Q450" s="2" t="str">
        <f t="shared" si="324"/>
        <v>00</v>
      </c>
      <c r="R450" s="2" t="str">
        <f t="shared" si="325"/>
        <v>00</v>
      </c>
      <c r="T450" t="str">
        <f t="shared" si="326"/>
        <v>0001111111010000</v>
      </c>
      <c r="V450" s="9" t="str">
        <f t="shared" si="327"/>
        <v>00011111</v>
      </c>
      <c r="W450" s="9" t="str">
        <f t="shared" si="328"/>
        <v>11010000</v>
      </c>
      <c r="X450" s="9" t="str">
        <f t="shared" si="329"/>
        <v>1F</v>
      </c>
      <c r="Y450" s="9" t="str">
        <f t="shared" si="330"/>
        <v>D0</v>
      </c>
    </row>
    <row r="451" spans="1:36" x14ac:dyDescent="0.3">
      <c r="B451" s="2">
        <v>1</v>
      </c>
      <c r="C451" s="2">
        <v>3</v>
      </c>
      <c r="D451" s="2">
        <v>3</v>
      </c>
      <c r="E451" s="2">
        <v>0</v>
      </c>
      <c r="F451" s="2">
        <v>3</v>
      </c>
      <c r="G451" s="2">
        <v>3</v>
      </c>
      <c r="H451" s="2">
        <v>1</v>
      </c>
      <c r="I451" s="2">
        <v>0</v>
      </c>
      <c r="K451" s="2" t="str">
        <f t="shared" si="318"/>
        <v>01</v>
      </c>
      <c r="L451" s="2" t="str">
        <f t="shared" si="319"/>
        <v>11</v>
      </c>
      <c r="M451" s="2" t="str">
        <f t="shared" si="320"/>
        <v>11</v>
      </c>
      <c r="N451" s="2" t="str">
        <f t="shared" si="321"/>
        <v>00</v>
      </c>
      <c r="O451" s="2" t="str">
        <f t="shared" si="322"/>
        <v>11</v>
      </c>
      <c r="P451" s="2" t="str">
        <f t="shared" si="323"/>
        <v>11</v>
      </c>
      <c r="Q451" s="2" t="str">
        <f t="shared" si="324"/>
        <v>01</v>
      </c>
      <c r="R451" s="2" t="str">
        <f t="shared" si="325"/>
        <v>00</v>
      </c>
      <c r="T451" t="str">
        <f t="shared" si="326"/>
        <v>0111110011110100</v>
      </c>
      <c r="V451" s="10" t="str">
        <f t="shared" si="327"/>
        <v>01111100</v>
      </c>
      <c r="W451" s="10" t="str">
        <f t="shared" si="328"/>
        <v>11110100</v>
      </c>
      <c r="X451" s="10" t="str">
        <f t="shared" si="329"/>
        <v>7C</v>
      </c>
      <c r="Y451" s="10" t="str">
        <f t="shared" si="330"/>
        <v>F4</v>
      </c>
    </row>
    <row r="452" spans="1:36" x14ac:dyDescent="0.3">
      <c r="B452" s="2">
        <v>1</v>
      </c>
      <c r="C452" s="2">
        <v>3</v>
      </c>
      <c r="D452" s="2">
        <v>0</v>
      </c>
      <c r="E452" s="2">
        <v>0</v>
      </c>
      <c r="F452" s="2">
        <v>3</v>
      </c>
      <c r="G452" s="2">
        <v>3</v>
      </c>
      <c r="H452" s="2">
        <v>1</v>
      </c>
      <c r="I452" s="2">
        <v>0</v>
      </c>
      <c r="K452" s="2" t="str">
        <f t="shared" si="318"/>
        <v>01</v>
      </c>
      <c r="L452" s="2" t="str">
        <f t="shared" si="319"/>
        <v>11</v>
      </c>
      <c r="M452" s="2" t="str">
        <f t="shared" si="320"/>
        <v>00</v>
      </c>
      <c r="N452" s="2" t="str">
        <f t="shared" si="321"/>
        <v>00</v>
      </c>
      <c r="O452" s="2" t="str">
        <f t="shared" si="322"/>
        <v>11</v>
      </c>
      <c r="P452" s="2" t="str">
        <f t="shared" si="323"/>
        <v>11</v>
      </c>
      <c r="Q452" s="2" t="str">
        <f t="shared" si="324"/>
        <v>01</v>
      </c>
      <c r="R452" s="2" t="str">
        <f t="shared" si="325"/>
        <v>00</v>
      </c>
      <c r="T452" t="str">
        <f t="shared" si="326"/>
        <v>0111000011110100</v>
      </c>
      <c r="V452" s="8" t="str">
        <f t="shared" si="327"/>
        <v>01110000</v>
      </c>
      <c r="W452" s="8" t="str">
        <f t="shared" si="328"/>
        <v>11110100</v>
      </c>
      <c r="X452" s="8" t="str">
        <f t="shared" si="329"/>
        <v>70</v>
      </c>
      <c r="Y452" s="8" t="str">
        <f t="shared" si="330"/>
        <v>F4</v>
      </c>
    </row>
    <row r="453" spans="1:36" x14ac:dyDescent="0.3">
      <c r="B453" s="2">
        <v>1</v>
      </c>
      <c r="C453" s="2">
        <v>3</v>
      </c>
      <c r="D453" s="2">
        <v>3</v>
      </c>
      <c r="E453" s="2">
        <v>0</v>
      </c>
      <c r="F453" s="2">
        <v>3</v>
      </c>
      <c r="G453" s="2">
        <v>3</v>
      </c>
      <c r="H453" s="2">
        <v>1</v>
      </c>
      <c r="I453" s="2">
        <v>0</v>
      </c>
      <c r="K453" s="2" t="str">
        <f t="shared" si="318"/>
        <v>01</v>
      </c>
      <c r="L453" s="2" t="str">
        <f t="shared" si="319"/>
        <v>11</v>
      </c>
      <c r="M453" s="2" t="str">
        <f t="shared" si="320"/>
        <v>11</v>
      </c>
      <c r="N453" s="2" t="str">
        <f t="shared" si="321"/>
        <v>00</v>
      </c>
      <c r="O453" s="2" t="str">
        <f t="shared" si="322"/>
        <v>11</v>
      </c>
      <c r="P453" s="2" t="str">
        <f t="shared" si="323"/>
        <v>11</v>
      </c>
      <c r="Q453" s="2" t="str">
        <f t="shared" si="324"/>
        <v>01</v>
      </c>
      <c r="R453" s="2" t="str">
        <f t="shared" si="325"/>
        <v>00</v>
      </c>
      <c r="T453" t="str">
        <f t="shared" si="326"/>
        <v>0111110011110100</v>
      </c>
      <c r="V453" s="9" t="str">
        <f t="shared" si="327"/>
        <v>01111100</v>
      </c>
      <c r="W453" s="9" t="str">
        <f t="shared" si="328"/>
        <v>11110100</v>
      </c>
      <c r="X453" s="9" t="str">
        <f t="shared" si="329"/>
        <v>7C</v>
      </c>
      <c r="Y453" s="9" t="str">
        <f t="shared" si="330"/>
        <v>F4</v>
      </c>
    </row>
    <row r="454" spans="1:36" x14ac:dyDescent="0.3">
      <c r="B454" s="2">
        <v>1</v>
      </c>
      <c r="C454" s="2">
        <v>3</v>
      </c>
      <c r="D454" s="2">
        <v>3</v>
      </c>
      <c r="E454" s="2">
        <v>0</v>
      </c>
      <c r="F454" s="2">
        <v>3</v>
      </c>
      <c r="G454" s="2">
        <v>3</v>
      </c>
      <c r="H454" s="2">
        <v>1</v>
      </c>
      <c r="I454" s="2">
        <v>0</v>
      </c>
      <c r="K454" s="2" t="str">
        <f t="shared" si="318"/>
        <v>01</v>
      </c>
      <c r="L454" s="2" t="str">
        <f t="shared" si="319"/>
        <v>11</v>
      </c>
      <c r="M454" s="2" t="str">
        <f t="shared" si="320"/>
        <v>11</v>
      </c>
      <c r="N454" s="2" t="str">
        <f t="shared" si="321"/>
        <v>00</v>
      </c>
      <c r="O454" s="2" t="str">
        <f t="shared" si="322"/>
        <v>11</v>
      </c>
      <c r="P454" s="2" t="str">
        <f t="shared" si="323"/>
        <v>11</v>
      </c>
      <c r="Q454" s="2" t="str">
        <f t="shared" si="324"/>
        <v>01</v>
      </c>
      <c r="R454" s="2" t="str">
        <f t="shared" si="325"/>
        <v>00</v>
      </c>
      <c r="T454" t="str">
        <f t="shared" si="326"/>
        <v>0111110011110100</v>
      </c>
      <c r="V454" s="9" t="str">
        <f t="shared" si="327"/>
        <v>01111100</v>
      </c>
      <c r="W454" s="9" t="str">
        <f t="shared" si="328"/>
        <v>11110100</v>
      </c>
      <c r="X454" s="9" t="str">
        <f t="shared" si="329"/>
        <v>7C</v>
      </c>
      <c r="Y454" s="9" t="str">
        <f t="shared" si="330"/>
        <v>F4</v>
      </c>
    </row>
    <row r="455" spans="1:36" x14ac:dyDescent="0.3">
      <c r="B455" s="2">
        <v>1</v>
      </c>
      <c r="C455" s="2">
        <v>3</v>
      </c>
      <c r="D455" s="2">
        <v>3</v>
      </c>
      <c r="E455" s="2">
        <v>0</v>
      </c>
      <c r="F455" s="2">
        <v>3</v>
      </c>
      <c r="G455" s="2">
        <v>3</v>
      </c>
      <c r="H455" s="2">
        <v>1</v>
      </c>
      <c r="I455" s="2">
        <v>0</v>
      </c>
      <c r="K455" s="2" t="str">
        <f t="shared" si="318"/>
        <v>01</v>
      </c>
      <c r="L455" s="2" t="str">
        <f t="shared" si="319"/>
        <v>11</v>
      </c>
      <c r="M455" s="2" t="str">
        <f t="shared" si="320"/>
        <v>11</v>
      </c>
      <c r="N455" s="2" t="str">
        <f t="shared" si="321"/>
        <v>00</v>
      </c>
      <c r="O455" s="2" t="str">
        <f t="shared" si="322"/>
        <v>11</v>
      </c>
      <c r="P455" s="2" t="str">
        <f t="shared" si="323"/>
        <v>11</v>
      </c>
      <c r="Q455" s="2" t="str">
        <f t="shared" si="324"/>
        <v>01</v>
      </c>
      <c r="R455" s="2" t="str">
        <f t="shared" si="325"/>
        <v>00</v>
      </c>
      <c r="T455" t="str">
        <f t="shared" si="326"/>
        <v>0111110011110100</v>
      </c>
      <c r="V455" s="9" t="str">
        <f t="shared" si="327"/>
        <v>01111100</v>
      </c>
      <c r="W455" s="9" t="str">
        <f t="shared" si="328"/>
        <v>11110100</v>
      </c>
      <c r="X455" s="9" t="str">
        <f t="shared" si="329"/>
        <v>7C</v>
      </c>
      <c r="Y455" s="9" t="str">
        <f t="shared" si="330"/>
        <v>F4</v>
      </c>
    </row>
    <row r="456" spans="1:36" x14ac:dyDescent="0.3">
      <c r="B456" s="2">
        <v>1</v>
      </c>
      <c r="C456" s="2">
        <v>3</v>
      </c>
      <c r="D456" s="2">
        <v>3</v>
      </c>
      <c r="E456" s="2">
        <v>0</v>
      </c>
      <c r="F456" s="2">
        <v>3</v>
      </c>
      <c r="G456" s="2">
        <v>3</v>
      </c>
      <c r="H456" s="2">
        <v>1</v>
      </c>
      <c r="I456" s="2">
        <v>0</v>
      </c>
      <c r="K456" s="2" t="str">
        <f t="shared" si="318"/>
        <v>01</v>
      </c>
      <c r="L456" s="2" t="str">
        <f t="shared" si="319"/>
        <v>11</v>
      </c>
      <c r="M456" s="2" t="str">
        <f t="shared" si="320"/>
        <v>11</v>
      </c>
      <c r="N456" s="2" t="str">
        <f t="shared" si="321"/>
        <v>00</v>
      </c>
      <c r="O456" s="2" t="str">
        <f t="shared" si="322"/>
        <v>11</v>
      </c>
      <c r="P456" s="2" t="str">
        <f t="shared" si="323"/>
        <v>11</v>
      </c>
      <c r="Q456" s="2" t="str">
        <f t="shared" si="324"/>
        <v>01</v>
      </c>
      <c r="R456" s="2" t="str">
        <f t="shared" si="325"/>
        <v>00</v>
      </c>
      <c r="T456" t="str">
        <f t="shared" si="326"/>
        <v>0111110011110100</v>
      </c>
      <c r="V456" s="9" t="str">
        <f t="shared" si="327"/>
        <v>01111100</v>
      </c>
      <c r="W456" s="9" t="str">
        <f t="shared" si="328"/>
        <v>11110100</v>
      </c>
      <c r="X456" s="9" t="str">
        <f t="shared" si="329"/>
        <v>7C</v>
      </c>
      <c r="Y456" s="9" t="str">
        <f t="shared" si="330"/>
        <v>F4</v>
      </c>
    </row>
    <row r="457" spans="1:36" x14ac:dyDescent="0.3">
      <c r="B457" s="2">
        <v>1</v>
      </c>
      <c r="C457" s="2">
        <v>3</v>
      </c>
      <c r="D457" s="2">
        <v>0</v>
      </c>
      <c r="E457" s="2">
        <v>0</v>
      </c>
      <c r="F457" s="2">
        <v>0</v>
      </c>
      <c r="G457" s="2">
        <v>3</v>
      </c>
      <c r="H457" s="2">
        <v>1</v>
      </c>
      <c r="I457" s="2">
        <v>0</v>
      </c>
      <c r="K457" s="2" t="str">
        <f t="shared" si="318"/>
        <v>01</v>
      </c>
      <c r="L457" s="2" t="str">
        <f t="shared" si="319"/>
        <v>11</v>
      </c>
      <c r="M457" s="2" t="str">
        <f t="shared" si="320"/>
        <v>00</v>
      </c>
      <c r="N457" s="2" t="str">
        <f t="shared" si="321"/>
        <v>00</v>
      </c>
      <c r="O457" s="2" t="str">
        <f t="shared" si="322"/>
        <v>00</v>
      </c>
      <c r="P457" s="2" t="str">
        <f t="shared" si="323"/>
        <v>11</v>
      </c>
      <c r="Q457" s="2" t="str">
        <f t="shared" si="324"/>
        <v>01</v>
      </c>
      <c r="R457" s="2" t="str">
        <f t="shared" si="325"/>
        <v>00</v>
      </c>
      <c r="T457" t="str">
        <f t="shared" si="326"/>
        <v>0111000000110100</v>
      </c>
      <c r="V457" s="9" t="str">
        <f t="shared" si="327"/>
        <v>01110000</v>
      </c>
      <c r="W457" s="9" t="str">
        <f t="shared" si="328"/>
        <v>00110100</v>
      </c>
      <c r="X457" s="9" t="str">
        <f t="shared" si="329"/>
        <v>70</v>
      </c>
      <c r="Y457" s="9" t="str">
        <f t="shared" si="330"/>
        <v>34</v>
      </c>
    </row>
    <row r="458" spans="1:36" x14ac:dyDescent="0.3">
      <c r="B458" s="2">
        <v>0</v>
      </c>
      <c r="C458" s="2">
        <v>1</v>
      </c>
      <c r="D458" s="2">
        <v>3</v>
      </c>
      <c r="E458" s="2">
        <v>3</v>
      </c>
      <c r="F458" s="2">
        <v>3</v>
      </c>
      <c r="G458" s="2">
        <v>1</v>
      </c>
      <c r="H458" s="2">
        <v>0</v>
      </c>
      <c r="I458" s="2">
        <v>0</v>
      </c>
      <c r="K458" s="2" t="str">
        <f t="shared" si="318"/>
        <v>00</v>
      </c>
      <c r="L458" s="2" t="str">
        <f t="shared" si="319"/>
        <v>01</v>
      </c>
      <c r="M458" s="2" t="str">
        <f t="shared" si="320"/>
        <v>11</v>
      </c>
      <c r="N458" s="2" t="str">
        <f t="shared" si="321"/>
        <v>11</v>
      </c>
      <c r="O458" s="2" t="str">
        <f t="shared" si="322"/>
        <v>11</v>
      </c>
      <c r="P458" s="2" t="str">
        <f t="shared" si="323"/>
        <v>01</v>
      </c>
      <c r="Q458" s="2" t="str">
        <f t="shared" si="324"/>
        <v>00</v>
      </c>
      <c r="R458" s="2" t="str">
        <f t="shared" si="325"/>
        <v>00</v>
      </c>
      <c r="T458" t="str">
        <f t="shared" si="326"/>
        <v>0001111111010000</v>
      </c>
      <c r="V458" s="9" t="str">
        <f t="shared" si="327"/>
        <v>00011111</v>
      </c>
      <c r="W458" s="9" t="str">
        <f t="shared" si="328"/>
        <v>11010000</v>
      </c>
      <c r="X458" s="9" t="str">
        <f t="shared" si="329"/>
        <v>1F</v>
      </c>
      <c r="Y458" s="9" t="str">
        <f t="shared" si="330"/>
        <v>D0</v>
      </c>
    </row>
    <row r="459" spans="1:36" x14ac:dyDescent="0.3">
      <c r="B459" s="2">
        <v>0</v>
      </c>
      <c r="C459" s="2">
        <v>0</v>
      </c>
      <c r="D459" s="2">
        <v>1</v>
      </c>
      <c r="E459" s="2">
        <v>1</v>
      </c>
      <c r="F459" s="2">
        <v>1</v>
      </c>
      <c r="G459" s="2">
        <v>0</v>
      </c>
      <c r="H459" s="2">
        <v>0</v>
      </c>
      <c r="I459" s="2">
        <v>0</v>
      </c>
      <c r="K459" s="2" t="str">
        <f t="shared" si="318"/>
        <v>00</v>
      </c>
      <c r="L459" s="2" t="str">
        <f t="shared" si="319"/>
        <v>00</v>
      </c>
      <c r="M459" s="2" t="str">
        <f t="shared" si="320"/>
        <v>01</v>
      </c>
      <c r="N459" s="2" t="str">
        <f t="shared" si="321"/>
        <v>01</v>
      </c>
      <c r="O459" s="2" t="str">
        <f t="shared" si="322"/>
        <v>01</v>
      </c>
      <c r="P459" s="2" t="str">
        <f t="shared" si="323"/>
        <v>00</v>
      </c>
      <c r="Q459" s="2" t="str">
        <f t="shared" si="324"/>
        <v>00</v>
      </c>
      <c r="R459" s="2" t="str">
        <f t="shared" si="325"/>
        <v>00</v>
      </c>
      <c r="T459" t="str">
        <f t="shared" si="326"/>
        <v>0000010101000000</v>
      </c>
      <c r="V459" s="10" t="str">
        <f t="shared" si="327"/>
        <v>00000101</v>
      </c>
      <c r="W459" s="10" t="str">
        <f t="shared" si="328"/>
        <v>01000000</v>
      </c>
      <c r="X459" s="10" t="str">
        <f t="shared" si="329"/>
        <v>05</v>
      </c>
      <c r="Y459" s="10" t="str">
        <f t="shared" si="330"/>
        <v>40</v>
      </c>
    </row>
    <row r="460" spans="1:36" x14ac:dyDescent="0.3">
      <c r="A460" t="s">
        <v>49</v>
      </c>
      <c r="AJ460" t="str">
        <f>";"&amp;PROPER(A460)</f>
        <v>;Bomb 3</v>
      </c>
    </row>
    <row r="461" spans="1:36" x14ac:dyDescent="0.3"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K461" s="2" t="str">
        <f t="shared" ref="K461:K476" si="332">DEC2BIN(B461,2)</f>
        <v>00</v>
      </c>
      <c r="L461" s="2" t="str">
        <f t="shared" ref="L461:L476" si="333">DEC2BIN(C461,2)</f>
        <v>00</v>
      </c>
      <c r="M461" s="2" t="str">
        <f t="shared" ref="M461:M476" si="334">DEC2BIN(D461,2)</f>
        <v>00</v>
      </c>
      <c r="N461" s="2" t="str">
        <f t="shared" ref="N461:N476" si="335">DEC2BIN(E461,2)</f>
        <v>00</v>
      </c>
      <c r="O461" s="2" t="str">
        <f t="shared" ref="O461:O476" si="336">DEC2BIN(F461,2)</f>
        <v>00</v>
      </c>
      <c r="P461" s="2" t="str">
        <f t="shared" ref="P461:P476" si="337">DEC2BIN(G461,2)</f>
        <v>00</v>
      </c>
      <c r="Q461" s="2" t="str">
        <f t="shared" ref="Q461:Q476" si="338">DEC2BIN(H461,2)</f>
        <v>00</v>
      </c>
      <c r="R461" s="2" t="str">
        <f t="shared" ref="R461:R476" si="339">DEC2BIN(I461,2)</f>
        <v>00</v>
      </c>
      <c r="T461" t="str">
        <f t="shared" ref="T461:T476" si="340">_xlfn.CONCAT(K461:R461)</f>
        <v>0000000000000000</v>
      </c>
      <c r="V461" s="8" t="str">
        <f>LEFT(T461,8)</f>
        <v>00000000</v>
      </c>
      <c r="W461" s="8" t="str">
        <f>RIGHT(T461,8)</f>
        <v>00000000</v>
      </c>
      <c r="X461" s="8" t="str">
        <f>BIN2HEX(V461,2)</f>
        <v>00</v>
      </c>
      <c r="Y461" s="8" t="str">
        <f>BIN2HEX(W461,2)</f>
        <v>00</v>
      </c>
      <c r="AA461" t="str" cm="1">
        <f t="array" ref="AA461:AH461">TRANSPOSE(X461:X468)</f>
        <v>00</v>
      </c>
      <c r="AB461" t="str">
        <v>00</v>
      </c>
      <c r="AC461" t="str">
        <v>00</v>
      </c>
      <c r="AD461" t="str">
        <v>00</v>
      </c>
      <c r="AE461" t="str">
        <v>02</v>
      </c>
      <c r="AF461" t="str">
        <v>07</v>
      </c>
      <c r="AG461" t="str">
        <v>1F</v>
      </c>
      <c r="AH461" t="str">
        <v>70</v>
      </c>
      <c r="AJ461" t="str">
        <f>LOWER("!byte $"&amp;AA461&amp;", $"&amp;AB461&amp;", $"&amp;AC461&amp;", $"&amp;AD461&amp;", $"&amp;AE461&amp;", $"&amp;AF461&amp;", $"&amp;AG461&amp;", $"&amp;AH461)</f>
        <v>!byte $00, $00, $00, $00, $02, $07, $1f, $70</v>
      </c>
    </row>
    <row r="462" spans="1:36" x14ac:dyDescent="0.3"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K462" s="2" t="str">
        <f t="shared" si="332"/>
        <v>00</v>
      </c>
      <c r="L462" s="2" t="str">
        <f t="shared" si="333"/>
        <v>00</v>
      </c>
      <c r="M462" s="2" t="str">
        <f t="shared" si="334"/>
        <v>00</v>
      </c>
      <c r="N462" s="2" t="str">
        <f t="shared" si="335"/>
        <v>00</v>
      </c>
      <c r="O462" s="2" t="str">
        <f t="shared" si="336"/>
        <v>00</v>
      </c>
      <c r="P462" s="2" t="str">
        <f t="shared" si="337"/>
        <v>00</v>
      </c>
      <c r="Q462" s="2" t="str">
        <f t="shared" si="338"/>
        <v>00</v>
      </c>
      <c r="R462" s="2" t="str">
        <f t="shared" si="339"/>
        <v>00</v>
      </c>
      <c r="T462" t="str">
        <f t="shared" si="340"/>
        <v>0000000000000000</v>
      </c>
      <c r="V462" s="9" t="str">
        <f t="shared" ref="V462:V476" si="341">LEFT(T462,8)</f>
        <v>00000000</v>
      </c>
      <c r="W462" s="9" t="str">
        <f t="shared" ref="W462:W476" si="342">RIGHT(T462,8)</f>
        <v>00000000</v>
      </c>
      <c r="X462" s="9" t="str">
        <f t="shared" ref="X462:X476" si="343">BIN2HEX(V462,2)</f>
        <v>00</v>
      </c>
      <c r="Y462" s="9" t="str">
        <f t="shared" ref="Y462:Y476" si="344">BIN2HEX(W462,2)</f>
        <v>00</v>
      </c>
      <c r="AA462" t="str" cm="1">
        <f t="array" ref="AA462:AH462">TRANSPOSE(X469:X476)</f>
        <v>73</v>
      </c>
      <c r="AB462" t="str">
        <v>7F</v>
      </c>
      <c r="AC462" t="str">
        <v>70</v>
      </c>
      <c r="AD462" t="str">
        <v>73</v>
      </c>
      <c r="AE462" t="str">
        <v>73</v>
      </c>
      <c r="AF462" t="str">
        <v>70</v>
      </c>
      <c r="AG462" t="str">
        <v>1F</v>
      </c>
      <c r="AH462" t="str">
        <v>05</v>
      </c>
      <c r="AJ462" t="str">
        <f t="shared" ref="AJ462:AJ464" si="345">LOWER("!byte $"&amp;AA462&amp;", $"&amp;AB462&amp;", $"&amp;AC462&amp;", $"&amp;AD462&amp;", $"&amp;AE462&amp;", $"&amp;AF462&amp;", $"&amp;AG462&amp;", $"&amp;AH462)</f>
        <v>!byte $73, $7f, $70, $73, $73, $70, $1f, $05</v>
      </c>
    </row>
    <row r="463" spans="1:36" x14ac:dyDescent="0.3"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K463" s="2" t="str">
        <f t="shared" si="332"/>
        <v>00</v>
      </c>
      <c r="L463" s="2" t="str">
        <f t="shared" si="333"/>
        <v>00</v>
      </c>
      <c r="M463" s="2" t="str">
        <f t="shared" si="334"/>
        <v>00</v>
      </c>
      <c r="N463" s="2" t="str">
        <f t="shared" si="335"/>
        <v>00</v>
      </c>
      <c r="O463" s="2" t="str">
        <f t="shared" si="336"/>
        <v>00</v>
      </c>
      <c r="P463" s="2" t="str">
        <f t="shared" si="337"/>
        <v>00</v>
      </c>
      <c r="Q463" s="2" t="str">
        <f t="shared" si="338"/>
        <v>00</v>
      </c>
      <c r="R463" s="2" t="str">
        <f t="shared" si="339"/>
        <v>00</v>
      </c>
      <c r="T463" t="str">
        <f t="shared" si="340"/>
        <v>0000000000000000</v>
      </c>
      <c r="V463" s="9" t="str">
        <f t="shared" si="341"/>
        <v>00000000</v>
      </c>
      <c r="W463" s="9" t="str">
        <f t="shared" si="342"/>
        <v>00000000</v>
      </c>
      <c r="X463" s="9" t="str">
        <f t="shared" si="343"/>
        <v>00</v>
      </c>
      <c r="Y463" s="9" t="str">
        <f t="shared" si="344"/>
        <v>00</v>
      </c>
      <c r="AA463" t="str" cm="1">
        <f t="array" ref="AA463:AH463">TRANSPOSE(Y461:Y468)</f>
        <v>00</v>
      </c>
      <c r="AB463" t="str">
        <v>00</v>
      </c>
      <c r="AC463" t="str">
        <v>00</v>
      </c>
      <c r="AD463" t="str">
        <v>80</v>
      </c>
      <c r="AE463" t="str">
        <v>00</v>
      </c>
      <c r="AF463" t="str">
        <v>40</v>
      </c>
      <c r="AG463" t="str">
        <v>D0</v>
      </c>
      <c r="AH463" t="str">
        <v>34</v>
      </c>
      <c r="AJ463" t="str">
        <f t="shared" si="345"/>
        <v>!byte $00, $00, $00, $80, $00, $40, $d0, $34</v>
      </c>
    </row>
    <row r="464" spans="1:36" x14ac:dyDescent="0.3">
      <c r="B464" s="2">
        <v>0</v>
      </c>
      <c r="C464" s="2">
        <v>0</v>
      </c>
      <c r="D464" s="2">
        <v>0</v>
      </c>
      <c r="E464" s="2">
        <v>0</v>
      </c>
      <c r="F464" s="2">
        <v>2</v>
      </c>
      <c r="G464" s="2">
        <v>0</v>
      </c>
      <c r="H464" s="2">
        <v>0</v>
      </c>
      <c r="I464" s="2">
        <v>0</v>
      </c>
      <c r="K464" s="2" t="str">
        <f t="shared" si="332"/>
        <v>00</v>
      </c>
      <c r="L464" s="2" t="str">
        <f t="shared" si="333"/>
        <v>00</v>
      </c>
      <c r="M464" s="2" t="str">
        <f t="shared" si="334"/>
        <v>00</v>
      </c>
      <c r="N464" s="2" t="str">
        <f t="shared" si="335"/>
        <v>00</v>
      </c>
      <c r="O464" s="2" t="str">
        <f t="shared" si="336"/>
        <v>10</v>
      </c>
      <c r="P464" s="2" t="str">
        <f t="shared" si="337"/>
        <v>00</v>
      </c>
      <c r="Q464" s="2" t="str">
        <f t="shared" si="338"/>
        <v>00</v>
      </c>
      <c r="R464" s="2" t="str">
        <f t="shared" si="339"/>
        <v>00</v>
      </c>
      <c r="T464" t="str">
        <f t="shared" si="340"/>
        <v>0000000010000000</v>
      </c>
      <c r="V464" s="9" t="str">
        <f t="shared" si="341"/>
        <v>00000000</v>
      </c>
      <c r="W464" s="9" t="str">
        <f t="shared" si="342"/>
        <v>10000000</v>
      </c>
      <c r="X464" s="9" t="str">
        <f t="shared" si="343"/>
        <v>00</v>
      </c>
      <c r="Y464" s="9" t="str">
        <f t="shared" si="344"/>
        <v>80</v>
      </c>
      <c r="AA464" t="str" cm="1">
        <f t="array" ref="AA464:AH464">TRANSPOSE(Y469:Y476)</f>
        <v>34</v>
      </c>
      <c r="AB464" t="str">
        <v>34</v>
      </c>
      <c r="AC464" t="str">
        <v>34</v>
      </c>
      <c r="AD464" t="str">
        <v>F4</v>
      </c>
      <c r="AE464" t="str">
        <v>F4</v>
      </c>
      <c r="AF464" t="str">
        <v>34</v>
      </c>
      <c r="AG464" t="str">
        <v>D0</v>
      </c>
      <c r="AH464" t="str">
        <v>40</v>
      </c>
      <c r="AJ464" t="str">
        <f t="shared" si="345"/>
        <v>!byte $34, $34, $34, $f4, $f4, $34, $d0, $40</v>
      </c>
    </row>
    <row r="465" spans="1:36" x14ac:dyDescent="0.3">
      <c r="B465" s="2">
        <v>0</v>
      </c>
      <c r="C465" s="2">
        <v>0</v>
      </c>
      <c r="D465" s="2">
        <v>0</v>
      </c>
      <c r="E465" s="2">
        <v>2</v>
      </c>
      <c r="F465" s="2">
        <v>0</v>
      </c>
      <c r="G465" s="2">
        <v>0</v>
      </c>
      <c r="H465" s="2">
        <v>0</v>
      </c>
      <c r="I465" s="2">
        <v>0</v>
      </c>
      <c r="K465" s="2" t="str">
        <f t="shared" si="332"/>
        <v>00</v>
      </c>
      <c r="L465" s="2" t="str">
        <f t="shared" si="333"/>
        <v>00</v>
      </c>
      <c r="M465" s="2" t="str">
        <f t="shared" si="334"/>
        <v>00</v>
      </c>
      <c r="N465" s="2" t="str">
        <f t="shared" si="335"/>
        <v>10</v>
      </c>
      <c r="O465" s="2" t="str">
        <f t="shared" si="336"/>
        <v>00</v>
      </c>
      <c r="P465" s="2" t="str">
        <f t="shared" si="337"/>
        <v>00</v>
      </c>
      <c r="Q465" s="2" t="str">
        <f t="shared" si="338"/>
        <v>00</v>
      </c>
      <c r="R465" s="2" t="str">
        <f t="shared" si="339"/>
        <v>00</v>
      </c>
      <c r="T465" t="str">
        <f t="shared" si="340"/>
        <v>0000001000000000</v>
      </c>
      <c r="V465" s="9" t="str">
        <f t="shared" si="341"/>
        <v>00000010</v>
      </c>
      <c r="W465" s="9" t="str">
        <f t="shared" si="342"/>
        <v>00000000</v>
      </c>
      <c r="X465" s="9" t="str">
        <f t="shared" si="343"/>
        <v>02</v>
      </c>
      <c r="Y465" s="9" t="str">
        <f t="shared" si="344"/>
        <v>00</v>
      </c>
    </row>
    <row r="466" spans="1:36" x14ac:dyDescent="0.3">
      <c r="B466" s="2">
        <v>0</v>
      </c>
      <c r="C466" s="2">
        <v>0</v>
      </c>
      <c r="D466" s="2">
        <v>1</v>
      </c>
      <c r="E466" s="2">
        <v>3</v>
      </c>
      <c r="F466" s="2">
        <v>1</v>
      </c>
      <c r="G466" s="2">
        <v>0</v>
      </c>
      <c r="H466" s="2">
        <v>0</v>
      </c>
      <c r="I466" s="2">
        <v>0</v>
      </c>
      <c r="K466" s="2" t="str">
        <f t="shared" si="332"/>
        <v>00</v>
      </c>
      <c r="L466" s="2" t="str">
        <f t="shared" si="333"/>
        <v>00</v>
      </c>
      <c r="M466" s="2" t="str">
        <f t="shared" si="334"/>
        <v>01</v>
      </c>
      <c r="N466" s="2" t="str">
        <f t="shared" si="335"/>
        <v>11</v>
      </c>
      <c r="O466" s="2" t="str">
        <f t="shared" si="336"/>
        <v>01</v>
      </c>
      <c r="P466" s="2" t="str">
        <f t="shared" si="337"/>
        <v>00</v>
      </c>
      <c r="Q466" s="2" t="str">
        <f t="shared" si="338"/>
        <v>00</v>
      </c>
      <c r="R466" s="2" t="str">
        <f t="shared" si="339"/>
        <v>00</v>
      </c>
      <c r="T466" t="str">
        <f t="shared" si="340"/>
        <v>0000011101000000</v>
      </c>
      <c r="V466" s="9" t="str">
        <f t="shared" si="341"/>
        <v>00000111</v>
      </c>
      <c r="W466" s="9" t="str">
        <f t="shared" si="342"/>
        <v>01000000</v>
      </c>
      <c r="X466" s="9" t="str">
        <f t="shared" si="343"/>
        <v>07</v>
      </c>
      <c r="Y466" s="9" t="str">
        <f t="shared" si="344"/>
        <v>40</v>
      </c>
    </row>
    <row r="467" spans="1:36" x14ac:dyDescent="0.3">
      <c r="B467" s="2">
        <v>0</v>
      </c>
      <c r="C467" s="2">
        <v>1</v>
      </c>
      <c r="D467" s="2">
        <v>3</v>
      </c>
      <c r="E467" s="2">
        <v>3</v>
      </c>
      <c r="F467" s="2">
        <v>3</v>
      </c>
      <c r="G467" s="2">
        <v>1</v>
      </c>
      <c r="H467" s="2">
        <v>0</v>
      </c>
      <c r="I467" s="2">
        <v>0</v>
      </c>
      <c r="K467" s="2" t="str">
        <f t="shared" si="332"/>
        <v>00</v>
      </c>
      <c r="L467" s="2" t="str">
        <f t="shared" si="333"/>
        <v>01</v>
      </c>
      <c r="M467" s="2" t="str">
        <f t="shared" si="334"/>
        <v>11</v>
      </c>
      <c r="N467" s="2" t="str">
        <f t="shared" si="335"/>
        <v>11</v>
      </c>
      <c r="O467" s="2" t="str">
        <f t="shared" si="336"/>
        <v>11</v>
      </c>
      <c r="P467" s="2" t="str">
        <f t="shared" si="337"/>
        <v>01</v>
      </c>
      <c r="Q467" s="2" t="str">
        <f t="shared" si="338"/>
        <v>00</v>
      </c>
      <c r="R467" s="2" t="str">
        <f t="shared" si="339"/>
        <v>00</v>
      </c>
      <c r="T467" t="str">
        <f t="shared" si="340"/>
        <v>0001111111010000</v>
      </c>
      <c r="V467" s="9" t="str">
        <f t="shared" si="341"/>
        <v>00011111</v>
      </c>
      <c r="W467" s="9" t="str">
        <f t="shared" si="342"/>
        <v>11010000</v>
      </c>
      <c r="X467" s="9" t="str">
        <f t="shared" si="343"/>
        <v>1F</v>
      </c>
      <c r="Y467" s="9" t="str">
        <f t="shared" si="344"/>
        <v>D0</v>
      </c>
    </row>
    <row r="468" spans="1:36" x14ac:dyDescent="0.3">
      <c r="B468" s="2">
        <v>1</v>
      </c>
      <c r="C468" s="2">
        <v>3</v>
      </c>
      <c r="D468" s="2">
        <v>0</v>
      </c>
      <c r="E468" s="2">
        <v>0</v>
      </c>
      <c r="F468" s="2">
        <v>0</v>
      </c>
      <c r="G468" s="2">
        <v>3</v>
      </c>
      <c r="H468" s="2">
        <v>1</v>
      </c>
      <c r="I468" s="2">
        <v>0</v>
      </c>
      <c r="K468" s="2" t="str">
        <f t="shared" si="332"/>
        <v>01</v>
      </c>
      <c r="L468" s="2" t="str">
        <f t="shared" si="333"/>
        <v>11</v>
      </c>
      <c r="M468" s="2" t="str">
        <f t="shared" si="334"/>
        <v>00</v>
      </c>
      <c r="N468" s="2" t="str">
        <f t="shared" si="335"/>
        <v>00</v>
      </c>
      <c r="O468" s="2" t="str">
        <f t="shared" si="336"/>
        <v>00</v>
      </c>
      <c r="P468" s="2" t="str">
        <f t="shared" si="337"/>
        <v>11</v>
      </c>
      <c r="Q468" s="2" t="str">
        <f t="shared" si="338"/>
        <v>01</v>
      </c>
      <c r="R468" s="2" t="str">
        <f t="shared" si="339"/>
        <v>00</v>
      </c>
      <c r="T468" t="str">
        <f t="shared" si="340"/>
        <v>0111000000110100</v>
      </c>
      <c r="V468" s="10" t="str">
        <f t="shared" si="341"/>
        <v>01110000</v>
      </c>
      <c r="W468" s="10" t="str">
        <f t="shared" si="342"/>
        <v>00110100</v>
      </c>
      <c r="X468" s="10" t="str">
        <f t="shared" si="343"/>
        <v>70</v>
      </c>
      <c r="Y468" s="10" t="str">
        <f t="shared" si="344"/>
        <v>34</v>
      </c>
    </row>
    <row r="469" spans="1:36" x14ac:dyDescent="0.3">
      <c r="B469" s="2">
        <v>1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1</v>
      </c>
      <c r="I469" s="2">
        <v>0</v>
      </c>
      <c r="K469" s="2" t="str">
        <f t="shared" si="332"/>
        <v>01</v>
      </c>
      <c r="L469" s="2" t="str">
        <f t="shared" si="333"/>
        <v>11</v>
      </c>
      <c r="M469" s="2" t="str">
        <f t="shared" si="334"/>
        <v>00</v>
      </c>
      <c r="N469" s="2" t="str">
        <f t="shared" si="335"/>
        <v>11</v>
      </c>
      <c r="O469" s="2" t="str">
        <f t="shared" si="336"/>
        <v>00</v>
      </c>
      <c r="P469" s="2" t="str">
        <f t="shared" si="337"/>
        <v>11</v>
      </c>
      <c r="Q469" s="2" t="str">
        <f t="shared" si="338"/>
        <v>01</v>
      </c>
      <c r="R469" s="2" t="str">
        <f t="shared" si="339"/>
        <v>00</v>
      </c>
      <c r="T469" t="str">
        <f t="shared" si="340"/>
        <v>0111001100110100</v>
      </c>
      <c r="V469" s="8" t="str">
        <f t="shared" si="341"/>
        <v>01110011</v>
      </c>
      <c r="W469" s="8" t="str">
        <f t="shared" si="342"/>
        <v>00110100</v>
      </c>
      <c r="X469" s="8" t="str">
        <f t="shared" si="343"/>
        <v>73</v>
      </c>
      <c r="Y469" s="8" t="str">
        <f t="shared" si="344"/>
        <v>34</v>
      </c>
    </row>
    <row r="470" spans="1:36" x14ac:dyDescent="0.3">
      <c r="B470" s="2">
        <v>1</v>
      </c>
      <c r="C470" s="2">
        <v>3</v>
      </c>
      <c r="D470" s="2">
        <v>3</v>
      </c>
      <c r="E470" s="2">
        <v>3</v>
      </c>
      <c r="F470" s="2">
        <v>0</v>
      </c>
      <c r="G470" s="2">
        <v>3</v>
      </c>
      <c r="H470" s="2">
        <v>1</v>
      </c>
      <c r="I470" s="2">
        <v>0</v>
      </c>
      <c r="K470" s="2" t="str">
        <f t="shared" si="332"/>
        <v>01</v>
      </c>
      <c r="L470" s="2" t="str">
        <f t="shared" si="333"/>
        <v>11</v>
      </c>
      <c r="M470" s="2" t="str">
        <f t="shared" si="334"/>
        <v>11</v>
      </c>
      <c r="N470" s="2" t="str">
        <f t="shared" si="335"/>
        <v>11</v>
      </c>
      <c r="O470" s="2" t="str">
        <f t="shared" si="336"/>
        <v>00</v>
      </c>
      <c r="P470" s="2" t="str">
        <f t="shared" si="337"/>
        <v>11</v>
      </c>
      <c r="Q470" s="2" t="str">
        <f t="shared" si="338"/>
        <v>01</v>
      </c>
      <c r="R470" s="2" t="str">
        <f t="shared" si="339"/>
        <v>00</v>
      </c>
      <c r="T470" t="str">
        <f t="shared" si="340"/>
        <v>0111111100110100</v>
      </c>
      <c r="V470" s="9" t="str">
        <f t="shared" si="341"/>
        <v>01111111</v>
      </c>
      <c r="W470" s="9" t="str">
        <f t="shared" si="342"/>
        <v>00110100</v>
      </c>
      <c r="X470" s="9" t="str">
        <f t="shared" si="343"/>
        <v>7F</v>
      </c>
      <c r="Y470" s="9" t="str">
        <f t="shared" si="344"/>
        <v>34</v>
      </c>
    </row>
    <row r="471" spans="1:36" x14ac:dyDescent="0.3">
      <c r="B471" s="2">
        <v>1</v>
      </c>
      <c r="C471" s="2">
        <v>3</v>
      </c>
      <c r="D471" s="2">
        <v>0</v>
      </c>
      <c r="E471" s="2">
        <v>0</v>
      </c>
      <c r="F471" s="2">
        <v>0</v>
      </c>
      <c r="G471" s="2">
        <v>3</v>
      </c>
      <c r="H471" s="2">
        <v>1</v>
      </c>
      <c r="I471" s="2">
        <v>0</v>
      </c>
      <c r="K471" s="2" t="str">
        <f t="shared" si="332"/>
        <v>01</v>
      </c>
      <c r="L471" s="2" t="str">
        <f t="shared" si="333"/>
        <v>11</v>
      </c>
      <c r="M471" s="2" t="str">
        <f t="shared" si="334"/>
        <v>00</v>
      </c>
      <c r="N471" s="2" t="str">
        <f t="shared" si="335"/>
        <v>00</v>
      </c>
      <c r="O471" s="2" t="str">
        <f t="shared" si="336"/>
        <v>00</v>
      </c>
      <c r="P471" s="2" t="str">
        <f t="shared" si="337"/>
        <v>11</v>
      </c>
      <c r="Q471" s="2" t="str">
        <f t="shared" si="338"/>
        <v>01</v>
      </c>
      <c r="R471" s="2" t="str">
        <f t="shared" si="339"/>
        <v>00</v>
      </c>
      <c r="T471" t="str">
        <f t="shared" si="340"/>
        <v>0111000000110100</v>
      </c>
      <c r="V471" s="9" t="str">
        <f t="shared" si="341"/>
        <v>01110000</v>
      </c>
      <c r="W471" s="9" t="str">
        <f t="shared" si="342"/>
        <v>00110100</v>
      </c>
      <c r="X471" s="9" t="str">
        <f t="shared" si="343"/>
        <v>70</v>
      </c>
      <c r="Y471" s="9" t="str">
        <f t="shared" si="344"/>
        <v>34</v>
      </c>
    </row>
    <row r="472" spans="1:36" x14ac:dyDescent="0.3">
      <c r="B472" s="2">
        <v>1</v>
      </c>
      <c r="C472" s="2">
        <v>3</v>
      </c>
      <c r="D472" s="2">
        <v>0</v>
      </c>
      <c r="E472" s="2">
        <v>3</v>
      </c>
      <c r="F472" s="2">
        <v>3</v>
      </c>
      <c r="G472" s="2">
        <v>3</v>
      </c>
      <c r="H472" s="2">
        <v>1</v>
      </c>
      <c r="I472" s="2">
        <v>0</v>
      </c>
      <c r="K472" s="2" t="str">
        <f t="shared" si="332"/>
        <v>01</v>
      </c>
      <c r="L472" s="2" t="str">
        <f t="shared" si="333"/>
        <v>11</v>
      </c>
      <c r="M472" s="2" t="str">
        <f t="shared" si="334"/>
        <v>00</v>
      </c>
      <c r="N472" s="2" t="str">
        <f t="shared" si="335"/>
        <v>11</v>
      </c>
      <c r="O472" s="2" t="str">
        <f t="shared" si="336"/>
        <v>11</v>
      </c>
      <c r="P472" s="2" t="str">
        <f t="shared" si="337"/>
        <v>11</v>
      </c>
      <c r="Q472" s="2" t="str">
        <f t="shared" si="338"/>
        <v>01</v>
      </c>
      <c r="R472" s="2" t="str">
        <f t="shared" si="339"/>
        <v>00</v>
      </c>
      <c r="T472" t="str">
        <f t="shared" si="340"/>
        <v>0111001111110100</v>
      </c>
      <c r="V472" s="9" t="str">
        <f t="shared" si="341"/>
        <v>01110011</v>
      </c>
      <c r="W472" s="9" t="str">
        <f t="shared" si="342"/>
        <v>11110100</v>
      </c>
      <c r="X472" s="9" t="str">
        <f t="shared" si="343"/>
        <v>73</v>
      </c>
      <c r="Y472" s="9" t="str">
        <f t="shared" si="344"/>
        <v>F4</v>
      </c>
    </row>
    <row r="473" spans="1:36" x14ac:dyDescent="0.3">
      <c r="B473" s="2">
        <v>1</v>
      </c>
      <c r="C473" s="2">
        <v>3</v>
      </c>
      <c r="D473" s="2">
        <v>0</v>
      </c>
      <c r="E473" s="2">
        <v>3</v>
      </c>
      <c r="F473" s="2">
        <v>3</v>
      </c>
      <c r="G473" s="2">
        <v>3</v>
      </c>
      <c r="H473" s="2">
        <v>1</v>
      </c>
      <c r="I473" s="2">
        <v>0</v>
      </c>
      <c r="K473" s="2" t="str">
        <f t="shared" si="332"/>
        <v>01</v>
      </c>
      <c r="L473" s="2" t="str">
        <f t="shared" si="333"/>
        <v>11</v>
      </c>
      <c r="M473" s="2" t="str">
        <f t="shared" si="334"/>
        <v>00</v>
      </c>
      <c r="N473" s="2" t="str">
        <f t="shared" si="335"/>
        <v>11</v>
      </c>
      <c r="O473" s="2" t="str">
        <f t="shared" si="336"/>
        <v>11</v>
      </c>
      <c r="P473" s="2" t="str">
        <f t="shared" si="337"/>
        <v>11</v>
      </c>
      <c r="Q473" s="2" t="str">
        <f t="shared" si="338"/>
        <v>01</v>
      </c>
      <c r="R473" s="2" t="str">
        <f t="shared" si="339"/>
        <v>00</v>
      </c>
      <c r="T473" t="str">
        <f t="shared" si="340"/>
        <v>0111001111110100</v>
      </c>
      <c r="V473" s="9" t="str">
        <f t="shared" si="341"/>
        <v>01110011</v>
      </c>
      <c r="W473" s="9" t="str">
        <f t="shared" si="342"/>
        <v>11110100</v>
      </c>
      <c r="X473" s="9" t="str">
        <f t="shared" si="343"/>
        <v>73</v>
      </c>
      <c r="Y473" s="9" t="str">
        <f t="shared" si="344"/>
        <v>F4</v>
      </c>
    </row>
    <row r="474" spans="1:36" x14ac:dyDescent="0.3">
      <c r="B474" s="2">
        <v>1</v>
      </c>
      <c r="C474" s="2">
        <v>3</v>
      </c>
      <c r="D474" s="2">
        <v>0</v>
      </c>
      <c r="E474" s="2">
        <v>0</v>
      </c>
      <c r="F474" s="2">
        <v>0</v>
      </c>
      <c r="G474" s="2">
        <v>3</v>
      </c>
      <c r="H474" s="2">
        <v>1</v>
      </c>
      <c r="I474" s="2">
        <v>0</v>
      </c>
      <c r="K474" s="2" t="str">
        <f t="shared" si="332"/>
        <v>01</v>
      </c>
      <c r="L474" s="2" t="str">
        <f t="shared" si="333"/>
        <v>11</v>
      </c>
      <c r="M474" s="2" t="str">
        <f t="shared" si="334"/>
        <v>00</v>
      </c>
      <c r="N474" s="2" t="str">
        <f t="shared" si="335"/>
        <v>00</v>
      </c>
      <c r="O474" s="2" t="str">
        <f t="shared" si="336"/>
        <v>00</v>
      </c>
      <c r="P474" s="2" t="str">
        <f t="shared" si="337"/>
        <v>11</v>
      </c>
      <c r="Q474" s="2" t="str">
        <f t="shared" si="338"/>
        <v>01</v>
      </c>
      <c r="R474" s="2" t="str">
        <f t="shared" si="339"/>
        <v>00</v>
      </c>
      <c r="T474" t="str">
        <f t="shared" si="340"/>
        <v>0111000000110100</v>
      </c>
      <c r="V474" s="9" t="str">
        <f t="shared" si="341"/>
        <v>01110000</v>
      </c>
      <c r="W474" s="9" t="str">
        <f t="shared" si="342"/>
        <v>00110100</v>
      </c>
      <c r="X474" s="9" t="str">
        <f t="shared" si="343"/>
        <v>70</v>
      </c>
      <c r="Y474" s="9" t="str">
        <f t="shared" si="344"/>
        <v>34</v>
      </c>
    </row>
    <row r="475" spans="1:36" x14ac:dyDescent="0.3">
      <c r="B475" s="2">
        <v>0</v>
      </c>
      <c r="C475" s="2">
        <v>1</v>
      </c>
      <c r="D475" s="2">
        <v>3</v>
      </c>
      <c r="E475" s="2">
        <v>3</v>
      </c>
      <c r="F475" s="2">
        <v>3</v>
      </c>
      <c r="G475" s="2">
        <v>1</v>
      </c>
      <c r="H475" s="2">
        <v>0</v>
      </c>
      <c r="I475" s="2">
        <v>0</v>
      </c>
      <c r="K475" s="2" t="str">
        <f t="shared" si="332"/>
        <v>00</v>
      </c>
      <c r="L475" s="2" t="str">
        <f t="shared" si="333"/>
        <v>01</v>
      </c>
      <c r="M475" s="2" t="str">
        <f t="shared" si="334"/>
        <v>11</v>
      </c>
      <c r="N475" s="2" t="str">
        <f t="shared" si="335"/>
        <v>11</v>
      </c>
      <c r="O475" s="2" t="str">
        <f t="shared" si="336"/>
        <v>11</v>
      </c>
      <c r="P475" s="2" t="str">
        <f t="shared" si="337"/>
        <v>01</v>
      </c>
      <c r="Q475" s="2" t="str">
        <f t="shared" si="338"/>
        <v>00</v>
      </c>
      <c r="R475" s="2" t="str">
        <f t="shared" si="339"/>
        <v>00</v>
      </c>
      <c r="T475" t="str">
        <f t="shared" si="340"/>
        <v>0001111111010000</v>
      </c>
      <c r="V475" s="9" t="str">
        <f t="shared" si="341"/>
        <v>00011111</v>
      </c>
      <c r="W475" s="9" t="str">
        <f t="shared" si="342"/>
        <v>11010000</v>
      </c>
      <c r="X475" s="9" t="str">
        <f t="shared" si="343"/>
        <v>1F</v>
      </c>
      <c r="Y475" s="9" t="str">
        <f t="shared" si="344"/>
        <v>D0</v>
      </c>
    </row>
    <row r="476" spans="1:36" x14ac:dyDescent="0.3">
      <c r="B476" s="2">
        <v>0</v>
      </c>
      <c r="C476" s="2">
        <v>0</v>
      </c>
      <c r="D476" s="2">
        <v>1</v>
      </c>
      <c r="E476" s="2">
        <v>1</v>
      </c>
      <c r="F476" s="2">
        <v>1</v>
      </c>
      <c r="G476" s="2">
        <v>0</v>
      </c>
      <c r="H476" s="2">
        <v>0</v>
      </c>
      <c r="I476" s="2">
        <v>0</v>
      </c>
      <c r="K476" s="2" t="str">
        <f t="shared" si="332"/>
        <v>00</v>
      </c>
      <c r="L476" s="2" t="str">
        <f t="shared" si="333"/>
        <v>00</v>
      </c>
      <c r="M476" s="2" t="str">
        <f t="shared" si="334"/>
        <v>01</v>
      </c>
      <c r="N476" s="2" t="str">
        <f t="shared" si="335"/>
        <v>01</v>
      </c>
      <c r="O476" s="2" t="str">
        <f t="shared" si="336"/>
        <v>01</v>
      </c>
      <c r="P476" s="2" t="str">
        <f t="shared" si="337"/>
        <v>00</v>
      </c>
      <c r="Q476" s="2" t="str">
        <f t="shared" si="338"/>
        <v>00</v>
      </c>
      <c r="R476" s="2" t="str">
        <f t="shared" si="339"/>
        <v>00</v>
      </c>
      <c r="T476" t="str">
        <f t="shared" si="340"/>
        <v>0000010101000000</v>
      </c>
      <c r="V476" s="10" t="str">
        <f t="shared" si="341"/>
        <v>00000101</v>
      </c>
      <c r="W476" s="10" t="str">
        <f t="shared" si="342"/>
        <v>01000000</v>
      </c>
      <c r="X476" s="10" t="str">
        <f t="shared" si="343"/>
        <v>05</v>
      </c>
      <c r="Y476" s="10" t="str">
        <f t="shared" si="344"/>
        <v>40</v>
      </c>
    </row>
    <row r="477" spans="1:36" x14ac:dyDescent="0.3">
      <c r="A477" t="s">
        <v>50</v>
      </c>
      <c r="AJ477" t="str">
        <f>";"&amp;PROPER(A477)</f>
        <v>;Bomb 4</v>
      </c>
    </row>
    <row r="478" spans="1:36" x14ac:dyDescent="0.3"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K478" s="2" t="str">
        <f t="shared" ref="K478:K493" si="346">DEC2BIN(B478,2)</f>
        <v>00</v>
      </c>
      <c r="L478" s="2" t="str">
        <f t="shared" ref="L478:L493" si="347">DEC2BIN(C478,2)</f>
        <v>00</v>
      </c>
      <c r="M478" s="2" t="str">
        <f t="shared" ref="M478:M493" si="348">DEC2BIN(D478,2)</f>
        <v>00</v>
      </c>
      <c r="N478" s="2" t="str">
        <f t="shared" ref="N478:N493" si="349">DEC2BIN(E478,2)</f>
        <v>00</v>
      </c>
      <c r="O478" s="2" t="str">
        <f t="shared" ref="O478:O493" si="350">DEC2BIN(F478,2)</f>
        <v>00</v>
      </c>
      <c r="P478" s="2" t="str">
        <f t="shared" ref="P478:P493" si="351">DEC2BIN(G478,2)</f>
        <v>00</v>
      </c>
      <c r="Q478" s="2" t="str">
        <f t="shared" ref="Q478:Q493" si="352">DEC2BIN(H478,2)</f>
        <v>00</v>
      </c>
      <c r="R478" s="2" t="str">
        <f t="shared" ref="R478:R493" si="353">DEC2BIN(I478,2)</f>
        <v>00</v>
      </c>
      <c r="T478" t="str">
        <f t="shared" ref="T478:T493" si="354">_xlfn.CONCAT(K478:R478)</f>
        <v>0000000000000000</v>
      </c>
      <c r="V478" s="8" t="str">
        <f>LEFT(T478,8)</f>
        <v>00000000</v>
      </c>
      <c r="W478" s="8" t="str">
        <f>RIGHT(T478,8)</f>
        <v>00000000</v>
      </c>
      <c r="X478" s="8" t="str">
        <f>BIN2HEX(V478,2)</f>
        <v>00</v>
      </c>
      <c r="Y478" s="8" t="str">
        <f>BIN2HEX(W478,2)</f>
        <v>00</v>
      </c>
      <c r="AA478" t="str" cm="1">
        <f t="array" ref="AA478:AH478">TRANSPOSE(X478:X485)</f>
        <v>00</v>
      </c>
      <c r="AB478" t="str">
        <v>00</v>
      </c>
      <c r="AC478" t="str">
        <v>08</v>
      </c>
      <c r="AD478" t="str">
        <v>02</v>
      </c>
      <c r="AE478" t="str">
        <v>01</v>
      </c>
      <c r="AF478" t="str">
        <v>07</v>
      </c>
      <c r="AG478" t="str">
        <v>1F</v>
      </c>
      <c r="AH478" t="str">
        <v>70</v>
      </c>
      <c r="AJ478" t="str">
        <f>LOWER("!byte $"&amp;AA478&amp;", $"&amp;AB478&amp;", $"&amp;AC478&amp;", $"&amp;AD478&amp;", $"&amp;AE478&amp;", $"&amp;AF478&amp;", $"&amp;AG478&amp;", $"&amp;AH478)</f>
        <v>!byte $00, $00, $08, $02, $01, $07, $1f, $70</v>
      </c>
    </row>
    <row r="479" spans="1:36" x14ac:dyDescent="0.3"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K479" s="2" t="str">
        <f t="shared" si="346"/>
        <v>00</v>
      </c>
      <c r="L479" s="2" t="str">
        <f t="shared" si="347"/>
        <v>00</v>
      </c>
      <c r="M479" s="2" t="str">
        <f t="shared" si="348"/>
        <v>00</v>
      </c>
      <c r="N479" s="2" t="str">
        <f t="shared" si="349"/>
        <v>00</v>
      </c>
      <c r="O479" s="2" t="str">
        <f t="shared" si="350"/>
        <v>00</v>
      </c>
      <c r="P479" s="2" t="str">
        <f t="shared" si="351"/>
        <v>00</v>
      </c>
      <c r="Q479" s="2" t="str">
        <f t="shared" si="352"/>
        <v>00</v>
      </c>
      <c r="R479" s="2" t="str">
        <f t="shared" si="353"/>
        <v>00</v>
      </c>
      <c r="T479" t="str">
        <f t="shared" si="354"/>
        <v>0000000000000000</v>
      </c>
      <c r="V479" s="9" t="str">
        <f t="shared" ref="V479:V493" si="355">LEFT(T479,8)</f>
        <v>00000000</v>
      </c>
      <c r="W479" s="9" t="str">
        <f t="shared" ref="W479:W493" si="356">RIGHT(T479,8)</f>
        <v>00000000</v>
      </c>
      <c r="X479" s="9" t="str">
        <f t="shared" ref="X479:X493" si="357">BIN2HEX(V479,2)</f>
        <v>00</v>
      </c>
      <c r="Y479" s="9" t="str">
        <f t="shared" ref="Y479:Y493" si="358">BIN2HEX(W479,2)</f>
        <v>00</v>
      </c>
      <c r="AA479" t="str" cm="1">
        <f t="array" ref="AA479:AH479">TRANSPOSE(X486:X493)</f>
        <v>73</v>
      </c>
      <c r="AB479" t="str">
        <v>7F</v>
      </c>
      <c r="AC479" t="str">
        <v>7C</v>
      </c>
      <c r="AD479" t="str">
        <v>7F</v>
      </c>
      <c r="AE479" t="str">
        <v>73</v>
      </c>
      <c r="AF479" t="str">
        <v>70</v>
      </c>
      <c r="AG479" t="str">
        <v>1F</v>
      </c>
      <c r="AH479" t="str">
        <v>05</v>
      </c>
      <c r="AJ479" t="str">
        <f t="shared" ref="AJ479:AJ481" si="359">LOWER("!byte $"&amp;AA479&amp;", $"&amp;AB479&amp;", $"&amp;AC479&amp;", $"&amp;AD479&amp;", $"&amp;AE479&amp;", $"&amp;AF479&amp;", $"&amp;AG479&amp;", $"&amp;AH479)</f>
        <v>!byte $73, $7f, $7c, $7f, $73, $70, $1f, $05</v>
      </c>
    </row>
    <row r="480" spans="1:36" x14ac:dyDescent="0.3">
      <c r="B480" s="2">
        <v>0</v>
      </c>
      <c r="C480" s="2">
        <v>0</v>
      </c>
      <c r="D480" s="2">
        <v>2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K480" s="2" t="str">
        <f t="shared" si="346"/>
        <v>00</v>
      </c>
      <c r="L480" s="2" t="str">
        <f t="shared" si="347"/>
        <v>00</v>
      </c>
      <c r="M480" s="2" t="str">
        <f t="shared" si="348"/>
        <v>10</v>
      </c>
      <c r="N480" s="2" t="str">
        <f t="shared" si="349"/>
        <v>00</v>
      </c>
      <c r="O480" s="2" t="str">
        <f t="shared" si="350"/>
        <v>00</v>
      </c>
      <c r="P480" s="2" t="str">
        <f t="shared" si="351"/>
        <v>00</v>
      </c>
      <c r="Q480" s="2" t="str">
        <f t="shared" si="352"/>
        <v>00</v>
      </c>
      <c r="R480" s="2" t="str">
        <f t="shared" si="353"/>
        <v>00</v>
      </c>
      <c r="T480" t="str">
        <f t="shared" si="354"/>
        <v>0000100000000000</v>
      </c>
      <c r="V480" s="9" t="str">
        <f t="shared" si="355"/>
        <v>00001000</v>
      </c>
      <c r="W480" s="9" t="str">
        <f t="shared" si="356"/>
        <v>00000000</v>
      </c>
      <c r="X480" s="9" t="str">
        <f t="shared" si="357"/>
        <v>08</v>
      </c>
      <c r="Y480" s="9" t="str">
        <f t="shared" si="358"/>
        <v>00</v>
      </c>
      <c r="AA480" t="str" cm="1">
        <f t="array" ref="AA480:AH480">TRANSPOSE(Y478:Y485)</f>
        <v>00</v>
      </c>
      <c r="AB480" t="str">
        <v>00</v>
      </c>
      <c r="AC480" t="str">
        <v>00</v>
      </c>
      <c r="AD480" t="str">
        <v>00</v>
      </c>
      <c r="AE480" t="str">
        <v>00</v>
      </c>
      <c r="AF480" t="str">
        <v>40</v>
      </c>
      <c r="AG480" t="str">
        <v>D0</v>
      </c>
      <c r="AH480" t="str">
        <v>34</v>
      </c>
      <c r="AJ480" t="str">
        <f t="shared" si="359"/>
        <v>!byte $00, $00, $00, $00, $00, $40, $d0, $34</v>
      </c>
    </row>
    <row r="481" spans="1:36" x14ac:dyDescent="0.3">
      <c r="B481" s="2">
        <v>0</v>
      </c>
      <c r="C481" s="2">
        <v>0</v>
      </c>
      <c r="D481" s="2">
        <v>0</v>
      </c>
      <c r="E481" s="2">
        <v>2</v>
      </c>
      <c r="F481" s="2">
        <v>0</v>
      </c>
      <c r="G481" s="2">
        <v>0</v>
      </c>
      <c r="H481" s="2">
        <v>0</v>
      </c>
      <c r="I481" s="2">
        <v>0</v>
      </c>
      <c r="K481" s="2" t="str">
        <f t="shared" si="346"/>
        <v>00</v>
      </c>
      <c r="L481" s="2" t="str">
        <f t="shared" si="347"/>
        <v>00</v>
      </c>
      <c r="M481" s="2" t="str">
        <f t="shared" si="348"/>
        <v>00</v>
      </c>
      <c r="N481" s="2" t="str">
        <f t="shared" si="349"/>
        <v>10</v>
      </c>
      <c r="O481" s="2" t="str">
        <f t="shared" si="350"/>
        <v>00</v>
      </c>
      <c r="P481" s="2" t="str">
        <f t="shared" si="351"/>
        <v>00</v>
      </c>
      <c r="Q481" s="2" t="str">
        <f t="shared" si="352"/>
        <v>00</v>
      </c>
      <c r="R481" s="2" t="str">
        <f t="shared" si="353"/>
        <v>00</v>
      </c>
      <c r="T481" t="str">
        <f t="shared" si="354"/>
        <v>0000001000000000</v>
      </c>
      <c r="V481" s="9" t="str">
        <f t="shared" si="355"/>
        <v>00000010</v>
      </c>
      <c r="W481" s="9" t="str">
        <f t="shared" si="356"/>
        <v>00000000</v>
      </c>
      <c r="X481" s="9" t="str">
        <f t="shared" si="357"/>
        <v>02</v>
      </c>
      <c r="Y481" s="9" t="str">
        <f t="shared" si="358"/>
        <v>00</v>
      </c>
      <c r="AA481" t="str" cm="1">
        <f t="array" ref="AA481:AH481">TRANSPOSE(Y486:Y493)</f>
        <v>34</v>
      </c>
      <c r="AB481" t="str">
        <v>34</v>
      </c>
      <c r="AC481" t="str">
        <v>34</v>
      </c>
      <c r="AD481" t="str">
        <v>34</v>
      </c>
      <c r="AE481" t="str">
        <v>34</v>
      </c>
      <c r="AF481" t="str">
        <v>34</v>
      </c>
      <c r="AG481" t="str">
        <v>D0</v>
      </c>
      <c r="AH481" t="str">
        <v>40</v>
      </c>
      <c r="AJ481" t="str">
        <f t="shared" si="359"/>
        <v>!byte $34, $34, $34, $34, $34, $34, $d0, $40</v>
      </c>
    </row>
    <row r="482" spans="1:36" x14ac:dyDescent="0.3">
      <c r="B482" s="2">
        <v>0</v>
      </c>
      <c r="C482" s="2">
        <v>0</v>
      </c>
      <c r="D482" s="2">
        <v>0</v>
      </c>
      <c r="E482" s="2">
        <v>1</v>
      </c>
      <c r="F482" s="2">
        <v>0</v>
      </c>
      <c r="G482" s="2">
        <v>0</v>
      </c>
      <c r="H482" s="2">
        <v>0</v>
      </c>
      <c r="I482" s="2">
        <v>0</v>
      </c>
      <c r="K482" s="2" t="str">
        <f t="shared" si="346"/>
        <v>00</v>
      </c>
      <c r="L482" s="2" t="str">
        <f t="shared" si="347"/>
        <v>00</v>
      </c>
      <c r="M482" s="2" t="str">
        <f t="shared" si="348"/>
        <v>00</v>
      </c>
      <c r="N482" s="2" t="str">
        <f t="shared" si="349"/>
        <v>01</v>
      </c>
      <c r="O482" s="2" t="str">
        <f t="shared" si="350"/>
        <v>00</v>
      </c>
      <c r="P482" s="2" t="str">
        <f t="shared" si="351"/>
        <v>00</v>
      </c>
      <c r="Q482" s="2" t="str">
        <f t="shared" si="352"/>
        <v>00</v>
      </c>
      <c r="R482" s="2" t="str">
        <f t="shared" si="353"/>
        <v>00</v>
      </c>
      <c r="T482" t="str">
        <f t="shared" si="354"/>
        <v>0000000100000000</v>
      </c>
      <c r="V482" s="9" t="str">
        <f t="shared" si="355"/>
        <v>00000001</v>
      </c>
      <c r="W482" s="9" t="str">
        <f t="shared" si="356"/>
        <v>00000000</v>
      </c>
      <c r="X482" s="9" t="str">
        <f t="shared" si="357"/>
        <v>01</v>
      </c>
      <c r="Y482" s="9" t="str">
        <f t="shared" si="358"/>
        <v>00</v>
      </c>
    </row>
    <row r="483" spans="1:36" x14ac:dyDescent="0.3">
      <c r="B483" s="2">
        <v>0</v>
      </c>
      <c r="C483" s="2">
        <v>0</v>
      </c>
      <c r="D483" s="2">
        <v>1</v>
      </c>
      <c r="E483" s="2">
        <v>3</v>
      </c>
      <c r="F483" s="2">
        <v>1</v>
      </c>
      <c r="G483" s="2">
        <v>0</v>
      </c>
      <c r="H483" s="2">
        <v>0</v>
      </c>
      <c r="I483" s="2">
        <v>0</v>
      </c>
      <c r="K483" s="2" t="str">
        <f t="shared" si="346"/>
        <v>00</v>
      </c>
      <c r="L483" s="2" t="str">
        <f t="shared" si="347"/>
        <v>00</v>
      </c>
      <c r="M483" s="2" t="str">
        <f t="shared" si="348"/>
        <v>01</v>
      </c>
      <c r="N483" s="2" t="str">
        <f t="shared" si="349"/>
        <v>11</v>
      </c>
      <c r="O483" s="2" t="str">
        <f t="shared" si="350"/>
        <v>01</v>
      </c>
      <c r="P483" s="2" t="str">
        <f t="shared" si="351"/>
        <v>00</v>
      </c>
      <c r="Q483" s="2" t="str">
        <f t="shared" si="352"/>
        <v>00</v>
      </c>
      <c r="R483" s="2" t="str">
        <f t="shared" si="353"/>
        <v>00</v>
      </c>
      <c r="T483" t="str">
        <f t="shared" si="354"/>
        <v>0000011101000000</v>
      </c>
      <c r="V483" s="9" t="str">
        <f t="shared" si="355"/>
        <v>00000111</v>
      </c>
      <c r="W483" s="9" t="str">
        <f t="shared" si="356"/>
        <v>01000000</v>
      </c>
      <c r="X483" s="9" t="str">
        <f t="shared" si="357"/>
        <v>07</v>
      </c>
      <c r="Y483" s="9" t="str">
        <f t="shared" si="358"/>
        <v>40</v>
      </c>
    </row>
    <row r="484" spans="1:36" x14ac:dyDescent="0.3">
      <c r="B484" s="2">
        <v>0</v>
      </c>
      <c r="C484" s="2">
        <v>1</v>
      </c>
      <c r="D484" s="2">
        <v>3</v>
      </c>
      <c r="E484" s="2">
        <v>3</v>
      </c>
      <c r="F484" s="2">
        <v>3</v>
      </c>
      <c r="G484" s="2">
        <v>1</v>
      </c>
      <c r="H484" s="2">
        <v>0</v>
      </c>
      <c r="I484" s="2">
        <v>0</v>
      </c>
      <c r="K484" s="2" t="str">
        <f t="shared" si="346"/>
        <v>00</v>
      </c>
      <c r="L484" s="2" t="str">
        <f t="shared" si="347"/>
        <v>01</v>
      </c>
      <c r="M484" s="2" t="str">
        <f t="shared" si="348"/>
        <v>11</v>
      </c>
      <c r="N484" s="2" t="str">
        <f t="shared" si="349"/>
        <v>11</v>
      </c>
      <c r="O484" s="2" t="str">
        <f t="shared" si="350"/>
        <v>11</v>
      </c>
      <c r="P484" s="2" t="str">
        <f t="shared" si="351"/>
        <v>01</v>
      </c>
      <c r="Q484" s="2" t="str">
        <f t="shared" si="352"/>
        <v>00</v>
      </c>
      <c r="R484" s="2" t="str">
        <f t="shared" si="353"/>
        <v>00</v>
      </c>
      <c r="T484" t="str">
        <f t="shared" si="354"/>
        <v>0001111111010000</v>
      </c>
      <c r="V484" s="9" t="str">
        <f t="shared" si="355"/>
        <v>00011111</v>
      </c>
      <c r="W484" s="9" t="str">
        <f t="shared" si="356"/>
        <v>11010000</v>
      </c>
      <c r="X484" s="9" t="str">
        <f t="shared" si="357"/>
        <v>1F</v>
      </c>
      <c r="Y484" s="9" t="str">
        <f t="shared" si="358"/>
        <v>D0</v>
      </c>
    </row>
    <row r="485" spans="1:36" x14ac:dyDescent="0.3">
      <c r="B485" s="2">
        <v>1</v>
      </c>
      <c r="C485" s="2">
        <v>3</v>
      </c>
      <c r="D485" s="2">
        <v>0</v>
      </c>
      <c r="E485" s="2">
        <v>0</v>
      </c>
      <c r="F485" s="2">
        <v>0</v>
      </c>
      <c r="G485" s="2">
        <v>3</v>
      </c>
      <c r="H485" s="2">
        <v>1</v>
      </c>
      <c r="I485" s="2">
        <v>0</v>
      </c>
      <c r="K485" s="2" t="str">
        <f t="shared" si="346"/>
        <v>01</v>
      </c>
      <c r="L485" s="2" t="str">
        <f t="shared" si="347"/>
        <v>11</v>
      </c>
      <c r="M485" s="2" t="str">
        <f t="shared" si="348"/>
        <v>00</v>
      </c>
      <c r="N485" s="2" t="str">
        <f t="shared" si="349"/>
        <v>00</v>
      </c>
      <c r="O485" s="2" t="str">
        <f t="shared" si="350"/>
        <v>00</v>
      </c>
      <c r="P485" s="2" t="str">
        <f t="shared" si="351"/>
        <v>11</v>
      </c>
      <c r="Q485" s="2" t="str">
        <f t="shared" si="352"/>
        <v>01</v>
      </c>
      <c r="R485" s="2" t="str">
        <f t="shared" si="353"/>
        <v>00</v>
      </c>
      <c r="T485" t="str">
        <f t="shared" si="354"/>
        <v>0111000000110100</v>
      </c>
      <c r="V485" s="10" t="str">
        <f t="shared" si="355"/>
        <v>01110000</v>
      </c>
      <c r="W485" s="10" t="str">
        <f t="shared" si="356"/>
        <v>00110100</v>
      </c>
      <c r="X485" s="10" t="str">
        <f t="shared" si="357"/>
        <v>70</v>
      </c>
      <c r="Y485" s="10" t="str">
        <f t="shared" si="358"/>
        <v>34</v>
      </c>
    </row>
    <row r="486" spans="1:36" x14ac:dyDescent="0.3">
      <c r="B486" s="2">
        <v>1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1</v>
      </c>
      <c r="I486" s="2">
        <v>0</v>
      </c>
      <c r="K486" s="2" t="str">
        <f t="shared" si="346"/>
        <v>01</v>
      </c>
      <c r="L486" s="2" t="str">
        <f t="shared" si="347"/>
        <v>11</v>
      </c>
      <c r="M486" s="2" t="str">
        <f t="shared" si="348"/>
        <v>00</v>
      </c>
      <c r="N486" s="2" t="str">
        <f t="shared" si="349"/>
        <v>11</v>
      </c>
      <c r="O486" s="2" t="str">
        <f t="shared" si="350"/>
        <v>00</v>
      </c>
      <c r="P486" s="2" t="str">
        <f t="shared" si="351"/>
        <v>11</v>
      </c>
      <c r="Q486" s="2" t="str">
        <f t="shared" si="352"/>
        <v>01</v>
      </c>
      <c r="R486" s="2" t="str">
        <f t="shared" si="353"/>
        <v>00</v>
      </c>
      <c r="T486" t="str">
        <f t="shared" si="354"/>
        <v>0111001100110100</v>
      </c>
      <c r="V486" s="8" t="str">
        <f t="shared" si="355"/>
        <v>01110011</v>
      </c>
      <c r="W486" s="8" t="str">
        <f t="shared" si="356"/>
        <v>00110100</v>
      </c>
      <c r="X486" s="8" t="str">
        <f t="shared" si="357"/>
        <v>73</v>
      </c>
      <c r="Y486" s="8" t="str">
        <f t="shared" si="358"/>
        <v>34</v>
      </c>
    </row>
    <row r="487" spans="1:36" x14ac:dyDescent="0.3">
      <c r="B487" s="2">
        <v>1</v>
      </c>
      <c r="C487" s="2">
        <v>3</v>
      </c>
      <c r="D487" s="2">
        <v>3</v>
      </c>
      <c r="E487" s="2">
        <v>3</v>
      </c>
      <c r="F487" s="2">
        <v>0</v>
      </c>
      <c r="G487" s="2">
        <v>3</v>
      </c>
      <c r="H487" s="2">
        <v>1</v>
      </c>
      <c r="I487" s="2">
        <v>0</v>
      </c>
      <c r="K487" s="2" t="str">
        <f t="shared" si="346"/>
        <v>01</v>
      </c>
      <c r="L487" s="2" t="str">
        <f t="shared" si="347"/>
        <v>11</v>
      </c>
      <c r="M487" s="2" t="str">
        <f t="shared" si="348"/>
        <v>11</v>
      </c>
      <c r="N487" s="2" t="str">
        <f t="shared" si="349"/>
        <v>11</v>
      </c>
      <c r="O487" s="2" t="str">
        <f t="shared" si="350"/>
        <v>00</v>
      </c>
      <c r="P487" s="2" t="str">
        <f t="shared" si="351"/>
        <v>11</v>
      </c>
      <c r="Q487" s="2" t="str">
        <f t="shared" si="352"/>
        <v>01</v>
      </c>
      <c r="R487" s="2" t="str">
        <f t="shared" si="353"/>
        <v>00</v>
      </c>
      <c r="T487" t="str">
        <f t="shared" si="354"/>
        <v>0111111100110100</v>
      </c>
      <c r="V487" s="9" t="str">
        <f t="shared" si="355"/>
        <v>01111111</v>
      </c>
      <c r="W487" s="9" t="str">
        <f t="shared" si="356"/>
        <v>00110100</v>
      </c>
      <c r="X487" s="9" t="str">
        <f t="shared" si="357"/>
        <v>7F</v>
      </c>
      <c r="Y487" s="9" t="str">
        <f t="shared" si="358"/>
        <v>34</v>
      </c>
    </row>
    <row r="488" spans="1:36" x14ac:dyDescent="0.3">
      <c r="B488" s="2">
        <v>1</v>
      </c>
      <c r="C488" s="2">
        <v>3</v>
      </c>
      <c r="D488" s="2">
        <v>3</v>
      </c>
      <c r="E488" s="2">
        <v>0</v>
      </c>
      <c r="F488" s="2">
        <v>0</v>
      </c>
      <c r="G488" s="2">
        <v>3</v>
      </c>
      <c r="H488" s="2">
        <v>1</v>
      </c>
      <c r="I488" s="2">
        <v>0</v>
      </c>
      <c r="K488" s="2" t="str">
        <f t="shared" si="346"/>
        <v>01</v>
      </c>
      <c r="L488" s="2" t="str">
        <f t="shared" si="347"/>
        <v>11</v>
      </c>
      <c r="M488" s="2" t="str">
        <f t="shared" si="348"/>
        <v>11</v>
      </c>
      <c r="N488" s="2" t="str">
        <f t="shared" si="349"/>
        <v>00</v>
      </c>
      <c r="O488" s="2" t="str">
        <f t="shared" si="350"/>
        <v>00</v>
      </c>
      <c r="P488" s="2" t="str">
        <f t="shared" si="351"/>
        <v>11</v>
      </c>
      <c r="Q488" s="2" t="str">
        <f t="shared" si="352"/>
        <v>01</v>
      </c>
      <c r="R488" s="2" t="str">
        <f t="shared" si="353"/>
        <v>00</v>
      </c>
      <c r="T488" t="str">
        <f t="shared" si="354"/>
        <v>0111110000110100</v>
      </c>
      <c r="V488" s="9" t="str">
        <f t="shared" si="355"/>
        <v>01111100</v>
      </c>
      <c r="W488" s="9" t="str">
        <f t="shared" si="356"/>
        <v>00110100</v>
      </c>
      <c r="X488" s="9" t="str">
        <f t="shared" si="357"/>
        <v>7C</v>
      </c>
      <c r="Y488" s="9" t="str">
        <f t="shared" si="358"/>
        <v>34</v>
      </c>
    </row>
    <row r="489" spans="1:36" x14ac:dyDescent="0.3">
      <c r="B489" s="2">
        <v>1</v>
      </c>
      <c r="C489" s="2">
        <v>3</v>
      </c>
      <c r="D489" s="2">
        <v>3</v>
      </c>
      <c r="E489" s="2">
        <v>3</v>
      </c>
      <c r="F489" s="2">
        <v>0</v>
      </c>
      <c r="G489" s="2">
        <v>3</v>
      </c>
      <c r="H489" s="2">
        <v>1</v>
      </c>
      <c r="I489" s="2">
        <v>0</v>
      </c>
      <c r="K489" s="2" t="str">
        <f t="shared" si="346"/>
        <v>01</v>
      </c>
      <c r="L489" s="2" t="str">
        <f t="shared" si="347"/>
        <v>11</v>
      </c>
      <c r="M489" s="2" t="str">
        <f t="shared" si="348"/>
        <v>11</v>
      </c>
      <c r="N489" s="2" t="str">
        <f t="shared" si="349"/>
        <v>11</v>
      </c>
      <c r="O489" s="2" t="str">
        <f t="shared" si="350"/>
        <v>00</v>
      </c>
      <c r="P489" s="2" t="str">
        <f t="shared" si="351"/>
        <v>11</v>
      </c>
      <c r="Q489" s="2" t="str">
        <f t="shared" si="352"/>
        <v>01</v>
      </c>
      <c r="R489" s="2" t="str">
        <f t="shared" si="353"/>
        <v>00</v>
      </c>
      <c r="T489" t="str">
        <f t="shared" si="354"/>
        <v>0111111100110100</v>
      </c>
      <c r="V489" s="9" t="str">
        <f t="shared" si="355"/>
        <v>01111111</v>
      </c>
      <c r="W489" s="9" t="str">
        <f t="shared" si="356"/>
        <v>00110100</v>
      </c>
      <c r="X489" s="9" t="str">
        <f t="shared" si="357"/>
        <v>7F</v>
      </c>
      <c r="Y489" s="9" t="str">
        <f t="shared" si="358"/>
        <v>34</v>
      </c>
    </row>
    <row r="490" spans="1:36" x14ac:dyDescent="0.3">
      <c r="B490" s="2">
        <v>1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1</v>
      </c>
      <c r="I490" s="2">
        <v>0</v>
      </c>
      <c r="K490" s="2" t="str">
        <f t="shared" si="346"/>
        <v>01</v>
      </c>
      <c r="L490" s="2" t="str">
        <f t="shared" si="347"/>
        <v>11</v>
      </c>
      <c r="M490" s="2" t="str">
        <f t="shared" si="348"/>
        <v>00</v>
      </c>
      <c r="N490" s="2" t="str">
        <f t="shared" si="349"/>
        <v>11</v>
      </c>
      <c r="O490" s="2" t="str">
        <f t="shared" si="350"/>
        <v>00</v>
      </c>
      <c r="P490" s="2" t="str">
        <f t="shared" si="351"/>
        <v>11</v>
      </c>
      <c r="Q490" s="2" t="str">
        <f t="shared" si="352"/>
        <v>01</v>
      </c>
      <c r="R490" s="2" t="str">
        <f t="shared" si="353"/>
        <v>00</v>
      </c>
      <c r="T490" t="str">
        <f t="shared" si="354"/>
        <v>0111001100110100</v>
      </c>
      <c r="V490" s="9" t="str">
        <f t="shared" si="355"/>
        <v>01110011</v>
      </c>
      <c r="W490" s="9" t="str">
        <f t="shared" si="356"/>
        <v>00110100</v>
      </c>
      <c r="X490" s="9" t="str">
        <f t="shared" si="357"/>
        <v>73</v>
      </c>
      <c r="Y490" s="9" t="str">
        <f t="shared" si="358"/>
        <v>34</v>
      </c>
    </row>
    <row r="491" spans="1:36" x14ac:dyDescent="0.3">
      <c r="B491" s="2">
        <v>1</v>
      </c>
      <c r="C491" s="2">
        <v>3</v>
      </c>
      <c r="D491" s="2">
        <v>0</v>
      </c>
      <c r="E491" s="2">
        <v>0</v>
      </c>
      <c r="F491" s="2">
        <v>0</v>
      </c>
      <c r="G491" s="2">
        <v>3</v>
      </c>
      <c r="H491" s="2">
        <v>1</v>
      </c>
      <c r="I491" s="2">
        <v>0</v>
      </c>
      <c r="K491" s="2" t="str">
        <f t="shared" si="346"/>
        <v>01</v>
      </c>
      <c r="L491" s="2" t="str">
        <f t="shared" si="347"/>
        <v>11</v>
      </c>
      <c r="M491" s="2" t="str">
        <f t="shared" si="348"/>
        <v>00</v>
      </c>
      <c r="N491" s="2" t="str">
        <f t="shared" si="349"/>
        <v>00</v>
      </c>
      <c r="O491" s="2" t="str">
        <f t="shared" si="350"/>
        <v>00</v>
      </c>
      <c r="P491" s="2" t="str">
        <f t="shared" si="351"/>
        <v>11</v>
      </c>
      <c r="Q491" s="2" t="str">
        <f t="shared" si="352"/>
        <v>01</v>
      </c>
      <c r="R491" s="2" t="str">
        <f t="shared" si="353"/>
        <v>00</v>
      </c>
      <c r="T491" t="str">
        <f t="shared" si="354"/>
        <v>0111000000110100</v>
      </c>
      <c r="V491" s="9" t="str">
        <f t="shared" si="355"/>
        <v>01110000</v>
      </c>
      <c r="W491" s="9" t="str">
        <f t="shared" si="356"/>
        <v>00110100</v>
      </c>
      <c r="X491" s="9" t="str">
        <f t="shared" si="357"/>
        <v>70</v>
      </c>
      <c r="Y491" s="9" t="str">
        <f t="shared" si="358"/>
        <v>34</v>
      </c>
    </row>
    <row r="492" spans="1:36" x14ac:dyDescent="0.3">
      <c r="B492" s="2">
        <v>0</v>
      </c>
      <c r="C492" s="2">
        <v>1</v>
      </c>
      <c r="D492" s="2">
        <v>3</v>
      </c>
      <c r="E492" s="2">
        <v>3</v>
      </c>
      <c r="F492" s="2">
        <v>3</v>
      </c>
      <c r="G492" s="2">
        <v>1</v>
      </c>
      <c r="H492" s="2">
        <v>0</v>
      </c>
      <c r="I492" s="2">
        <v>0</v>
      </c>
      <c r="K492" s="2" t="str">
        <f t="shared" si="346"/>
        <v>00</v>
      </c>
      <c r="L492" s="2" t="str">
        <f t="shared" si="347"/>
        <v>01</v>
      </c>
      <c r="M492" s="2" t="str">
        <f t="shared" si="348"/>
        <v>11</v>
      </c>
      <c r="N492" s="2" t="str">
        <f t="shared" si="349"/>
        <v>11</v>
      </c>
      <c r="O492" s="2" t="str">
        <f t="shared" si="350"/>
        <v>11</v>
      </c>
      <c r="P492" s="2" t="str">
        <f t="shared" si="351"/>
        <v>01</v>
      </c>
      <c r="Q492" s="2" t="str">
        <f t="shared" si="352"/>
        <v>00</v>
      </c>
      <c r="R492" s="2" t="str">
        <f t="shared" si="353"/>
        <v>00</v>
      </c>
      <c r="T492" t="str">
        <f t="shared" si="354"/>
        <v>0001111111010000</v>
      </c>
      <c r="V492" s="9" t="str">
        <f t="shared" si="355"/>
        <v>00011111</v>
      </c>
      <c r="W492" s="9" t="str">
        <f t="shared" si="356"/>
        <v>11010000</v>
      </c>
      <c r="X492" s="9" t="str">
        <f t="shared" si="357"/>
        <v>1F</v>
      </c>
      <c r="Y492" s="9" t="str">
        <f t="shared" si="358"/>
        <v>D0</v>
      </c>
    </row>
    <row r="493" spans="1:36" x14ac:dyDescent="0.3">
      <c r="B493" s="2">
        <v>0</v>
      </c>
      <c r="C493" s="2">
        <v>0</v>
      </c>
      <c r="D493" s="2">
        <v>1</v>
      </c>
      <c r="E493" s="2">
        <v>1</v>
      </c>
      <c r="F493" s="2">
        <v>1</v>
      </c>
      <c r="G493" s="2">
        <v>0</v>
      </c>
      <c r="H493" s="2">
        <v>0</v>
      </c>
      <c r="I493" s="2">
        <v>0</v>
      </c>
      <c r="K493" s="2" t="str">
        <f t="shared" si="346"/>
        <v>00</v>
      </c>
      <c r="L493" s="2" t="str">
        <f t="shared" si="347"/>
        <v>00</v>
      </c>
      <c r="M493" s="2" t="str">
        <f t="shared" si="348"/>
        <v>01</v>
      </c>
      <c r="N493" s="2" t="str">
        <f t="shared" si="349"/>
        <v>01</v>
      </c>
      <c r="O493" s="2" t="str">
        <f t="shared" si="350"/>
        <v>01</v>
      </c>
      <c r="P493" s="2" t="str">
        <f t="shared" si="351"/>
        <v>00</v>
      </c>
      <c r="Q493" s="2" t="str">
        <f t="shared" si="352"/>
        <v>00</v>
      </c>
      <c r="R493" s="2" t="str">
        <f t="shared" si="353"/>
        <v>00</v>
      </c>
      <c r="T493" t="str">
        <f t="shared" si="354"/>
        <v>0000010101000000</v>
      </c>
      <c r="V493" s="10" t="str">
        <f t="shared" si="355"/>
        <v>00000101</v>
      </c>
      <c r="W493" s="10" t="str">
        <f t="shared" si="356"/>
        <v>01000000</v>
      </c>
      <c r="X493" s="10" t="str">
        <f t="shared" si="357"/>
        <v>05</v>
      </c>
      <c r="Y493" s="10" t="str">
        <f t="shared" si="358"/>
        <v>40</v>
      </c>
    </row>
    <row r="494" spans="1:36" x14ac:dyDescent="0.3">
      <c r="A494" t="s">
        <v>11</v>
      </c>
      <c r="AJ494" t="str">
        <f>";"&amp;PROPER(A494)</f>
        <v>;Explosion 1</v>
      </c>
    </row>
    <row r="495" spans="1:36" x14ac:dyDescent="0.3"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K495" s="2" t="str">
        <f t="shared" ref="K495:R510" si="360">DEC2BIN(B495,2)</f>
        <v>00</v>
      </c>
      <c r="L495" s="2" t="str">
        <f t="shared" si="360"/>
        <v>00</v>
      </c>
      <c r="M495" s="2" t="str">
        <f t="shared" si="360"/>
        <v>00</v>
      </c>
      <c r="N495" s="2" t="str">
        <f t="shared" si="360"/>
        <v>00</v>
      </c>
      <c r="O495" s="2" t="str">
        <f t="shared" si="360"/>
        <v>00</v>
      </c>
      <c r="P495" s="2" t="str">
        <f t="shared" si="360"/>
        <v>00</v>
      </c>
      <c r="Q495" s="2" t="str">
        <f t="shared" si="360"/>
        <v>00</v>
      </c>
      <c r="R495" s="2" t="str">
        <f t="shared" si="360"/>
        <v>00</v>
      </c>
      <c r="T495" t="str">
        <f t="shared" ref="T495:T530" si="361">_xlfn.CONCAT(K495:R495)</f>
        <v>0000000000000000</v>
      </c>
      <c r="V495" s="8" t="str">
        <f>LEFT(T495,8)</f>
        <v>00000000</v>
      </c>
      <c r="W495" s="8" t="str">
        <f>RIGHT(T495,8)</f>
        <v>00000000</v>
      </c>
      <c r="X495" s="8" t="str">
        <f>BIN2HEX(V495,2)</f>
        <v>00</v>
      </c>
      <c r="Y495" s="8" t="str">
        <f>BIN2HEX(W495,2)</f>
        <v>00</v>
      </c>
      <c r="AA495" t="str" cm="1">
        <f t="array" ref="AA495:AH495">TRANSPOSE(X495:X502)</f>
        <v>00</v>
      </c>
      <c r="AB495" t="str">
        <v>00</v>
      </c>
      <c r="AC495" t="str">
        <v>00</v>
      </c>
      <c r="AD495" t="str">
        <v>00</v>
      </c>
      <c r="AE495" t="str">
        <v>03</v>
      </c>
      <c r="AF495" t="str">
        <v>30</v>
      </c>
      <c r="AG495" t="str">
        <v>01</v>
      </c>
      <c r="AH495" t="str">
        <v>0C</v>
      </c>
      <c r="AJ495" t="str">
        <f>LOWER("!byte $"&amp;AA495&amp;", $"&amp;AB495&amp;", $"&amp;AC495&amp;", $"&amp;AD495&amp;", $"&amp;AE495&amp;", $"&amp;AF495&amp;", $"&amp;AG495&amp;", $"&amp;AH495)</f>
        <v>!byte $00, $00, $00, $00, $03, $30, $01, $0c</v>
      </c>
    </row>
    <row r="496" spans="1:36" x14ac:dyDescent="0.3"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K496" s="2" t="str">
        <f t="shared" si="360"/>
        <v>00</v>
      </c>
      <c r="L496" s="2" t="str">
        <f t="shared" si="360"/>
        <v>00</v>
      </c>
      <c r="M496" s="2" t="str">
        <f t="shared" si="360"/>
        <v>00</v>
      </c>
      <c r="N496" s="2" t="str">
        <f t="shared" si="360"/>
        <v>00</v>
      </c>
      <c r="O496" s="2" t="str">
        <f t="shared" si="360"/>
        <v>00</v>
      </c>
      <c r="P496" s="2" t="str">
        <f t="shared" si="360"/>
        <v>00</v>
      </c>
      <c r="Q496" s="2" t="str">
        <f t="shared" si="360"/>
        <v>00</v>
      </c>
      <c r="R496" s="2" t="str">
        <f t="shared" si="360"/>
        <v>00</v>
      </c>
      <c r="T496" t="str">
        <f t="shared" si="361"/>
        <v>0000000000000000</v>
      </c>
      <c r="V496" s="9" t="str">
        <f t="shared" ref="V496:V510" si="362">LEFT(T496,8)</f>
        <v>00000000</v>
      </c>
      <c r="W496" s="9" t="str">
        <f t="shared" ref="W496:W510" si="363">RIGHT(T496,8)</f>
        <v>00000000</v>
      </c>
      <c r="X496" s="9" t="str">
        <f t="shared" ref="X496:X510" si="364">BIN2HEX(V496,2)</f>
        <v>00</v>
      </c>
      <c r="Y496" s="9" t="str">
        <f t="shared" ref="Y496:Y510" si="365">BIN2HEX(W496,2)</f>
        <v>00</v>
      </c>
      <c r="AA496" t="str" cm="1">
        <f t="array" ref="AA496:AH496">TRANSPOSE(X503:X510)</f>
        <v>02</v>
      </c>
      <c r="AB496" t="str">
        <v>07</v>
      </c>
      <c r="AC496" t="str">
        <v>0C</v>
      </c>
      <c r="AD496" t="str">
        <v>00</v>
      </c>
      <c r="AE496" t="str">
        <v>03</v>
      </c>
      <c r="AF496" t="str">
        <v>00</v>
      </c>
      <c r="AG496" t="str">
        <v>00</v>
      </c>
      <c r="AH496" t="str">
        <v>00</v>
      </c>
      <c r="AJ496" t="str">
        <f t="shared" ref="AJ496:AJ498" si="366">LOWER("!byte $"&amp;AA496&amp;", $"&amp;AB496&amp;", $"&amp;AC496&amp;", $"&amp;AD496&amp;", $"&amp;AE496&amp;", $"&amp;AF496&amp;", $"&amp;AG496&amp;", $"&amp;AH496)</f>
        <v>!byte $02, $07, $0c, $00, $03, $00, $00, $00</v>
      </c>
    </row>
    <row r="497" spans="1:36" x14ac:dyDescent="0.3"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K497" s="2" t="str">
        <f t="shared" si="360"/>
        <v>00</v>
      </c>
      <c r="L497" s="2" t="str">
        <f t="shared" si="360"/>
        <v>00</v>
      </c>
      <c r="M497" s="2" t="str">
        <f t="shared" si="360"/>
        <v>00</v>
      </c>
      <c r="N497" s="2" t="str">
        <f t="shared" si="360"/>
        <v>00</v>
      </c>
      <c r="O497" s="2" t="str">
        <f t="shared" si="360"/>
        <v>00</v>
      </c>
      <c r="P497" s="2" t="str">
        <f t="shared" si="360"/>
        <v>00</v>
      </c>
      <c r="Q497" s="2" t="str">
        <f t="shared" si="360"/>
        <v>00</v>
      </c>
      <c r="R497" s="2" t="str">
        <f t="shared" si="360"/>
        <v>00</v>
      </c>
      <c r="T497" t="str">
        <f t="shared" si="361"/>
        <v>0000000000000000</v>
      </c>
      <c r="V497" s="9" t="str">
        <f t="shared" si="362"/>
        <v>00000000</v>
      </c>
      <c r="W497" s="9" t="str">
        <f t="shared" si="363"/>
        <v>00000000</v>
      </c>
      <c r="X497" s="9" t="str">
        <f t="shared" si="364"/>
        <v>00</v>
      </c>
      <c r="Y497" s="9" t="str">
        <f t="shared" si="365"/>
        <v>00</v>
      </c>
      <c r="AA497" t="str" cm="1">
        <f t="array" ref="AA497:AH497">TRANSPOSE(Y495:Y502)</f>
        <v>00</v>
      </c>
      <c r="AB497" t="str">
        <v>00</v>
      </c>
      <c r="AC497" t="str">
        <v>00</v>
      </c>
      <c r="AD497" t="str">
        <v>00</v>
      </c>
      <c r="AE497" t="str">
        <v>00</v>
      </c>
      <c r="AF497" t="str">
        <v>C0</v>
      </c>
      <c r="AG497" t="str">
        <v>00</v>
      </c>
      <c r="AH497" t="str">
        <v>CC</v>
      </c>
      <c r="AJ497" t="str">
        <f t="shared" si="366"/>
        <v>!byte $00, $00, $00, $00, $00, $c0, $00, $cc</v>
      </c>
    </row>
    <row r="498" spans="1:36" x14ac:dyDescent="0.3"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K498" s="2" t="str">
        <f t="shared" si="360"/>
        <v>00</v>
      </c>
      <c r="L498" s="2" t="str">
        <f t="shared" si="360"/>
        <v>00</v>
      </c>
      <c r="M498" s="2" t="str">
        <f t="shared" si="360"/>
        <v>00</v>
      </c>
      <c r="N498" s="2" t="str">
        <f t="shared" si="360"/>
        <v>00</v>
      </c>
      <c r="O498" s="2" t="str">
        <f t="shared" si="360"/>
        <v>00</v>
      </c>
      <c r="P498" s="2" t="str">
        <f t="shared" si="360"/>
        <v>00</v>
      </c>
      <c r="Q498" s="2" t="str">
        <f t="shared" si="360"/>
        <v>00</v>
      </c>
      <c r="R498" s="2" t="str">
        <f t="shared" si="360"/>
        <v>00</v>
      </c>
      <c r="T498" t="str">
        <f t="shared" si="361"/>
        <v>0000000000000000</v>
      </c>
      <c r="V498" s="9" t="str">
        <f t="shared" si="362"/>
        <v>00000000</v>
      </c>
      <c r="W498" s="9" t="str">
        <f t="shared" si="363"/>
        <v>00000000</v>
      </c>
      <c r="X498" s="9" t="str">
        <f t="shared" si="364"/>
        <v>00</v>
      </c>
      <c r="Y498" s="9" t="str">
        <f t="shared" si="365"/>
        <v>00</v>
      </c>
      <c r="AA498" t="str" cm="1">
        <f t="array" ref="AA498:AH498">TRANSPOSE(Y503:Y510)</f>
        <v>90</v>
      </c>
      <c r="AB498" t="str">
        <v>B0</v>
      </c>
      <c r="AC498" t="str">
        <v>40</v>
      </c>
      <c r="AD498" t="str">
        <v>00</v>
      </c>
      <c r="AE498" t="str">
        <v>00</v>
      </c>
      <c r="AF498" t="str">
        <v>00</v>
      </c>
      <c r="AG498" t="str">
        <v>00</v>
      </c>
      <c r="AH498" t="str">
        <v>00</v>
      </c>
      <c r="AJ498" t="str">
        <f t="shared" si="366"/>
        <v>!byte $90, $b0, $40, $00, $00, $00, $00, $00</v>
      </c>
    </row>
    <row r="499" spans="1:36" x14ac:dyDescent="0.3">
      <c r="B499" s="2">
        <v>0</v>
      </c>
      <c r="C499" s="2">
        <v>0</v>
      </c>
      <c r="D499" s="2">
        <v>0</v>
      </c>
      <c r="E499" s="2">
        <v>3</v>
      </c>
      <c r="F499" s="2">
        <v>0</v>
      </c>
      <c r="G499" s="2">
        <v>0</v>
      </c>
      <c r="H499" s="2">
        <v>0</v>
      </c>
      <c r="I499" s="2">
        <v>0</v>
      </c>
      <c r="K499" s="2" t="str">
        <f t="shared" si="360"/>
        <v>00</v>
      </c>
      <c r="L499" s="2" t="str">
        <f t="shared" si="360"/>
        <v>00</v>
      </c>
      <c r="M499" s="2" t="str">
        <f t="shared" si="360"/>
        <v>00</v>
      </c>
      <c r="N499" s="2" t="str">
        <f t="shared" si="360"/>
        <v>11</v>
      </c>
      <c r="O499" s="2" t="str">
        <f t="shared" si="360"/>
        <v>00</v>
      </c>
      <c r="P499" s="2" t="str">
        <f t="shared" si="360"/>
        <v>00</v>
      </c>
      <c r="Q499" s="2" t="str">
        <f t="shared" si="360"/>
        <v>00</v>
      </c>
      <c r="R499" s="2" t="str">
        <f t="shared" si="360"/>
        <v>00</v>
      </c>
      <c r="T499" t="str">
        <f t="shared" si="361"/>
        <v>0000001100000000</v>
      </c>
      <c r="V499" s="9" t="str">
        <f t="shared" si="362"/>
        <v>00000011</v>
      </c>
      <c r="W499" s="9" t="str">
        <f t="shared" si="363"/>
        <v>00000000</v>
      </c>
      <c r="X499" s="9" t="str">
        <f t="shared" si="364"/>
        <v>03</v>
      </c>
      <c r="Y499" s="9" t="str">
        <f t="shared" si="365"/>
        <v>00</v>
      </c>
    </row>
    <row r="500" spans="1:36" x14ac:dyDescent="0.3">
      <c r="B500" s="2">
        <v>0</v>
      </c>
      <c r="C500" s="2">
        <v>3</v>
      </c>
      <c r="D500" s="2">
        <v>0</v>
      </c>
      <c r="E500" s="2">
        <v>0</v>
      </c>
      <c r="F500" s="2">
        <v>3</v>
      </c>
      <c r="G500" s="2">
        <v>0</v>
      </c>
      <c r="H500" s="2">
        <v>0</v>
      </c>
      <c r="I500" s="2">
        <v>0</v>
      </c>
      <c r="K500" s="2" t="str">
        <f t="shared" si="360"/>
        <v>00</v>
      </c>
      <c r="L500" s="2" t="str">
        <f t="shared" si="360"/>
        <v>11</v>
      </c>
      <c r="M500" s="2" t="str">
        <f t="shared" si="360"/>
        <v>00</v>
      </c>
      <c r="N500" s="2" t="str">
        <f t="shared" si="360"/>
        <v>00</v>
      </c>
      <c r="O500" s="2" t="str">
        <f t="shared" si="360"/>
        <v>11</v>
      </c>
      <c r="P500" s="2" t="str">
        <f t="shared" si="360"/>
        <v>00</v>
      </c>
      <c r="Q500" s="2" t="str">
        <f t="shared" si="360"/>
        <v>00</v>
      </c>
      <c r="R500" s="2" t="str">
        <f t="shared" si="360"/>
        <v>00</v>
      </c>
      <c r="T500" t="str">
        <f t="shared" si="361"/>
        <v>0011000011000000</v>
      </c>
      <c r="V500" s="9" t="str">
        <f t="shared" si="362"/>
        <v>00110000</v>
      </c>
      <c r="W500" s="9" t="str">
        <f t="shared" si="363"/>
        <v>11000000</v>
      </c>
      <c r="X500" s="9" t="str">
        <f t="shared" si="364"/>
        <v>30</v>
      </c>
      <c r="Y500" s="9" t="str">
        <f t="shared" si="365"/>
        <v>C0</v>
      </c>
    </row>
    <row r="501" spans="1:36" x14ac:dyDescent="0.3">
      <c r="B501" s="2">
        <v>0</v>
      </c>
      <c r="C501" s="2">
        <v>0</v>
      </c>
      <c r="D501" s="2">
        <v>0</v>
      </c>
      <c r="E501" s="2">
        <v>1</v>
      </c>
      <c r="F501" s="2">
        <v>0</v>
      </c>
      <c r="G501" s="2">
        <v>0</v>
      </c>
      <c r="H501" s="2">
        <v>0</v>
      </c>
      <c r="I501" s="2">
        <v>0</v>
      </c>
      <c r="K501" s="2" t="str">
        <f t="shared" si="360"/>
        <v>00</v>
      </c>
      <c r="L501" s="2" t="str">
        <f t="shared" si="360"/>
        <v>00</v>
      </c>
      <c r="M501" s="2" t="str">
        <f t="shared" si="360"/>
        <v>00</v>
      </c>
      <c r="N501" s="2" t="str">
        <f t="shared" si="360"/>
        <v>01</v>
      </c>
      <c r="O501" s="2" t="str">
        <f t="shared" si="360"/>
        <v>00</v>
      </c>
      <c r="P501" s="2" t="str">
        <f t="shared" si="360"/>
        <v>00</v>
      </c>
      <c r="Q501" s="2" t="str">
        <f t="shared" si="360"/>
        <v>00</v>
      </c>
      <c r="R501" s="2" t="str">
        <f t="shared" si="360"/>
        <v>00</v>
      </c>
      <c r="T501" t="str">
        <f t="shared" si="361"/>
        <v>0000000100000000</v>
      </c>
      <c r="V501" s="9" t="str">
        <f t="shared" si="362"/>
        <v>00000001</v>
      </c>
      <c r="W501" s="9" t="str">
        <f t="shared" si="363"/>
        <v>00000000</v>
      </c>
      <c r="X501" s="9" t="str">
        <f t="shared" si="364"/>
        <v>01</v>
      </c>
      <c r="Y501" s="9" t="str">
        <f t="shared" si="365"/>
        <v>00</v>
      </c>
    </row>
    <row r="502" spans="1:36" x14ac:dyDescent="0.3">
      <c r="B502" s="2">
        <v>0</v>
      </c>
      <c r="C502" s="2">
        <v>0</v>
      </c>
      <c r="D502" s="2">
        <v>3</v>
      </c>
      <c r="E502" s="2">
        <v>0</v>
      </c>
      <c r="F502" s="2">
        <v>3</v>
      </c>
      <c r="G502" s="2">
        <v>0</v>
      </c>
      <c r="H502" s="2">
        <v>3</v>
      </c>
      <c r="I502" s="2">
        <v>0</v>
      </c>
      <c r="K502" s="2" t="str">
        <f t="shared" si="360"/>
        <v>00</v>
      </c>
      <c r="L502" s="2" t="str">
        <f t="shared" si="360"/>
        <v>00</v>
      </c>
      <c r="M502" s="2" t="str">
        <f t="shared" si="360"/>
        <v>11</v>
      </c>
      <c r="N502" s="2" t="str">
        <f t="shared" si="360"/>
        <v>00</v>
      </c>
      <c r="O502" s="2" t="str">
        <f t="shared" si="360"/>
        <v>11</v>
      </c>
      <c r="P502" s="2" t="str">
        <f t="shared" si="360"/>
        <v>00</v>
      </c>
      <c r="Q502" s="2" t="str">
        <f t="shared" si="360"/>
        <v>11</v>
      </c>
      <c r="R502" s="2" t="str">
        <f t="shared" si="360"/>
        <v>00</v>
      </c>
      <c r="T502" t="str">
        <f t="shared" si="361"/>
        <v>0000110011001100</v>
      </c>
      <c r="V502" s="10" t="str">
        <f t="shared" si="362"/>
        <v>00001100</v>
      </c>
      <c r="W502" s="10" t="str">
        <f t="shared" si="363"/>
        <v>11001100</v>
      </c>
      <c r="X502" s="10" t="str">
        <f t="shared" si="364"/>
        <v>0C</v>
      </c>
      <c r="Y502" s="10" t="str">
        <f t="shared" si="365"/>
        <v>CC</v>
      </c>
    </row>
    <row r="503" spans="1:36" x14ac:dyDescent="0.3">
      <c r="B503" s="2">
        <v>0</v>
      </c>
      <c r="C503" s="2">
        <v>0</v>
      </c>
      <c r="D503" s="2">
        <v>0</v>
      </c>
      <c r="E503" s="2">
        <v>2</v>
      </c>
      <c r="F503" s="2">
        <v>2</v>
      </c>
      <c r="G503" s="2">
        <v>1</v>
      </c>
      <c r="H503" s="2">
        <v>0</v>
      </c>
      <c r="I503" s="2">
        <v>0</v>
      </c>
      <c r="K503" s="2" t="str">
        <f t="shared" si="360"/>
        <v>00</v>
      </c>
      <c r="L503" s="2" t="str">
        <f t="shared" si="360"/>
        <v>00</v>
      </c>
      <c r="M503" s="2" t="str">
        <f t="shared" si="360"/>
        <v>00</v>
      </c>
      <c r="N503" s="2" t="str">
        <f t="shared" si="360"/>
        <v>10</v>
      </c>
      <c r="O503" s="2" t="str">
        <f t="shared" si="360"/>
        <v>10</v>
      </c>
      <c r="P503" s="2" t="str">
        <f t="shared" si="360"/>
        <v>01</v>
      </c>
      <c r="Q503" s="2" t="str">
        <f t="shared" si="360"/>
        <v>00</v>
      </c>
      <c r="R503" s="2" t="str">
        <f t="shared" si="360"/>
        <v>00</v>
      </c>
      <c r="T503" t="str">
        <f t="shared" si="361"/>
        <v>0000001010010000</v>
      </c>
      <c r="V503" s="8" t="str">
        <f t="shared" si="362"/>
        <v>00000010</v>
      </c>
      <c r="W503" s="8" t="str">
        <f t="shared" si="363"/>
        <v>10010000</v>
      </c>
      <c r="X503" s="8" t="str">
        <f t="shared" si="364"/>
        <v>02</v>
      </c>
      <c r="Y503" s="8" t="str">
        <f t="shared" si="365"/>
        <v>90</v>
      </c>
    </row>
    <row r="504" spans="1:36" x14ac:dyDescent="0.3">
      <c r="B504" s="2">
        <v>0</v>
      </c>
      <c r="C504" s="2">
        <v>0</v>
      </c>
      <c r="D504" s="2">
        <v>1</v>
      </c>
      <c r="E504" s="2">
        <v>3</v>
      </c>
      <c r="F504" s="2">
        <v>2</v>
      </c>
      <c r="G504" s="2">
        <v>3</v>
      </c>
      <c r="H504" s="2">
        <v>0</v>
      </c>
      <c r="I504" s="2">
        <v>0</v>
      </c>
      <c r="K504" s="2" t="str">
        <f t="shared" si="360"/>
        <v>00</v>
      </c>
      <c r="L504" s="2" t="str">
        <f t="shared" si="360"/>
        <v>00</v>
      </c>
      <c r="M504" s="2" t="str">
        <f t="shared" si="360"/>
        <v>01</v>
      </c>
      <c r="N504" s="2" t="str">
        <f t="shared" si="360"/>
        <v>11</v>
      </c>
      <c r="O504" s="2" t="str">
        <f t="shared" si="360"/>
        <v>10</v>
      </c>
      <c r="P504" s="2" t="str">
        <f t="shared" si="360"/>
        <v>11</v>
      </c>
      <c r="Q504" s="2" t="str">
        <f t="shared" si="360"/>
        <v>00</v>
      </c>
      <c r="R504" s="2" t="str">
        <f t="shared" si="360"/>
        <v>00</v>
      </c>
      <c r="T504" t="str">
        <f t="shared" si="361"/>
        <v>0000011110110000</v>
      </c>
      <c r="V504" s="9" t="str">
        <f t="shared" si="362"/>
        <v>00000111</v>
      </c>
      <c r="W504" s="9" t="str">
        <f t="shared" si="363"/>
        <v>10110000</v>
      </c>
      <c r="X504" s="9" t="str">
        <f t="shared" si="364"/>
        <v>07</v>
      </c>
      <c r="Y504" s="9" t="str">
        <f t="shared" si="365"/>
        <v>B0</v>
      </c>
    </row>
    <row r="505" spans="1:36" x14ac:dyDescent="0.3">
      <c r="B505" s="2">
        <v>0</v>
      </c>
      <c r="C505" s="2">
        <v>0</v>
      </c>
      <c r="D505" s="2">
        <v>3</v>
      </c>
      <c r="E505" s="2">
        <v>0</v>
      </c>
      <c r="F505" s="2">
        <v>1</v>
      </c>
      <c r="G505" s="2">
        <v>0</v>
      </c>
      <c r="H505" s="2">
        <v>0</v>
      </c>
      <c r="I505" s="2">
        <v>0</v>
      </c>
      <c r="K505" s="2" t="str">
        <f t="shared" si="360"/>
        <v>00</v>
      </c>
      <c r="L505" s="2" t="str">
        <f t="shared" si="360"/>
        <v>00</v>
      </c>
      <c r="M505" s="2" t="str">
        <f t="shared" si="360"/>
        <v>11</v>
      </c>
      <c r="N505" s="2" t="str">
        <f t="shared" si="360"/>
        <v>00</v>
      </c>
      <c r="O505" s="2" t="str">
        <f t="shared" si="360"/>
        <v>01</v>
      </c>
      <c r="P505" s="2" t="str">
        <f t="shared" si="360"/>
        <v>00</v>
      </c>
      <c r="Q505" s="2" t="str">
        <f t="shared" si="360"/>
        <v>00</v>
      </c>
      <c r="R505" s="2" t="str">
        <f t="shared" si="360"/>
        <v>00</v>
      </c>
      <c r="T505" t="str">
        <f t="shared" si="361"/>
        <v>0000110001000000</v>
      </c>
      <c r="V505" s="9" t="str">
        <f t="shared" si="362"/>
        <v>00001100</v>
      </c>
      <c r="W505" s="9" t="str">
        <f t="shared" si="363"/>
        <v>01000000</v>
      </c>
      <c r="X505" s="9" t="str">
        <f t="shared" si="364"/>
        <v>0C</v>
      </c>
      <c r="Y505" s="9" t="str">
        <f t="shared" si="365"/>
        <v>40</v>
      </c>
    </row>
    <row r="506" spans="1:36" x14ac:dyDescent="0.3"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K506" s="2" t="str">
        <f t="shared" si="360"/>
        <v>00</v>
      </c>
      <c r="L506" s="2" t="str">
        <f t="shared" si="360"/>
        <v>00</v>
      </c>
      <c r="M506" s="2" t="str">
        <f t="shared" si="360"/>
        <v>00</v>
      </c>
      <c r="N506" s="2" t="str">
        <f t="shared" si="360"/>
        <v>00</v>
      </c>
      <c r="O506" s="2" t="str">
        <f t="shared" si="360"/>
        <v>00</v>
      </c>
      <c r="P506" s="2" t="str">
        <f t="shared" si="360"/>
        <v>00</v>
      </c>
      <c r="Q506" s="2" t="str">
        <f t="shared" si="360"/>
        <v>00</v>
      </c>
      <c r="R506" s="2" t="str">
        <f t="shared" si="360"/>
        <v>00</v>
      </c>
      <c r="T506" t="str">
        <f t="shared" si="361"/>
        <v>0000000000000000</v>
      </c>
      <c r="V506" s="9" t="str">
        <f t="shared" si="362"/>
        <v>00000000</v>
      </c>
      <c r="W506" s="9" t="str">
        <f t="shared" si="363"/>
        <v>00000000</v>
      </c>
      <c r="X506" s="9" t="str">
        <f t="shared" si="364"/>
        <v>00</v>
      </c>
      <c r="Y506" s="9" t="str">
        <f t="shared" si="365"/>
        <v>00</v>
      </c>
    </row>
    <row r="507" spans="1:36" x14ac:dyDescent="0.3"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K507" s="2" t="str">
        <f t="shared" si="360"/>
        <v>00</v>
      </c>
      <c r="L507" s="2" t="str">
        <f t="shared" si="360"/>
        <v>00</v>
      </c>
      <c r="M507" s="2" t="str">
        <f t="shared" si="360"/>
        <v>00</v>
      </c>
      <c r="N507" s="2" t="str">
        <f t="shared" si="360"/>
        <v>11</v>
      </c>
      <c r="O507" s="2" t="str">
        <f t="shared" si="360"/>
        <v>00</v>
      </c>
      <c r="P507" s="2" t="str">
        <f t="shared" si="360"/>
        <v>00</v>
      </c>
      <c r="Q507" s="2" t="str">
        <f t="shared" si="360"/>
        <v>00</v>
      </c>
      <c r="R507" s="2" t="str">
        <f t="shared" si="360"/>
        <v>00</v>
      </c>
      <c r="T507" t="str">
        <f t="shared" si="361"/>
        <v>0000001100000000</v>
      </c>
      <c r="V507" s="9" t="str">
        <f t="shared" si="362"/>
        <v>00000011</v>
      </c>
      <c r="W507" s="9" t="str">
        <f t="shared" si="363"/>
        <v>00000000</v>
      </c>
      <c r="X507" s="9" t="str">
        <f t="shared" si="364"/>
        <v>03</v>
      </c>
      <c r="Y507" s="9" t="str">
        <f t="shared" si="365"/>
        <v>00</v>
      </c>
    </row>
    <row r="508" spans="1:36" x14ac:dyDescent="0.3"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K508" s="2" t="str">
        <f t="shared" si="360"/>
        <v>00</v>
      </c>
      <c r="L508" s="2" t="str">
        <f t="shared" si="360"/>
        <v>00</v>
      </c>
      <c r="M508" s="2" t="str">
        <f t="shared" si="360"/>
        <v>00</v>
      </c>
      <c r="N508" s="2" t="str">
        <f t="shared" si="360"/>
        <v>00</v>
      </c>
      <c r="O508" s="2" t="str">
        <f t="shared" si="360"/>
        <v>00</v>
      </c>
      <c r="P508" s="2" t="str">
        <f t="shared" si="360"/>
        <v>00</v>
      </c>
      <c r="Q508" s="2" t="str">
        <f t="shared" si="360"/>
        <v>00</v>
      </c>
      <c r="R508" s="2" t="str">
        <f t="shared" si="360"/>
        <v>00</v>
      </c>
      <c r="T508" t="str">
        <f t="shared" si="361"/>
        <v>0000000000000000</v>
      </c>
      <c r="V508" s="9" t="str">
        <f t="shared" si="362"/>
        <v>00000000</v>
      </c>
      <c r="W508" s="9" t="str">
        <f t="shared" si="363"/>
        <v>00000000</v>
      </c>
      <c r="X508" s="9" t="str">
        <f t="shared" si="364"/>
        <v>00</v>
      </c>
      <c r="Y508" s="9" t="str">
        <f t="shared" si="365"/>
        <v>00</v>
      </c>
    </row>
    <row r="509" spans="1:36" x14ac:dyDescent="0.3"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K509" s="2" t="str">
        <f t="shared" si="360"/>
        <v>00</v>
      </c>
      <c r="L509" s="2" t="str">
        <f t="shared" si="360"/>
        <v>00</v>
      </c>
      <c r="M509" s="2" t="str">
        <f t="shared" si="360"/>
        <v>00</v>
      </c>
      <c r="N509" s="2" t="str">
        <f t="shared" si="360"/>
        <v>00</v>
      </c>
      <c r="O509" s="2" t="str">
        <f t="shared" si="360"/>
        <v>00</v>
      </c>
      <c r="P509" s="2" t="str">
        <f t="shared" si="360"/>
        <v>00</v>
      </c>
      <c r="Q509" s="2" t="str">
        <f t="shared" si="360"/>
        <v>00</v>
      </c>
      <c r="R509" s="2" t="str">
        <f t="shared" si="360"/>
        <v>00</v>
      </c>
      <c r="T509" t="str">
        <f t="shared" si="361"/>
        <v>0000000000000000</v>
      </c>
      <c r="V509" s="9" t="str">
        <f t="shared" si="362"/>
        <v>00000000</v>
      </c>
      <c r="W509" s="9" t="str">
        <f t="shared" si="363"/>
        <v>00000000</v>
      </c>
      <c r="X509" s="9" t="str">
        <f t="shared" si="364"/>
        <v>00</v>
      </c>
      <c r="Y509" s="9" t="str">
        <f t="shared" si="365"/>
        <v>00</v>
      </c>
    </row>
    <row r="510" spans="1:36" x14ac:dyDescent="0.3"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K510" s="2" t="str">
        <f t="shared" si="360"/>
        <v>00</v>
      </c>
      <c r="L510" s="2" t="str">
        <f t="shared" si="360"/>
        <v>00</v>
      </c>
      <c r="M510" s="2" t="str">
        <f t="shared" si="360"/>
        <v>00</v>
      </c>
      <c r="N510" s="2" t="str">
        <f t="shared" si="360"/>
        <v>00</v>
      </c>
      <c r="O510" s="2" t="str">
        <f t="shared" si="360"/>
        <v>00</v>
      </c>
      <c r="P510" s="2" t="str">
        <f t="shared" si="360"/>
        <v>00</v>
      </c>
      <c r="Q510" s="2" t="str">
        <f t="shared" si="360"/>
        <v>00</v>
      </c>
      <c r="R510" s="2" t="str">
        <f t="shared" si="360"/>
        <v>00</v>
      </c>
      <c r="T510" t="str">
        <f t="shared" si="361"/>
        <v>0000000000000000</v>
      </c>
      <c r="V510" s="10" t="str">
        <f t="shared" si="362"/>
        <v>00000000</v>
      </c>
      <c r="W510" s="10" t="str">
        <f t="shared" si="363"/>
        <v>00000000</v>
      </c>
      <c r="X510" s="10" t="str">
        <f t="shared" si="364"/>
        <v>00</v>
      </c>
      <c r="Y510" s="10" t="str">
        <f t="shared" si="365"/>
        <v>00</v>
      </c>
    </row>
    <row r="511" spans="1:36" x14ac:dyDescent="0.3">
      <c r="A511" t="s">
        <v>13</v>
      </c>
      <c r="AJ511" t="str">
        <f>";"&amp;PROPER(A511)</f>
        <v>;Explosion 2</v>
      </c>
    </row>
    <row r="512" spans="1:36" x14ac:dyDescent="0.3"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K512" s="2" t="str">
        <f t="shared" ref="K512:R527" si="367">DEC2BIN(B512,2)</f>
        <v>00</v>
      </c>
      <c r="L512" s="2" t="str">
        <f t="shared" si="367"/>
        <v>00</v>
      </c>
      <c r="M512" s="2" t="str">
        <f t="shared" si="367"/>
        <v>00</v>
      </c>
      <c r="N512" s="2" t="str">
        <f t="shared" si="367"/>
        <v>00</v>
      </c>
      <c r="O512" s="2" t="str">
        <f t="shared" si="367"/>
        <v>00</v>
      </c>
      <c r="P512" s="2" t="str">
        <f t="shared" si="367"/>
        <v>00</v>
      </c>
      <c r="Q512" s="2" t="str">
        <f t="shared" si="367"/>
        <v>00</v>
      </c>
      <c r="R512" s="2" t="str">
        <f t="shared" si="367"/>
        <v>00</v>
      </c>
      <c r="T512" t="str">
        <f t="shared" si="361"/>
        <v>0000000000000000</v>
      </c>
      <c r="V512" s="8" t="str">
        <f>LEFT(T512,8)</f>
        <v>00000000</v>
      </c>
      <c r="W512" s="8" t="str">
        <f>RIGHT(T512,8)</f>
        <v>00000000</v>
      </c>
      <c r="X512" s="8" t="str">
        <f>BIN2HEX(V512,2)</f>
        <v>00</v>
      </c>
      <c r="Y512" s="8" t="str">
        <f>BIN2HEX(W512,2)</f>
        <v>00</v>
      </c>
      <c r="AA512" t="str" cm="1">
        <f t="array" ref="AA512:AH512">TRANSPOSE(X512:X519)</f>
        <v>00</v>
      </c>
      <c r="AB512" t="str">
        <v>00</v>
      </c>
      <c r="AC512" t="str">
        <v>00</v>
      </c>
      <c r="AD512" t="str">
        <v>03</v>
      </c>
      <c r="AE512" t="str">
        <v>C0</v>
      </c>
      <c r="AF512" t="str">
        <v>01</v>
      </c>
      <c r="AG512" t="str">
        <v>00</v>
      </c>
      <c r="AH512" t="str">
        <v>30</v>
      </c>
      <c r="AJ512" t="str">
        <f>LOWER("!byte $"&amp;AA512&amp;", $"&amp;AB512&amp;", $"&amp;AC512&amp;", $"&amp;AD512&amp;", $"&amp;AE512&amp;", $"&amp;AF512&amp;", $"&amp;AG512&amp;", $"&amp;AH512)</f>
        <v>!byte $00, $00, $00, $03, $c0, $01, $00, $30</v>
      </c>
    </row>
    <row r="513" spans="1:36" x14ac:dyDescent="0.3"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K513" s="2" t="str">
        <f t="shared" si="367"/>
        <v>00</v>
      </c>
      <c r="L513" s="2" t="str">
        <f t="shared" si="367"/>
        <v>00</v>
      </c>
      <c r="M513" s="2" t="str">
        <f t="shared" si="367"/>
        <v>00</v>
      </c>
      <c r="N513" s="2" t="str">
        <f t="shared" si="367"/>
        <v>00</v>
      </c>
      <c r="O513" s="2" t="str">
        <f t="shared" si="367"/>
        <v>00</v>
      </c>
      <c r="P513" s="2" t="str">
        <f t="shared" si="367"/>
        <v>00</v>
      </c>
      <c r="Q513" s="2" t="str">
        <f t="shared" si="367"/>
        <v>00</v>
      </c>
      <c r="R513" s="2" t="str">
        <f t="shared" si="367"/>
        <v>00</v>
      </c>
      <c r="T513" t="str">
        <f t="shared" si="361"/>
        <v>0000000000000000</v>
      </c>
      <c r="V513" s="9" t="str">
        <f t="shared" ref="V513:V527" si="368">LEFT(T513,8)</f>
        <v>00000000</v>
      </c>
      <c r="W513" s="9" t="str">
        <f t="shared" ref="W513:W527" si="369">RIGHT(T513,8)</f>
        <v>00000000</v>
      </c>
      <c r="X513" s="9" t="str">
        <f t="shared" ref="X513:X527" si="370">BIN2HEX(V513,2)</f>
        <v>00</v>
      </c>
      <c r="Y513" s="9" t="str">
        <f t="shared" ref="Y513:Y527" si="371">BIN2HEX(W513,2)</f>
        <v>00</v>
      </c>
      <c r="AA513" t="str" cm="1">
        <f t="array" ref="AA513:AH513">TRANSPOSE(X520:X527)</f>
        <v>08</v>
      </c>
      <c r="AB513" t="str">
        <v>00</v>
      </c>
      <c r="AC513" t="str">
        <v>10</v>
      </c>
      <c r="AD513" t="str">
        <v>0C</v>
      </c>
      <c r="AE513" t="str">
        <v>30</v>
      </c>
      <c r="AF513" t="str">
        <v>03</v>
      </c>
      <c r="AG513" t="str">
        <v>00</v>
      </c>
      <c r="AH513" t="str">
        <v>00</v>
      </c>
      <c r="AJ513" t="str">
        <f t="shared" ref="AJ513:AJ515" si="372">LOWER("!byte $"&amp;AA513&amp;", $"&amp;AB513&amp;", $"&amp;AC513&amp;", $"&amp;AD513&amp;", $"&amp;AE513&amp;", $"&amp;AF513&amp;", $"&amp;AG513&amp;", $"&amp;AH513)</f>
        <v>!byte $08, $00, $10, $0c, $30, $03, $00, $00</v>
      </c>
    </row>
    <row r="514" spans="1:36" x14ac:dyDescent="0.3"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K514" s="2" t="str">
        <f t="shared" si="367"/>
        <v>00</v>
      </c>
      <c r="L514" s="2" t="str">
        <f t="shared" si="367"/>
        <v>00</v>
      </c>
      <c r="M514" s="2" t="str">
        <f t="shared" si="367"/>
        <v>00</v>
      </c>
      <c r="N514" s="2" t="str">
        <f t="shared" si="367"/>
        <v>00</v>
      </c>
      <c r="O514" s="2" t="str">
        <f t="shared" si="367"/>
        <v>00</v>
      </c>
      <c r="P514" s="2" t="str">
        <f t="shared" si="367"/>
        <v>00</v>
      </c>
      <c r="Q514" s="2" t="str">
        <f t="shared" si="367"/>
        <v>00</v>
      </c>
      <c r="R514" s="2" t="str">
        <f t="shared" si="367"/>
        <v>00</v>
      </c>
      <c r="T514" t="str">
        <f t="shared" si="361"/>
        <v>0000000000000000</v>
      </c>
      <c r="V514" s="9" t="str">
        <f t="shared" si="368"/>
        <v>00000000</v>
      </c>
      <c r="W514" s="9" t="str">
        <f t="shared" si="369"/>
        <v>00000000</v>
      </c>
      <c r="X514" s="9" t="str">
        <f t="shared" si="370"/>
        <v>00</v>
      </c>
      <c r="Y514" s="9" t="str">
        <f t="shared" si="371"/>
        <v>00</v>
      </c>
      <c r="AA514" t="str" cm="1">
        <f t="array" ref="AA514:AH514">TRANSPOSE(Y512:Y519)</f>
        <v>00</v>
      </c>
      <c r="AB514" t="str">
        <v>00</v>
      </c>
      <c r="AC514" t="str">
        <v>00</v>
      </c>
      <c r="AD514" t="str">
        <v>00</v>
      </c>
      <c r="AE514" t="str">
        <v>C0</v>
      </c>
      <c r="AF514" t="str">
        <v>00</v>
      </c>
      <c r="AG514" t="str">
        <v>30</v>
      </c>
      <c r="AH514" t="str">
        <v>23</v>
      </c>
      <c r="AJ514" t="str">
        <f t="shared" si="372"/>
        <v>!byte $00, $00, $00, $00, $c0, $00, $30, $23</v>
      </c>
    </row>
    <row r="515" spans="1:36" x14ac:dyDescent="0.3">
      <c r="B515" s="2">
        <v>0</v>
      </c>
      <c r="C515" s="2">
        <v>0</v>
      </c>
      <c r="D515" s="2">
        <v>0</v>
      </c>
      <c r="E515" s="2">
        <v>3</v>
      </c>
      <c r="F515" s="2">
        <v>0</v>
      </c>
      <c r="G515" s="2">
        <v>0</v>
      </c>
      <c r="H515" s="2">
        <v>0</v>
      </c>
      <c r="I515" s="2">
        <v>0</v>
      </c>
      <c r="K515" s="2" t="str">
        <f t="shared" si="367"/>
        <v>00</v>
      </c>
      <c r="L515" s="2" t="str">
        <f t="shared" si="367"/>
        <v>00</v>
      </c>
      <c r="M515" s="2" t="str">
        <f t="shared" si="367"/>
        <v>00</v>
      </c>
      <c r="N515" s="2" t="str">
        <f t="shared" si="367"/>
        <v>11</v>
      </c>
      <c r="O515" s="2" t="str">
        <f t="shared" si="367"/>
        <v>00</v>
      </c>
      <c r="P515" s="2" t="str">
        <f t="shared" si="367"/>
        <v>00</v>
      </c>
      <c r="Q515" s="2" t="str">
        <f t="shared" si="367"/>
        <v>00</v>
      </c>
      <c r="R515" s="2" t="str">
        <f t="shared" si="367"/>
        <v>00</v>
      </c>
      <c r="T515" t="str">
        <f t="shared" si="361"/>
        <v>0000001100000000</v>
      </c>
      <c r="V515" s="9" t="str">
        <f t="shared" si="368"/>
        <v>00000011</v>
      </c>
      <c r="W515" s="9" t="str">
        <f t="shared" si="369"/>
        <v>00000000</v>
      </c>
      <c r="X515" s="9" t="str">
        <f t="shared" si="370"/>
        <v>03</v>
      </c>
      <c r="Y515" s="9" t="str">
        <f t="shared" si="371"/>
        <v>00</v>
      </c>
      <c r="AA515" t="str" cm="1">
        <f t="array" ref="AA515:AH515">TRANSPOSE(Y520:Y527)</f>
        <v>04</v>
      </c>
      <c r="AB515" t="str">
        <v>00</v>
      </c>
      <c r="AC515" t="str">
        <v>8C</v>
      </c>
      <c r="AD515" t="str">
        <v>40</v>
      </c>
      <c r="AE515" t="str">
        <v>00</v>
      </c>
      <c r="AF515" t="str">
        <v>00</v>
      </c>
      <c r="AG515" t="str">
        <v>00</v>
      </c>
      <c r="AH515" t="str">
        <v>00</v>
      </c>
      <c r="AJ515" t="str">
        <f t="shared" si="372"/>
        <v>!byte $04, $00, $8c, $40, $00, $00, $00, $00</v>
      </c>
    </row>
    <row r="516" spans="1:36" x14ac:dyDescent="0.3">
      <c r="B516" s="2">
        <v>3</v>
      </c>
      <c r="C516" s="2">
        <v>0</v>
      </c>
      <c r="D516" s="2">
        <v>0</v>
      </c>
      <c r="E516" s="2">
        <v>0</v>
      </c>
      <c r="F516" s="2">
        <v>3</v>
      </c>
      <c r="G516" s="2">
        <v>0</v>
      </c>
      <c r="H516" s="2">
        <v>0</v>
      </c>
      <c r="I516" s="2">
        <v>0</v>
      </c>
      <c r="K516" s="2" t="str">
        <f t="shared" si="367"/>
        <v>11</v>
      </c>
      <c r="L516" s="2" t="str">
        <f t="shared" si="367"/>
        <v>00</v>
      </c>
      <c r="M516" s="2" t="str">
        <f t="shared" si="367"/>
        <v>00</v>
      </c>
      <c r="N516" s="2" t="str">
        <f t="shared" si="367"/>
        <v>00</v>
      </c>
      <c r="O516" s="2" t="str">
        <f t="shared" si="367"/>
        <v>11</v>
      </c>
      <c r="P516" s="2" t="str">
        <f t="shared" si="367"/>
        <v>00</v>
      </c>
      <c r="Q516" s="2" t="str">
        <f t="shared" si="367"/>
        <v>00</v>
      </c>
      <c r="R516" s="2" t="str">
        <f t="shared" si="367"/>
        <v>00</v>
      </c>
      <c r="T516" t="str">
        <f t="shared" si="361"/>
        <v>1100000011000000</v>
      </c>
      <c r="V516" s="9" t="str">
        <f t="shared" si="368"/>
        <v>11000000</v>
      </c>
      <c r="W516" s="9" t="str">
        <f t="shared" si="369"/>
        <v>11000000</v>
      </c>
      <c r="X516" s="9" t="str">
        <f t="shared" si="370"/>
        <v>C0</v>
      </c>
      <c r="Y516" s="9" t="str">
        <f t="shared" si="371"/>
        <v>C0</v>
      </c>
    </row>
    <row r="517" spans="1:36" x14ac:dyDescent="0.3">
      <c r="B517" s="2">
        <v>0</v>
      </c>
      <c r="C517" s="2">
        <v>0</v>
      </c>
      <c r="D517" s="2">
        <v>0</v>
      </c>
      <c r="E517" s="2">
        <v>1</v>
      </c>
      <c r="F517" s="2">
        <v>0</v>
      </c>
      <c r="G517" s="2">
        <v>0</v>
      </c>
      <c r="H517" s="2">
        <v>0</v>
      </c>
      <c r="I517" s="2">
        <v>0</v>
      </c>
      <c r="K517" s="2" t="str">
        <f t="shared" si="367"/>
        <v>00</v>
      </c>
      <c r="L517" s="2" t="str">
        <f t="shared" si="367"/>
        <v>00</v>
      </c>
      <c r="M517" s="2" t="str">
        <f t="shared" si="367"/>
        <v>00</v>
      </c>
      <c r="N517" s="2" t="str">
        <f t="shared" si="367"/>
        <v>01</v>
      </c>
      <c r="O517" s="2" t="str">
        <f t="shared" si="367"/>
        <v>00</v>
      </c>
      <c r="P517" s="2" t="str">
        <f t="shared" si="367"/>
        <v>00</v>
      </c>
      <c r="Q517" s="2" t="str">
        <f t="shared" si="367"/>
        <v>00</v>
      </c>
      <c r="R517" s="2" t="str">
        <f t="shared" si="367"/>
        <v>00</v>
      </c>
      <c r="T517" t="str">
        <f t="shared" si="361"/>
        <v>0000000100000000</v>
      </c>
      <c r="V517" s="9" t="str">
        <f t="shared" si="368"/>
        <v>00000001</v>
      </c>
      <c r="W517" s="9" t="str">
        <f t="shared" si="369"/>
        <v>00000000</v>
      </c>
      <c r="X517" s="9" t="str">
        <f t="shared" si="370"/>
        <v>01</v>
      </c>
      <c r="Y517" s="9" t="str">
        <f t="shared" si="371"/>
        <v>00</v>
      </c>
    </row>
    <row r="518" spans="1:36" x14ac:dyDescent="0.3"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3</v>
      </c>
      <c r="H518" s="2">
        <v>0</v>
      </c>
      <c r="I518" s="2">
        <v>0</v>
      </c>
      <c r="K518" s="2" t="str">
        <f t="shared" si="367"/>
        <v>00</v>
      </c>
      <c r="L518" s="2" t="str">
        <f t="shared" si="367"/>
        <v>00</v>
      </c>
      <c r="M518" s="2" t="str">
        <f t="shared" si="367"/>
        <v>00</v>
      </c>
      <c r="N518" s="2" t="str">
        <f t="shared" si="367"/>
        <v>00</v>
      </c>
      <c r="O518" s="2" t="str">
        <f t="shared" si="367"/>
        <v>00</v>
      </c>
      <c r="P518" s="2" t="str">
        <f t="shared" si="367"/>
        <v>11</v>
      </c>
      <c r="Q518" s="2" t="str">
        <f t="shared" si="367"/>
        <v>00</v>
      </c>
      <c r="R518" s="2" t="str">
        <f t="shared" si="367"/>
        <v>00</v>
      </c>
      <c r="T518" t="str">
        <f t="shared" si="361"/>
        <v>0000000000110000</v>
      </c>
      <c r="V518" s="9" t="str">
        <f t="shared" si="368"/>
        <v>00000000</v>
      </c>
      <c r="W518" s="9" t="str">
        <f t="shared" si="369"/>
        <v>00110000</v>
      </c>
      <c r="X518" s="9" t="str">
        <f t="shared" si="370"/>
        <v>00</v>
      </c>
      <c r="Y518" s="9" t="str">
        <f t="shared" si="371"/>
        <v>30</v>
      </c>
    </row>
    <row r="519" spans="1:36" x14ac:dyDescent="0.3">
      <c r="B519" s="2">
        <v>0</v>
      </c>
      <c r="C519" s="2">
        <v>3</v>
      </c>
      <c r="D519" s="2">
        <v>0</v>
      </c>
      <c r="E519" s="2">
        <v>0</v>
      </c>
      <c r="F519" s="2">
        <v>0</v>
      </c>
      <c r="G519" s="2">
        <v>2</v>
      </c>
      <c r="H519" s="2">
        <v>0</v>
      </c>
      <c r="I519" s="2">
        <v>3</v>
      </c>
      <c r="K519" s="2" t="str">
        <f t="shared" si="367"/>
        <v>00</v>
      </c>
      <c r="L519" s="2" t="str">
        <f t="shared" si="367"/>
        <v>11</v>
      </c>
      <c r="M519" s="2" t="str">
        <f t="shared" si="367"/>
        <v>00</v>
      </c>
      <c r="N519" s="2" t="str">
        <f t="shared" si="367"/>
        <v>00</v>
      </c>
      <c r="O519" s="2" t="str">
        <f t="shared" si="367"/>
        <v>00</v>
      </c>
      <c r="P519" s="2" t="str">
        <f t="shared" si="367"/>
        <v>10</v>
      </c>
      <c r="Q519" s="2" t="str">
        <f t="shared" si="367"/>
        <v>00</v>
      </c>
      <c r="R519" s="2" t="str">
        <f t="shared" si="367"/>
        <v>11</v>
      </c>
      <c r="T519" t="str">
        <f t="shared" si="361"/>
        <v>0011000000100011</v>
      </c>
      <c r="V519" s="10" t="str">
        <f t="shared" si="368"/>
        <v>00110000</v>
      </c>
      <c r="W519" s="10" t="str">
        <f t="shared" si="369"/>
        <v>00100011</v>
      </c>
      <c r="X519" s="10" t="str">
        <f t="shared" si="370"/>
        <v>30</v>
      </c>
      <c r="Y519" s="10" t="str">
        <f t="shared" si="371"/>
        <v>23</v>
      </c>
    </row>
    <row r="520" spans="1:36" x14ac:dyDescent="0.3">
      <c r="B520" s="2">
        <v>0</v>
      </c>
      <c r="C520" s="2">
        <v>0</v>
      </c>
      <c r="D520" s="2">
        <v>2</v>
      </c>
      <c r="E520" s="2">
        <v>0</v>
      </c>
      <c r="F520" s="2">
        <v>0</v>
      </c>
      <c r="G520" s="2">
        <v>0</v>
      </c>
      <c r="H520" s="2">
        <v>1</v>
      </c>
      <c r="I520" s="2">
        <v>0</v>
      </c>
      <c r="K520" s="2" t="str">
        <f t="shared" si="367"/>
        <v>00</v>
      </c>
      <c r="L520" s="2" t="str">
        <f t="shared" si="367"/>
        <v>00</v>
      </c>
      <c r="M520" s="2" t="str">
        <f t="shared" si="367"/>
        <v>10</v>
      </c>
      <c r="N520" s="2" t="str">
        <f t="shared" si="367"/>
        <v>00</v>
      </c>
      <c r="O520" s="2" t="str">
        <f t="shared" si="367"/>
        <v>00</v>
      </c>
      <c r="P520" s="2" t="str">
        <f t="shared" si="367"/>
        <v>00</v>
      </c>
      <c r="Q520" s="2" t="str">
        <f t="shared" si="367"/>
        <v>01</v>
      </c>
      <c r="R520" s="2" t="str">
        <f t="shared" si="367"/>
        <v>00</v>
      </c>
      <c r="T520" t="str">
        <f t="shared" si="361"/>
        <v>0000100000000100</v>
      </c>
      <c r="V520" s="8" t="str">
        <f t="shared" si="368"/>
        <v>00001000</v>
      </c>
      <c r="W520" s="8" t="str">
        <f t="shared" si="369"/>
        <v>00000100</v>
      </c>
      <c r="X520" s="8" t="str">
        <f t="shared" si="370"/>
        <v>08</v>
      </c>
      <c r="Y520" s="8" t="str">
        <f t="shared" si="371"/>
        <v>04</v>
      </c>
    </row>
    <row r="521" spans="1:36" x14ac:dyDescent="0.3"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K521" s="2" t="str">
        <f t="shared" si="367"/>
        <v>00</v>
      </c>
      <c r="L521" s="2" t="str">
        <f t="shared" si="367"/>
        <v>00</v>
      </c>
      <c r="M521" s="2" t="str">
        <f t="shared" si="367"/>
        <v>00</v>
      </c>
      <c r="N521" s="2" t="str">
        <f t="shared" si="367"/>
        <v>00</v>
      </c>
      <c r="O521" s="2" t="str">
        <f t="shared" si="367"/>
        <v>00</v>
      </c>
      <c r="P521" s="2" t="str">
        <f t="shared" si="367"/>
        <v>00</v>
      </c>
      <c r="Q521" s="2" t="str">
        <f t="shared" si="367"/>
        <v>00</v>
      </c>
      <c r="R521" s="2" t="str">
        <f t="shared" si="367"/>
        <v>00</v>
      </c>
      <c r="T521" t="str">
        <f t="shared" si="361"/>
        <v>0000000000000000</v>
      </c>
      <c r="V521" s="9" t="str">
        <f t="shared" si="368"/>
        <v>00000000</v>
      </c>
      <c r="W521" s="9" t="str">
        <f t="shared" si="369"/>
        <v>00000000</v>
      </c>
      <c r="X521" s="9" t="str">
        <f t="shared" si="370"/>
        <v>00</v>
      </c>
      <c r="Y521" s="9" t="str">
        <f t="shared" si="371"/>
        <v>00</v>
      </c>
    </row>
    <row r="522" spans="1:36" x14ac:dyDescent="0.3">
      <c r="B522" s="2">
        <v>0</v>
      </c>
      <c r="C522" s="2">
        <v>1</v>
      </c>
      <c r="D522" s="2">
        <v>0</v>
      </c>
      <c r="E522" s="2">
        <v>0</v>
      </c>
      <c r="F522" s="2">
        <v>2</v>
      </c>
      <c r="G522" s="2">
        <v>0</v>
      </c>
      <c r="H522" s="2">
        <v>3</v>
      </c>
      <c r="I522" s="2">
        <v>0</v>
      </c>
      <c r="K522" s="2" t="str">
        <f t="shared" si="367"/>
        <v>00</v>
      </c>
      <c r="L522" s="2" t="str">
        <f t="shared" si="367"/>
        <v>01</v>
      </c>
      <c r="M522" s="2" t="str">
        <f t="shared" si="367"/>
        <v>00</v>
      </c>
      <c r="N522" s="2" t="str">
        <f t="shared" si="367"/>
        <v>00</v>
      </c>
      <c r="O522" s="2" t="str">
        <f t="shared" si="367"/>
        <v>10</v>
      </c>
      <c r="P522" s="2" t="str">
        <f t="shared" si="367"/>
        <v>00</v>
      </c>
      <c r="Q522" s="2" t="str">
        <f t="shared" si="367"/>
        <v>11</v>
      </c>
      <c r="R522" s="2" t="str">
        <f t="shared" si="367"/>
        <v>00</v>
      </c>
      <c r="T522" t="str">
        <f t="shared" si="361"/>
        <v>0001000010001100</v>
      </c>
      <c r="V522" s="9" t="str">
        <f t="shared" si="368"/>
        <v>00010000</v>
      </c>
      <c r="W522" s="9" t="str">
        <f t="shared" si="369"/>
        <v>10001100</v>
      </c>
      <c r="X522" s="9" t="str">
        <f t="shared" si="370"/>
        <v>10</v>
      </c>
      <c r="Y522" s="9" t="str">
        <f t="shared" si="371"/>
        <v>8C</v>
      </c>
    </row>
    <row r="523" spans="1:36" x14ac:dyDescent="0.3">
      <c r="B523" s="2">
        <v>0</v>
      </c>
      <c r="C523" s="2">
        <v>0</v>
      </c>
      <c r="D523" s="2">
        <v>3</v>
      </c>
      <c r="E523" s="2">
        <v>0</v>
      </c>
      <c r="F523" s="2">
        <v>1</v>
      </c>
      <c r="G523" s="2">
        <v>0</v>
      </c>
      <c r="H523" s="2">
        <v>0</v>
      </c>
      <c r="I523" s="2">
        <v>0</v>
      </c>
      <c r="K523" s="2" t="str">
        <f t="shared" si="367"/>
        <v>00</v>
      </c>
      <c r="L523" s="2" t="str">
        <f t="shared" si="367"/>
        <v>00</v>
      </c>
      <c r="M523" s="2" t="str">
        <f t="shared" si="367"/>
        <v>11</v>
      </c>
      <c r="N523" s="2" t="str">
        <f t="shared" si="367"/>
        <v>00</v>
      </c>
      <c r="O523" s="2" t="str">
        <f t="shared" si="367"/>
        <v>01</v>
      </c>
      <c r="P523" s="2" t="str">
        <f t="shared" si="367"/>
        <v>00</v>
      </c>
      <c r="Q523" s="2" t="str">
        <f t="shared" si="367"/>
        <v>00</v>
      </c>
      <c r="R523" s="2" t="str">
        <f t="shared" si="367"/>
        <v>00</v>
      </c>
      <c r="T523" t="str">
        <f t="shared" si="361"/>
        <v>0000110001000000</v>
      </c>
      <c r="V523" s="9" t="str">
        <f t="shared" si="368"/>
        <v>00001100</v>
      </c>
      <c r="W523" s="9" t="str">
        <f t="shared" si="369"/>
        <v>01000000</v>
      </c>
      <c r="X523" s="9" t="str">
        <f t="shared" si="370"/>
        <v>0C</v>
      </c>
      <c r="Y523" s="9" t="str">
        <f t="shared" si="371"/>
        <v>40</v>
      </c>
    </row>
    <row r="524" spans="1:36" x14ac:dyDescent="0.3">
      <c r="B524" s="2">
        <v>0</v>
      </c>
      <c r="C524" s="2">
        <v>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K524" s="2" t="str">
        <f t="shared" si="367"/>
        <v>00</v>
      </c>
      <c r="L524" s="2" t="str">
        <f t="shared" si="367"/>
        <v>11</v>
      </c>
      <c r="M524" s="2" t="str">
        <f t="shared" si="367"/>
        <v>00</v>
      </c>
      <c r="N524" s="2" t="str">
        <f t="shared" si="367"/>
        <v>00</v>
      </c>
      <c r="O524" s="2" t="str">
        <f t="shared" si="367"/>
        <v>00</v>
      </c>
      <c r="P524" s="2" t="str">
        <f t="shared" si="367"/>
        <v>00</v>
      </c>
      <c r="Q524" s="2" t="str">
        <f t="shared" si="367"/>
        <v>00</v>
      </c>
      <c r="R524" s="2" t="str">
        <f t="shared" si="367"/>
        <v>00</v>
      </c>
      <c r="T524" t="str">
        <f t="shared" si="361"/>
        <v>0011000000000000</v>
      </c>
      <c r="V524" s="9" t="str">
        <f t="shared" si="368"/>
        <v>00110000</v>
      </c>
      <c r="W524" s="9" t="str">
        <f t="shared" si="369"/>
        <v>00000000</v>
      </c>
      <c r="X524" s="9" t="str">
        <f t="shared" si="370"/>
        <v>30</v>
      </c>
      <c r="Y524" s="9" t="str">
        <f t="shared" si="371"/>
        <v>00</v>
      </c>
    </row>
    <row r="525" spans="1:36" x14ac:dyDescent="0.3">
      <c r="B525" s="2">
        <v>0</v>
      </c>
      <c r="C525" s="2">
        <v>0</v>
      </c>
      <c r="D525" s="2">
        <v>0</v>
      </c>
      <c r="E525" s="2">
        <v>3</v>
      </c>
      <c r="F525" s="2">
        <v>0</v>
      </c>
      <c r="G525" s="2">
        <v>0</v>
      </c>
      <c r="H525" s="2">
        <v>0</v>
      </c>
      <c r="I525" s="2">
        <v>0</v>
      </c>
      <c r="K525" s="2" t="str">
        <f t="shared" si="367"/>
        <v>00</v>
      </c>
      <c r="L525" s="2" t="str">
        <f t="shared" si="367"/>
        <v>00</v>
      </c>
      <c r="M525" s="2" t="str">
        <f t="shared" si="367"/>
        <v>00</v>
      </c>
      <c r="N525" s="2" t="str">
        <f t="shared" si="367"/>
        <v>11</v>
      </c>
      <c r="O525" s="2" t="str">
        <f t="shared" si="367"/>
        <v>00</v>
      </c>
      <c r="P525" s="2" t="str">
        <f t="shared" si="367"/>
        <v>00</v>
      </c>
      <c r="Q525" s="2" t="str">
        <f t="shared" si="367"/>
        <v>00</v>
      </c>
      <c r="R525" s="2" t="str">
        <f t="shared" si="367"/>
        <v>00</v>
      </c>
      <c r="T525" t="str">
        <f t="shared" si="361"/>
        <v>0000001100000000</v>
      </c>
      <c r="V525" s="9" t="str">
        <f t="shared" si="368"/>
        <v>00000011</v>
      </c>
      <c r="W525" s="9" t="str">
        <f t="shared" si="369"/>
        <v>00000000</v>
      </c>
      <c r="X525" s="9" t="str">
        <f t="shared" si="370"/>
        <v>03</v>
      </c>
      <c r="Y525" s="9" t="str">
        <f t="shared" si="371"/>
        <v>00</v>
      </c>
    </row>
    <row r="526" spans="1:36" x14ac:dyDescent="0.3"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K526" s="2" t="str">
        <f t="shared" si="367"/>
        <v>00</v>
      </c>
      <c r="L526" s="2" t="str">
        <f t="shared" si="367"/>
        <v>00</v>
      </c>
      <c r="M526" s="2" t="str">
        <f t="shared" si="367"/>
        <v>00</v>
      </c>
      <c r="N526" s="2" t="str">
        <f t="shared" si="367"/>
        <v>00</v>
      </c>
      <c r="O526" s="2" t="str">
        <f t="shared" si="367"/>
        <v>00</v>
      </c>
      <c r="P526" s="2" t="str">
        <f t="shared" si="367"/>
        <v>00</v>
      </c>
      <c r="Q526" s="2" t="str">
        <f t="shared" si="367"/>
        <v>00</v>
      </c>
      <c r="R526" s="2" t="str">
        <f t="shared" si="367"/>
        <v>00</v>
      </c>
      <c r="T526" t="str">
        <f t="shared" si="361"/>
        <v>0000000000000000</v>
      </c>
      <c r="V526" s="9" t="str">
        <f t="shared" si="368"/>
        <v>00000000</v>
      </c>
      <c r="W526" s="9" t="str">
        <f t="shared" si="369"/>
        <v>00000000</v>
      </c>
      <c r="X526" s="9" t="str">
        <f t="shared" si="370"/>
        <v>00</v>
      </c>
      <c r="Y526" s="9" t="str">
        <f t="shared" si="371"/>
        <v>00</v>
      </c>
    </row>
    <row r="527" spans="1:36" x14ac:dyDescent="0.3"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K527" s="2" t="str">
        <f t="shared" si="367"/>
        <v>00</v>
      </c>
      <c r="L527" s="2" t="str">
        <f t="shared" si="367"/>
        <v>00</v>
      </c>
      <c r="M527" s="2" t="str">
        <f t="shared" si="367"/>
        <v>00</v>
      </c>
      <c r="N527" s="2" t="str">
        <f t="shared" si="367"/>
        <v>00</v>
      </c>
      <c r="O527" s="2" t="str">
        <f t="shared" si="367"/>
        <v>00</v>
      </c>
      <c r="P527" s="2" t="str">
        <f t="shared" si="367"/>
        <v>00</v>
      </c>
      <c r="Q527" s="2" t="str">
        <f t="shared" si="367"/>
        <v>00</v>
      </c>
      <c r="R527" s="2" t="str">
        <f t="shared" si="367"/>
        <v>00</v>
      </c>
      <c r="T527" t="str">
        <f t="shared" si="361"/>
        <v>0000000000000000</v>
      </c>
      <c r="V527" s="10" t="str">
        <f t="shared" si="368"/>
        <v>00000000</v>
      </c>
      <c r="W527" s="10" t="str">
        <f t="shared" si="369"/>
        <v>00000000</v>
      </c>
      <c r="X527" s="10" t="str">
        <f t="shared" si="370"/>
        <v>00</v>
      </c>
      <c r="Y527" s="10" t="str">
        <f t="shared" si="371"/>
        <v>00</v>
      </c>
    </row>
    <row r="528" spans="1:36" x14ac:dyDescent="0.3">
      <c r="A528" t="s">
        <v>12</v>
      </c>
      <c r="AJ528" t="str">
        <f>";"&amp;PROPER(A528)</f>
        <v>;Explosion 3</v>
      </c>
    </row>
    <row r="529" spans="2:36" x14ac:dyDescent="0.3"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K529" s="2" t="str">
        <f t="shared" ref="K529:R544" si="373">DEC2BIN(B529,2)</f>
        <v>00</v>
      </c>
      <c r="L529" s="2" t="str">
        <f t="shared" si="373"/>
        <v>00</v>
      </c>
      <c r="M529" s="2" t="str">
        <f t="shared" si="373"/>
        <v>00</v>
      </c>
      <c r="N529" s="2" t="str">
        <f t="shared" si="373"/>
        <v>00</v>
      </c>
      <c r="O529" s="2" t="str">
        <f t="shared" si="373"/>
        <v>00</v>
      </c>
      <c r="P529" s="2" t="str">
        <f t="shared" si="373"/>
        <v>00</v>
      </c>
      <c r="Q529" s="2" t="str">
        <f t="shared" si="373"/>
        <v>00</v>
      </c>
      <c r="R529" s="2" t="str">
        <f t="shared" si="373"/>
        <v>00</v>
      </c>
      <c r="T529" t="str">
        <f t="shared" si="361"/>
        <v>0000000000000000</v>
      </c>
      <c r="V529" s="8" t="str">
        <f>LEFT(T529,8)</f>
        <v>00000000</v>
      </c>
      <c r="W529" s="8" t="str">
        <f>RIGHT(T529,8)</f>
        <v>00000000</v>
      </c>
      <c r="X529" s="8" t="str">
        <f>BIN2HEX(V529,2)</f>
        <v>00</v>
      </c>
      <c r="Y529" s="8" t="str">
        <f>BIN2HEX(W529,2)</f>
        <v>00</v>
      </c>
      <c r="AA529" t="str" cm="1">
        <f t="array" ref="AA529:AH529">TRANSPOSE(X529:X536)</f>
        <v>00</v>
      </c>
      <c r="AB529" t="str">
        <v>00</v>
      </c>
      <c r="AC529" t="str">
        <v>03</v>
      </c>
      <c r="AD529" t="str">
        <v>00</v>
      </c>
      <c r="AE529" t="str">
        <v>04</v>
      </c>
      <c r="AF529" t="str">
        <v>00</v>
      </c>
      <c r="AG529" t="str">
        <v>00</v>
      </c>
      <c r="AH529" t="str">
        <v>00</v>
      </c>
      <c r="AJ529" t="str">
        <f>LOWER("!byte $"&amp;AA529&amp;", $"&amp;AB529&amp;", $"&amp;AC529&amp;", $"&amp;AD529&amp;", $"&amp;AE529&amp;", $"&amp;AF529&amp;", $"&amp;AG529&amp;", $"&amp;AH529)</f>
        <v>!byte $00, $00, $03, $00, $04, $00, $00, $00</v>
      </c>
    </row>
    <row r="530" spans="2:36" x14ac:dyDescent="0.3"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K530" s="2" t="str">
        <f t="shared" si="373"/>
        <v>00</v>
      </c>
      <c r="L530" s="2" t="str">
        <f t="shared" si="373"/>
        <v>00</v>
      </c>
      <c r="M530" s="2" t="str">
        <f t="shared" si="373"/>
        <v>00</v>
      </c>
      <c r="N530" s="2" t="str">
        <f t="shared" si="373"/>
        <v>00</v>
      </c>
      <c r="O530" s="2" t="str">
        <f t="shared" si="373"/>
        <v>00</v>
      </c>
      <c r="P530" s="2" t="str">
        <f t="shared" si="373"/>
        <v>00</v>
      </c>
      <c r="Q530" s="2" t="str">
        <f t="shared" si="373"/>
        <v>00</v>
      </c>
      <c r="R530" s="2" t="str">
        <f t="shared" si="373"/>
        <v>00</v>
      </c>
      <c r="T530" t="str">
        <f t="shared" si="361"/>
        <v>0000000000000000</v>
      </c>
      <c r="V530" s="9" t="str">
        <f t="shared" ref="V530:V544" si="374">LEFT(T530,8)</f>
        <v>00000000</v>
      </c>
      <c r="W530" s="9" t="str">
        <f t="shared" ref="W530:W544" si="375">RIGHT(T530,8)</f>
        <v>00000000</v>
      </c>
      <c r="X530" s="9" t="str">
        <f t="shared" ref="X530:X544" si="376">BIN2HEX(V530,2)</f>
        <v>00</v>
      </c>
      <c r="Y530" s="9" t="str">
        <f t="shared" ref="Y530:Y544" si="377">BIN2HEX(W530,2)</f>
        <v>00</v>
      </c>
      <c r="AA530" t="str" cm="1">
        <f t="array" ref="AA530:AH530">TRANSPOSE(X537:X544)</f>
        <v>C0</v>
      </c>
      <c r="AB530" t="str">
        <v>20</v>
      </c>
      <c r="AC530" t="str">
        <v>00</v>
      </c>
      <c r="AD530" t="str">
        <v>40</v>
      </c>
      <c r="AE530" t="str">
        <v>0C</v>
      </c>
      <c r="AF530" t="str">
        <v>C0</v>
      </c>
      <c r="AG530" t="str">
        <v>03</v>
      </c>
      <c r="AH530" t="str">
        <v>00</v>
      </c>
      <c r="AJ530" t="str">
        <f t="shared" ref="AJ530:AJ532" si="378">LOWER("!byte $"&amp;AA530&amp;", $"&amp;AB530&amp;", $"&amp;AC530&amp;", $"&amp;AD530&amp;", $"&amp;AE530&amp;", $"&amp;AF530&amp;", $"&amp;AG530&amp;", $"&amp;AH530)</f>
        <v>!byte $c0, $20, $00, $40, $0c, $c0, $03, $00</v>
      </c>
    </row>
    <row r="531" spans="2:36" x14ac:dyDescent="0.3">
      <c r="B531" s="2">
        <v>0</v>
      </c>
      <c r="C531" s="2">
        <v>0</v>
      </c>
      <c r="D531" s="2">
        <v>0</v>
      </c>
      <c r="E531" s="2">
        <v>3</v>
      </c>
      <c r="F531" s="2">
        <v>0</v>
      </c>
      <c r="G531" s="2">
        <v>0</v>
      </c>
      <c r="H531" s="2">
        <v>0</v>
      </c>
      <c r="I531" s="2">
        <v>0</v>
      </c>
      <c r="K531" s="2" t="str">
        <f t="shared" si="373"/>
        <v>00</v>
      </c>
      <c r="L531" s="2" t="str">
        <f t="shared" si="373"/>
        <v>00</v>
      </c>
      <c r="M531" s="2" t="str">
        <f t="shared" si="373"/>
        <v>00</v>
      </c>
      <c r="N531" s="2" t="str">
        <f t="shared" si="373"/>
        <v>11</v>
      </c>
      <c r="O531" s="2" t="str">
        <f t="shared" si="373"/>
        <v>00</v>
      </c>
      <c r="P531" s="2" t="str">
        <f t="shared" si="373"/>
        <v>00</v>
      </c>
      <c r="Q531" s="2" t="str">
        <f t="shared" si="373"/>
        <v>00</v>
      </c>
      <c r="R531" s="2" t="str">
        <f t="shared" si="373"/>
        <v>00</v>
      </c>
      <c r="T531" t="str">
        <f t="shared" ref="T531:T561" si="379">_xlfn.CONCAT(K531:R531)</f>
        <v>0000001100000000</v>
      </c>
      <c r="V531" s="9" t="str">
        <f t="shared" si="374"/>
        <v>00000011</v>
      </c>
      <c r="W531" s="9" t="str">
        <f t="shared" si="375"/>
        <v>00000000</v>
      </c>
      <c r="X531" s="9" t="str">
        <f t="shared" si="376"/>
        <v>03</v>
      </c>
      <c r="Y531" s="9" t="str">
        <f t="shared" si="377"/>
        <v>00</v>
      </c>
      <c r="AA531" t="str" cm="1">
        <f t="array" ref="AA531:AH531">TRANSPOSE(Y529:Y536)</f>
        <v>00</v>
      </c>
      <c r="AB531" t="str">
        <v>00</v>
      </c>
      <c r="AC531" t="str">
        <v>00</v>
      </c>
      <c r="AD531" t="str">
        <v>30</v>
      </c>
      <c r="AE531" t="str">
        <v>00</v>
      </c>
      <c r="AF531" t="str">
        <v>0C</v>
      </c>
      <c r="AG531" t="str">
        <v>00</v>
      </c>
      <c r="AH531" t="str">
        <v>0B</v>
      </c>
      <c r="AJ531" t="str">
        <f t="shared" si="378"/>
        <v>!byte $00, $00, $00, $30, $00, $0c, $00, $0b</v>
      </c>
    </row>
    <row r="532" spans="2:36" x14ac:dyDescent="0.3"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0</v>
      </c>
      <c r="K532" s="2" t="str">
        <f t="shared" si="373"/>
        <v>00</v>
      </c>
      <c r="L532" s="2" t="str">
        <f t="shared" si="373"/>
        <v>00</v>
      </c>
      <c r="M532" s="2" t="str">
        <f t="shared" si="373"/>
        <v>00</v>
      </c>
      <c r="N532" s="2" t="str">
        <f t="shared" si="373"/>
        <v>00</v>
      </c>
      <c r="O532" s="2" t="str">
        <f t="shared" si="373"/>
        <v>00</v>
      </c>
      <c r="P532" s="2" t="str">
        <f t="shared" si="373"/>
        <v>11</v>
      </c>
      <c r="Q532" s="2" t="str">
        <f t="shared" si="373"/>
        <v>00</v>
      </c>
      <c r="R532" s="2" t="str">
        <f t="shared" si="373"/>
        <v>00</v>
      </c>
      <c r="T532" t="str">
        <f t="shared" si="379"/>
        <v>0000000000110000</v>
      </c>
      <c r="V532" s="9" t="str">
        <f t="shared" si="374"/>
        <v>00000000</v>
      </c>
      <c r="W532" s="9" t="str">
        <f t="shared" si="375"/>
        <v>00110000</v>
      </c>
      <c r="X532" s="9" t="str">
        <f t="shared" si="376"/>
        <v>00</v>
      </c>
      <c r="Y532" s="9" t="str">
        <f t="shared" si="377"/>
        <v>30</v>
      </c>
      <c r="AA532" t="str" cm="1">
        <f t="array" ref="AA532:AH532">TRANSPOSE(Y537:Y544)</f>
        <v>00</v>
      </c>
      <c r="AB532" t="str">
        <v>01</v>
      </c>
      <c r="AC532" t="str">
        <v>00</v>
      </c>
      <c r="AD532" t="str">
        <v>80</v>
      </c>
      <c r="AE532" t="str">
        <v>13</v>
      </c>
      <c r="AF532" t="str">
        <v>00</v>
      </c>
      <c r="AG532" t="str">
        <v>00</v>
      </c>
      <c r="AH532" t="str">
        <v>00</v>
      </c>
      <c r="AJ532" t="str">
        <f t="shared" si="378"/>
        <v>!byte $00, $01, $00, $80, $13, $00, $00, $00</v>
      </c>
    </row>
    <row r="533" spans="2:36" x14ac:dyDescent="0.3">
      <c r="B533" s="2">
        <v>0</v>
      </c>
      <c r="C533" s="2">
        <v>0</v>
      </c>
      <c r="D533" s="2">
        <v>1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K533" s="2" t="str">
        <f t="shared" si="373"/>
        <v>00</v>
      </c>
      <c r="L533" s="2" t="str">
        <f t="shared" si="373"/>
        <v>00</v>
      </c>
      <c r="M533" s="2" t="str">
        <f t="shared" si="373"/>
        <v>01</v>
      </c>
      <c r="N533" s="2" t="str">
        <f t="shared" si="373"/>
        <v>00</v>
      </c>
      <c r="O533" s="2" t="str">
        <f t="shared" si="373"/>
        <v>00</v>
      </c>
      <c r="P533" s="2" t="str">
        <f t="shared" si="373"/>
        <v>00</v>
      </c>
      <c r="Q533" s="2" t="str">
        <f t="shared" si="373"/>
        <v>00</v>
      </c>
      <c r="R533" s="2" t="str">
        <f t="shared" si="373"/>
        <v>00</v>
      </c>
      <c r="T533" t="str">
        <f t="shared" si="379"/>
        <v>0000010000000000</v>
      </c>
      <c r="V533" s="9" t="str">
        <f t="shared" si="374"/>
        <v>00000100</v>
      </c>
      <c r="W533" s="9" t="str">
        <f t="shared" si="375"/>
        <v>00000000</v>
      </c>
      <c r="X533" s="9" t="str">
        <f t="shared" si="376"/>
        <v>04</v>
      </c>
      <c r="Y533" s="9" t="str">
        <f t="shared" si="377"/>
        <v>00</v>
      </c>
    </row>
    <row r="534" spans="2:36" x14ac:dyDescent="0.3"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3</v>
      </c>
      <c r="I534" s="2">
        <v>0</v>
      </c>
      <c r="K534" s="2" t="str">
        <f t="shared" si="373"/>
        <v>00</v>
      </c>
      <c r="L534" s="2" t="str">
        <f t="shared" si="373"/>
        <v>00</v>
      </c>
      <c r="M534" s="2" t="str">
        <f t="shared" si="373"/>
        <v>00</v>
      </c>
      <c r="N534" s="2" t="str">
        <f t="shared" si="373"/>
        <v>00</v>
      </c>
      <c r="O534" s="2" t="str">
        <f t="shared" si="373"/>
        <v>00</v>
      </c>
      <c r="P534" s="2" t="str">
        <f t="shared" si="373"/>
        <v>00</v>
      </c>
      <c r="Q534" s="2" t="str">
        <f t="shared" si="373"/>
        <v>11</v>
      </c>
      <c r="R534" s="2" t="str">
        <f t="shared" si="373"/>
        <v>00</v>
      </c>
      <c r="T534" t="str">
        <f t="shared" si="379"/>
        <v>0000000000001100</v>
      </c>
      <c r="V534" s="9" t="str">
        <f t="shared" si="374"/>
        <v>00000000</v>
      </c>
      <c r="W534" s="9" t="str">
        <f t="shared" si="375"/>
        <v>00001100</v>
      </c>
      <c r="X534" s="9" t="str">
        <f t="shared" si="376"/>
        <v>00</v>
      </c>
      <c r="Y534" s="9" t="str">
        <f t="shared" si="377"/>
        <v>0C</v>
      </c>
    </row>
    <row r="535" spans="2:36" x14ac:dyDescent="0.3"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K535" s="2" t="str">
        <f t="shared" si="373"/>
        <v>00</v>
      </c>
      <c r="L535" s="2" t="str">
        <f t="shared" si="373"/>
        <v>00</v>
      </c>
      <c r="M535" s="2" t="str">
        <f t="shared" si="373"/>
        <v>00</v>
      </c>
      <c r="N535" s="2" t="str">
        <f t="shared" si="373"/>
        <v>00</v>
      </c>
      <c r="O535" s="2" t="str">
        <f t="shared" si="373"/>
        <v>00</v>
      </c>
      <c r="P535" s="2" t="str">
        <f t="shared" si="373"/>
        <v>00</v>
      </c>
      <c r="Q535" s="2" t="str">
        <f t="shared" si="373"/>
        <v>00</v>
      </c>
      <c r="R535" s="2" t="str">
        <f t="shared" si="373"/>
        <v>00</v>
      </c>
      <c r="T535" t="str">
        <f t="shared" si="379"/>
        <v>0000000000000000</v>
      </c>
      <c r="V535" s="9" t="str">
        <f t="shared" si="374"/>
        <v>00000000</v>
      </c>
      <c r="W535" s="9" t="str">
        <f t="shared" si="375"/>
        <v>00000000</v>
      </c>
      <c r="X535" s="9" t="str">
        <f t="shared" si="376"/>
        <v>00</v>
      </c>
      <c r="Y535" s="9" t="str">
        <f t="shared" si="377"/>
        <v>00</v>
      </c>
    </row>
    <row r="536" spans="2:36" x14ac:dyDescent="0.3"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2</v>
      </c>
      <c r="I536" s="2">
        <v>3</v>
      </c>
      <c r="K536" s="2" t="str">
        <f t="shared" si="373"/>
        <v>00</v>
      </c>
      <c r="L536" s="2" t="str">
        <f t="shared" si="373"/>
        <v>00</v>
      </c>
      <c r="M536" s="2" t="str">
        <f t="shared" si="373"/>
        <v>00</v>
      </c>
      <c r="N536" s="2" t="str">
        <f t="shared" si="373"/>
        <v>00</v>
      </c>
      <c r="O536" s="2" t="str">
        <f t="shared" si="373"/>
        <v>00</v>
      </c>
      <c r="P536" s="2" t="str">
        <f t="shared" si="373"/>
        <v>00</v>
      </c>
      <c r="Q536" s="2" t="str">
        <f t="shared" si="373"/>
        <v>10</v>
      </c>
      <c r="R536" s="2" t="str">
        <f t="shared" si="373"/>
        <v>11</v>
      </c>
      <c r="T536" t="str">
        <f t="shared" si="379"/>
        <v>0000000000001011</v>
      </c>
      <c r="V536" s="10" t="str">
        <f t="shared" si="374"/>
        <v>00000000</v>
      </c>
      <c r="W536" s="10" t="str">
        <f t="shared" si="375"/>
        <v>00001011</v>
      </c>
      <c r="X536" s="10" t="str">
        <f t="shared" si="376"/>
        <v>00</v>
      </c>
      <c r="Y536" s="10" t="str">
        <f t="shared" si="377"/>
        <v>0B</v>
      </c>
    </row>
    <row r="537" spans="2:36" x14ac:dyDescent="0.3">
      <c r="B537" s="2">
        <v>3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K537" s="2" t="str">
        <f t="shared" si="373"/>
        <v>11</v>
      </c>
      <c r="L537" s="2" t="str">
        <f t="shared" si="373"/>
        <v>00</v>
      </c>
      <c r="M537" s="2" t="str">
        <f t="shared" si="373"/>
        <v>00</v>
      </c>
      <c r="N537" s="2" t="str">
        <f t="shared" si="373"/>
        <v>00</v>
      </c>
      <c r="O537" s="2" t="str">
        <f t="shared" si="373"/>
        <v>00</v>
      </c>
      <c r="P537" s="2" t="str">
        <f t="shared" si="373"/>
        <v>00</v>
      </c>
      <c r="Q537" s="2" t="str">
        <f t="shared" si="373"/>
        <v>00</v>
      </c>
      <c r="R537" s="2" t="str">
        <f t="shared" si="373"/>
        <v>00</v>
      </c>
      <c r="T537" t="str">
        <f t="shared" si="379"/>
        <v>1100000000000000</v>
      </c>
      <c r="V537" s="8" t="str">
        <f t="shared" si="374"/>
        <v>11000000</v>
      </c>
      <c r="W537" s="8" t="str">
        <f t="shared" si="375"/>
        <v>00000000</v>
      </c>
      <c r="X537" s="8" t="str">
        <f t="shared" si="376"/>
        <v>C0</v>
      </c>
      <c r="Y537" s="8" t="str">
        <f t="shared" si="377"/>
        <v>00</v>
      </c>
    </row>
    <row r="538" spans="2:36" x14ac:dyDescent="0.3">
      <c r="B538" s="2">
        <v>0</v>
      </c>
      <c r="C538" s="2">
        <v>2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1</v>
      </c>
      <c r="K538" s="2" t="str">
        <f t="shared" si="373"/>
        <v>00</v>
      </c>
      <c r="L538" s="2" t="str">
        <f t="shared" si="373"/>
        <v>10</v>
      </c>
      <c r="M538" s="2" t="str">
        <f t="shared" si="373"/>
        <v>00</v>
      </c>
      <c r="N538" s="2" t="str">
        <f t="shared" si="373"/>
        <v>00</v>
      </c>
      <c r="O538" s="2" t="str">
        <f t="shared" si="373"/>
        <v>00</v>
      </c>
      <c r="P538" s="2" t="str">
        <f t="shared" si="373"/>
        <v>00</v>
      </c>
      <c r="Q538" s="2" t="str">
        <f t="shared" si="373"/>
        <v>00</v>
      </c>
      <c r="R538" s="2" t="str">
        <f t="shared" si="373"/>
        <v>01</v>
      </c>
      <c r="T538" t="str">
        <f t="shared" si="379"/>
        <v>0010000000000001</v>
      </c>
      <c r="V538" s="9" t="str">
        <f t="shared" si="374"/>
        <v>00100000</v>
      </c>
      <c r="W538" s="9" t="str">
        <f t="shared" si="375"/>
        <v>00000001</v>
      </c>
      <c r="X538" s="9" t="str">
        <f t="shared" si="376"/>
        <v>20</v>
      </c>
      <c r="Y538" s="9" t="str">
        <f t="shared" si="377"/>
        <v>01</v>
      </c>
    </row>
    <row r="539" spans="2:36" x14ac:dyDescent="0.3"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K539" s="2" t="str">
        <f t="shared" si="373"/>
        <v>00</v>
      </c>
      <c r="L539" s="2" t="str">
        <f t="shared" si="373"/>
        <v>00</v>
      </c>
      <c r="M539" s="2" t="str">
        <f t="shared" si="373"/>
        <v>00</v>
      </c>
      <c r="N539" s="2" t="str">
        <f t="shared" si="373"/>
        <v>00</v>
      </c>
      <c r="O539" s="2" t="str">
        <f t="shared" si="373"/>
        <v>00</v>
      </c>
      <c r="P539" s="2" t="str">
        <f t="shared" si="373"/>
        <v>00</v>
      </c>
      <c r="Q539" s="2" t="str">
        <f t="shared" si="373"/>
        <v>00</v>
      </c>
      <c r="R539" s="2" t="str">
        <f t="shared" si="373"/>
        <v>00</v>
      </c>
      <c r="T539" t="str">
        <f t="shared" si="379"/>
        <v>0000000000000000</v>
      </c>
      <c r="V539" s="9" t="str">
        <f t="shared" si="374"/>
        <v>00000000</v>
      </c>
      <c r="W539" s="9" t="str">
        <f t="shared" si="375"/>
        <v>00000000</v>
      </c>
      <c r="X539" s="9" t="str">
        <f t="shared" si="376"/>
        <v>00</v>
      </c>
      <c r="Y539" s="9" t="str">
        <f t="shared" si="377"/>
        <v>00</v>
      </c>
    </row>
    <row r="540" spans="2:36" x14ac:dyDescent="0.3">
      <c r="B540" s="2">
        <v>1</v>
      </c>
      <c r="C540" s="2">
        <v>0</v>
      </c>
      <c r="D540" s="2">
        <v>0</v>
      </c>
      <c r="E540" s="2">
        <v>0</v>
      </c>
      <c r="F540" s="2">
        <v>2</v>
      </c>
      <c r="G540" s="2">
        <v>0</v>
      </c>
      <c r="H540" s="2">
        <v>0</v>
      </c>
      <c r="I540" s="2">
        <v>0</v>
      </c>
      <c r="K540" s="2" t="str">
        <f t="shared" si="373"/>
        <v>01</v>
      </c>
      <c r="L540" s="2" t="str">
        <f t="shared" si="373"/>
        <v>00</v>
      </c>
      <c r="M540" s="2" t="str">
        <f t="shared" si="373"/>
        <v>00</v>
      </c>
      <c r="N540" s="2" t="str">
        <f t="shared" si="373"/>
        <v>00</v>
      </c>
      <c r="O540" s="2" t="str">
        <f t="shared" si="373"/>
        <v>10</v>
      </c>
      <c r="P540" s="2" t="str">
        <f t="shared" si="373"/>
        <v>00</v>
      </c>
      <c r="Q540" s="2" t="str">
        <f t="shared" si="373"/>
        <v>00</v>
      </c>
      <c r="R540" s="2" t="str">
        <f t="shared" si="373"/>
        <v>00</v>
      </c>
      <c r="T540" t="str">
        <f t="shared" si="379"/>
        <v>0100000010000000</v>
      </c>
      <c r="V540" s="9" t="str">
        <f t="shared" si="374"/>
        <v>01000000</v>
      </c>
      <c r="W540" s="9" t="str">
        <f t="shared" si="375"/>
        <v>10000000</v>
      </c>
      <c r="X540" s="9" t="str">
        <f t="shared" si="376"/>
        <v>40</v>
      </c>
      <c r="Y540" s="9" t="str">
        <f t="shared" si="377"/>
        <v>80</v>
      </c>
    </row>
    <row r="541" spans="2:36" x14ac:dyDescent="0.3">
      <c r="B541" s="2">
        <v>0</v>
      </c>
      <c r="C541" s="2">
        <v>0</v>
      </c>
      <c r="D541" s="2">
        <v>3</v>
      </c>
      <c r="E541" s="2">
        <v>0</v>
      </c>
      <c r="F541" s="2">
        <v>0</v>
      </c>
      <c r="G541" s="2">
        <v>1</v>
      </c>
      <c r="H541" s="2">
        <v>0</v>
      </c>
      <c r="I541" s="2">
        <v>3</v>
      </c>
      <c r="K541" s="2" t="str">
        <f t="shared" si="373"/>
        <v>00</v>
      </c>
      <c r="L541" s="2" t="str">
        <f t="shared" si="373"/>
        <v>00</v>
      </c>
      <c r="M541" s="2" t="str">
        <f t="shared" si="373"/>
        <v>11</v>
      </c>
      <c r="N541" s="2" t="str">
        <f t="shared" si="373"/>
        <v>00</v>
      </c>
      <c r="O541" s="2" t="str">
        <f t="shared" si="373"/>
        <v>00</v>
      </c>
      <c r="P541" s="2" t="str">
        <f t="shared" si="373"/>
        <v>01</v>
      </c>
      <c r="Q541" s="2" t="str">
        <f t="shared" si="373"/>
        <v>00</v>
      </c>
      <c r="R541" s="2" t="str">
        <f t="shared" si="373"/>
        <v>11</v>
      </c>
      <c r="T541" t="str">
        <f t="shared" si="379"/>
        <v>0000110000010011</v>
      </c>
      <c r="V541" s="9" t="str">
        <f t="shared" si="374"/>
        <v>00001100</v>
      </c>
      <c r="W541" s="9" t="str">
        <f t="shared" si="375"/>
        <v>00010011</v>
      </c>
      <c r="X541" s="9" t="str">
        <f t="shared" si="376"/>
        <v>0C</v>
      </c>
      <c r="Y541" s="9" t="str">
        <f t="shared" si="377"/>
        <v>13</v>
      </c>
    </row>
    <row r="542" spans="2:36" x14ac:dyDescent="0.3">
      <c r="B542" s="2">
        <v>3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K542" s="2" t="str">
        <f t="shared" si="373"/>
        <v>11</v>
      </c>
      <c r="L542" s="2" t="str">
        <f t="shared" si="373"/>
        <v>00</v>
      </c>
      <c r="M542" s="2" t="str">
        <f t="shared" si="373"/>
        <v>00</v>
      </c>
      <c r="N542" s="2" t="str">
        <f t="shared" si="373"/>
        <v>00</v>
      </c>
      <c r="O542" s="2" t="str">
        <f t="shared" si="373"/>
        <v>00</v>
      </c>
      <c r="P542" s="2" t="str">
        <f t="shared" si="373"/>
        <v>00</v>
      </c>
      <c r="Q542" s="2" t="str">
        <f t="shared" si="373"/>
        <v>00</v>
      </c>
      <c r="R542" s="2" t="str">
        <f t="shared" si="373"/>
        <v>00</v>
      </c>
      <c r="T542" t="str">
        <f t="shared" si="379"/>
        <v>1100000000000000</v>
      </c>
      <c r="V542" s="9" t="str">
        <f t="shared" si="374"/>
        <v>11000000</v>
      </c>
      <c r="W542" s="9" t="str">
        <f t="shared" si="375"/>
        <v>00000000</v>
      </c>
      <c r="X542" s="9" t="str">
        <f t="shared" si="376"/>
        <v>C0</v>
      </c>
      <c r="Y542" s="9" t="str">
        <f t="shared" si="377"/>
        <v>00</v>
      </c>
    </row>
    <row r="543" spans="2:36" x14ac:dyDescent="0.3">
      <c r="B543" s="2">
        <v>0</v>
      </c>
      <c r="C543" s="2">
        <v>0</v>
      </c>
      <c r="D543" s="2">
        <v>0</v>
      </c>
      <c r="E543" s="2">
        <v>3</v>
      </c>
      <c r="F543" s="2">
        <v>0</v>
      </c>
      <c r="G543" s="2">
        <v>0</v>
      </c>
      <c r="H543" s="2">
        <v>0</v>
      </c>
      <c r="I543" s="2">
        <v>0</v>
      </c>
      <c r="K543" s="2" t="str">
        <f t="shared" si="373"/>
        <v>00</v>
      </c>
      <c r="L543" s="2" t="str">
        <f t="shared" si="373"/>
        <v>00</v>
      </c>
      <c r="M543" s="2" t="str">
        <f t="shared" si="373"/>
        <v>00</v>
      </c>
      <c r="N543" s="2" t="str">
        <f t="shared" si="373"/>
        <v>11</v>
      </c>
      <c r="O543" s="2" t="str">
        <f t="shared" si="373"/>
        <v>00</v>
      </c>
      <c r="P543" s="2" t="str">
        <f t="shared" si="373"/>
        <v>00</v>
      </c>
      <c r="Q543" s="2" t="str">
        <f t="shared" si="373"/>
        <v>00</v>
      </c>
      <c r="R543" s="2" t="str">
        <f t="shared" si="373"/>
        <v>00</v>
      </c>
      <c r="T543" t="str">
        <f t="shared" si="379"/>
        <v>0000001100000000</v>
      </c>
      <c r="V543" s="9" t="str">
        <f t="shared" si="374"/>
        <v>00000011</v>
      </c>
      <c r="W543" s="9" t="str">
        <f t="shared" si="375"/>
        <v>00000000</v>
      </c>
      <c r="X543" s="9" t="str">
        <f t="shared" si="376"/>
        <v>03</v>
      </c>
      <c r="Y543" s="9" t="str">
        <f t="shared" si="377"/>
        <v>00</v>
      </c>
    </row>
    <row r="544" spans="2:36" x14ac:dyDescent="0.3"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K544" s="2" t="str">
        <f t="shared" si="373"/>
        <v>00</v>
      </c>
      <c r="L544" s="2" t="str">
        <f t="shared" si="373"/>
        <v>00</v>
      </c>
      <c r="M544" s="2" t="str">
        <f t="shared" si="373"/>
        <v>00</v>
      </c>
      <c r="N544" s="2" t="str">
        <f t="shared" si="373"/>
        <v>00</v>
      </c>
      <c r="O544" s="2" t="str">
        <f t="shared" si="373"/>
        <v>00</v>
      </c>
      <c r="P544" s="2" t="str">
        <f t="shared" si="373"/>
        <v>00</v>
      </c>
      <c r="Q544" s="2" t="str">
        <f t="shared" si="373"/>
        <v>00</v>
      </c>
      <c r="R544" s="2" t="str">
        <f t="shared" si="373"/>
        <v>00</v>
      </c>
      <c r="T544" t="str">
        <f t="shared" si="379"/>
        <v>0000000000000000</v>
      </c>
      <c r="V544" s="10" t="str">
        <f t="shared" si="374"/>
        <v>00000000</v>
      </c>
      <c r="W544" s="10" t="str">
        <f t="shared" si="375"/>
        <v>00000000</v>
      </c>
      <c r="X544" s="10" t="str">
        <f t="shared" si="376"/>
        <v>00</v>
      </c>
      <c r="Y544" s="10" t="str">
        <f t="shared" si="377"/>
        <v>00</v>
      </c>
    </row>
    <row r="545" spans="1:36" x14ac:dyDescent="0.3">
      <c r="A545" t="s">
        <v>14</v>
      </c>
      <c r="AJ545" t="str">
        <f>";"&amp;PROPER(A545)</f>
        <v>;Explosion 4</v>
      </c>
    </row>
    <row r="546" spans="1:36" x14ac:dyDescent="0.3"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K546" s="2" t="str">
        <f t="shared" ref="K546:R561" si="380">DEC2BIN(B546,2)</f>
        <v>00</v>
      </c>
      <c r="L546" s="2" t="str">
        <f t="shared" si="380"/>
        <v>00</v>
      </c>
      <c r="M546" s="2" t="str">
        <f t="shared" si="380"/>
        <v>00</v>
      </c>
      <c r="N546" s="2" t="str">
        <f t="shared" si="380"/>
        <v>00</v>
      </c>
      <c r="O546" s="2" t="str">
        <f t="shared" si="380"/>
        <v>00</v>
      </c>
      <c r="P546" s="2" t="str">
        <f t="shared" si="380"/>
        <v>00</v>
      </c>
      <c r="Q546" s="2" t="str">
        <f t="shared" si="380"/>
        <v>00</v>
      </c>
      <c r="R546" s="2" t="str">
        <f t="shared" si="380"/>
        <v>00</v>
      </c>
      <c r="T546" t="str">
        <f t="shared" si="379"/>
        <v>0000000000000000</v>
      </c>
      <c r="V546" s="8" t="str">
        <f>LEFT(T546,8)</f>
        <v>00000000</v>
      </c>
      <c r="W546" s="8" t="str">
        <f>RIGHT(T546,8)</f>
        <v>00000000</v>
      </c>
      <c r="X546" s="8" t="str">
        <f>BIN2HEX(V546,2)</f>
        <v>00</v>
      </c>
      <c r="Y546" s="8" t="str">
        <f>BIN2HEX(W546,2)</f>
        <v>00</v>
      </c>
      <c r="AA546" t="str" cm="1">
        <f t="array" ref="AA546:AH546">TRANSPOSE(X546:X553)</f>
        <v>00</v>
      </c>
      <c r="AB546" t="str">
        <v>03</v>
      </c>
      <c r="AC546" t="str">
        <v>00</v>
      </c>
      <c r="AD546" t="str">
        <v>10</v>
      </c>
      <c r="AE546" t="str">
        <v>00</v>
      </c>
      <c r="AF546" t="str">
        <v>00</v>
      </c>
      <c r="AG546" t="str">
        <v>00</v>
      </c>
      <c r="AH546" t="str">
        <v>00</v>
      </c>
      <c r="AJ546" t="str">
        <f>LOWER("!byte $"&amp;AA546&amp;", $"&amp;AB546&amp;", $"&amp;AC546&amp;", $"&amp;AD546&amp;", $"&amp;AE546&amp;", $"&amp;AF546&amp;", $"&amp;AG546&amp;", $"&amp;AH546)</f>
        <v>!byte $00, $03, $00, $10, $00, $00, $00, $00</v>
      </c>
    </row>
    <row r="547" spans="1:36" x14ac:dyDescent="0.3">
      <c r="B547" s="2">
        <v>0</v>
      </c>
      <c r="C547" s="2">
        <v>0</v>
      </c>
      <c r="D547" s="2">
        <v>0</v>
      </c>
      <c r="E547" s="2">
        <v>3</v>
      </c>
      <c r="F547" s="2">
        <v>0</v>
      </c>
      <c r="G547" s="2">
        <v>0</v>
      </c>
      <c r="H547" s="2">
        <v>0</v>
      </c>
      <c r="I547" s="2">
        <v>0</v>
      </c>
      <c r="K547" s="2" t="str">
        <f t="shared" si="380"/>
        <v>00</v>
      </c>
      <c r="L547" s="2" t="str">
        <f t="shared" si="380"/>
        <v>00</v>
      </c>
      <c r="M547" s="2" t="str">
        <f t="shared" si="380"/>
        <v>00</v>
      </c>
      <c r="N547" s="2" t="str">
        <f t="shared" si="380"/>
        <v>11</v>
      </c>
      <c r="O547" s="2" t="str">
        <f t="shared" si="380"/>
        <v>00</v>
      </c>
      <c r="P547" s="2" t="str">
        <f t="shared" si="380"/>
        <v>00</v>
      </c>
      <c r="Q547" s="2" t="str">
        <f t="shared" si="380"/>
        <v>00</v>
      </c>
      <c r="R547" s="2" t="str">
        <f t="shared" si="380"/>
        <v>00</v>
      </c>
      <c r="T547" t="str">
        <f t="shared" si="379"/>
        <v>0000001100000000</v>
      </c>
      <c r="V547" s="9" t="str">
        <f t="shared" ref="V547:V561" si="381">LEFT(T547,8)</f>
        <v>00000011</v>
      </c>
      <c r="W547" s="9" t="str">
        <f t="shared" ref="W547:W561" si="382">RIGHT(T547,8)</f>
        <v>00000000</v>
      </c>
      <c r="X547" s="9" t="str">
        <f t="shared" ref="X547:X561" si="383">BIN2HEX(V547,2)</f>
        <v>03</v>
      </c>
      <c r="Y547" s="9" t="str">
        <f t="shared" ref="Y547:Y561" si="384">BIN2HEX(W547,2)</f>
        <v>00</v>
      </c>
      <c r="AA547" t="str" cm="1">
        <f t="array" ref="AA547:AH547">TRANSPOSE(X554:X561)</f>
        <v>00</v>
      </c>
      <c r="AB547" t="str">
        <v>80</v>
      </c>
      <c r="AC547" t="str">
        <v>00</v>
      </c>
      <c r="AD547" t="str">
        <v>00</v>
      </c>
      <c r="AE547" t="str">
        <v>0C</v>
      </c>
      <c r="AF547" t="str">
        <v>00</v>
      </c>
      <c r="AG547" t="str">
        <v>C0</v>
      </c>
      <c r="AH547" t="str">
        <v>03</v>
      </c>
      <c r="AJ547" t="str">
        <f t="shared" ref="AJ547:AJ549" si="385">LOWER("!byte $"&amp;AA547&amp;", $"&amp;AB547&amp;", $"&amp;AC547&amp;", $"&amp;AD547&amp;", $"&amp;AE547&amp;", $"&amp;AF547&amp;", $"&amp;AG547&amp;", $"&amp;AH547)</f>
        <v>!byte $00, $80, $00, $00, $0c, $00, $c0, $03</v>
      </c>
    </row>
    <row r="548" spans="1:36" x14ac:dyDescent="0.3"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3</v>
      </c>
      <c r="I548" s="2">
        <v>0</v>
      </c>
      <c r="K548" s="2" t="str">
        <f t="shared" si="380"/>
        <v>00</v>
      </c>
      <c r="L548" s="2" t="str">
        <f t="shared" si="380"/>
        <v>00</v>
      </c>
      <c r="M548" s="2" t="str">
        <f t="shared" si="380"/>
        <v>00</v>
      </c>
      <c r="N548" s="2" t="str">
        <f t="shared" si="380"/>
        <v>00</v>
      </c>
      <c r="O548" s="2" t="str">
        <f t="shared" si="380"/>
        <v>00</v>
      </c>
      <c r="P548" s="2" t="str">
        <f t="shared" si="380"/>
        <v>00</v>
      </c>
      <c r="Q548" s="2" t="str">
        <f t="shared" si="380"/>
        <v>11</v>
      </c>
      <c r="R548" s="2" t="str">
        <f t="shared" si="380"/>
        <v>00</v>
      </c>
      <c r="T548" t="str">
        <f t="shared" si="379"/>
        <v>0000000000001100</v>
      </c>
      <c r="V548" s="9" t="str">
        <f t="shared" si="381"/>
        <v>00000000</v>
      </c>
      <c r="W548" s="9" t="str">
        <f t="shared" si="382"/>
        <v>00001100</v>
      </c>
      <c r="X548" s="9" t="str">
        <f t="shared" si="383"/>
        <v>00</v>
      </c>
      <c r="Y548" s="9" t="str">
        <f t="shared" si="384"/>
        <v>0C</v>
      </c>
      <c r="AA548" t="str" cm="1">
        <f t="array" ref="AA548:AH548">TRANSPOSE(Y546:Y553)</f>
        <v>00</v>
      </c>
      <c r="AB548" t="str">
        <v>00</v>
      </c>
      <c r="AC548" t="str">
        <v>0C</v>
      </c>
      <c r="AD548" t="str">
        <v>00</v>
      </c>
      <c r="AE548" t="str">
        <v>03</v>
      </c>
      <c r="AF548" t="str">
        <v>00</v>
      </c>
      <c r="AG548" t="str">
        <v>00</v>
      </c>
      <c r="AH548" t="str">
        <v>02</v>
      </c>
      <c r="AJ548" t="str">
        <f t="shared" si="385"/>
        <v>!byte $00, $00, $0c, $00, $03, $00, $00, $02</v>
      </c>
    </row>
    <row r="549" spans="1:36" x14ac:dyDescent="0.3">
      <c r="B549" s="2">
        <v>0</v>
      </c>
      <c r="C549" s="2">
        <v>1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K549" s="2" t="str">
        <f t="shared" si="380"/>
        <v>00</v>
      </c>
      <c r="L549" s="2" t="str">
        <f t="shared" si="380"/>
        <v>01</v>
      </c>
      <c r="M549" s="2" t="str">
        <f t="shared" si="380"/>
        <v>00</v>
      </c>
      <c r="N549" s="2" t="str">
        <f t="shared" si="380"/>
        <v>00</v>
      </c>
      <c r="O549" s="2" t="str">
        <f t="shared" si="380"/>
        <v>00</v>
      </c>
      <c r="P549" s="2" t="str">
        <f t="shared" si="380"/>
        <v>00</v>
      </c>
      <c r="Q549" s="2" t="str">
        <f t="shared" si="380"/>
        <v>00</v>
      </c>
      <c r="R549" s="2" t="str">
        <f t="shared" si="380"/>
        <v>00</v>
      </c>
      <c r="T549" t="str">
        <f t="shared" si="379"/>
        <v>0001000000000000</v>
      </c>
      <c r="V549" s="9" t="str">
        <f t="shared" si="381"/>
        <v>00010000</v>
      </c>
      <c r="W549" s="9" t="str">
        <f t="shared" si="382"/>
        <v>00000000</v>
      </c>
      <c r="X549" s="9" t="str">
        <f t="shared" si="383"/>
        <v>10</v>
      </c>
      <c r="Y549" s="9" t="str">
        <f t="shared" si="384"/>
        <v>00</v>
      </c>
      <c r="AA549" t="str" cm="1">
        <f t="array" ref="AA549:AH549">TRANSPOSE(Y554:Y561)</f>
        <v>00</v>
      </c>
      <c r="AB549" t="str">
        <v>01</v>
      </c>
      <c r="AC549" t="str">
        <v>00</v>
      </c>
      <c r="AD549" t="str">
        <v>00</v>
      </c>
      <c r="AE549" t="str">
        <v>80</v>
      </c>
      <c r="AF549" t="str">
        <v>13</v>
      </c>
      <c r="AG549" t="str">
        <v>00</v>
      </c>
      <c r="AH549" t="str">
        <v>00</v>
      </c>
      <c r="AJ549" t="str">
        <f t="shared" si="385"/>
        <v>!byte $00, $01, $00, $00, $80, $13, $00, $00</v>
      </c>
    </row>
    <row r="550" spans="1:36" x14ac:dyDescent="0.3"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K550" s="2" t="str">
        <f t="shared" si="380"/>
        <v>00</v>
      </c>
      <c r="L550" s="2" t="str">
        <f t="shared" si="380"/>
        <v>00</v>
      </c>
      <c r="M550" s="2" t="str">
        <f t="shared" si="380"/>
        <v>00</v>
      </c>
      <c r="N550" s="2" t="str">
        <f t="shared" si="380"/>
        <v>00</v>
      </c>
      <c r="O550" s="2" t="str">
        <f t="shared" si="380"/>
        <v>00</v>
      </c>
      <c r="P550" s="2" t="str">
        <f t="shared" si="380"/>
        <v>00</v>
      </c>
      <c r="Q550" s="2" t="str">
        <f t="shared" si="380"/>
        <v>00</v>
      </c>
      <c r="R550" s="2" t="str">
        <f t="shared" si="380"/>
        <v>11</v>
      </c>
      <c r="T550" t="str">
        <f t="shared" si="379"/>
        <v>0000000000000011</v>
      </c>
      <c r="V550" s="9" t="str">
        <f t="shared" si="381"/>
        <v>00000000</v>
      </c>
      <c r="W550" s="9" t="str">
        <f t="shared" si="382"/>
        <v>00000011</v>
      </c>
      <c r="X550" s="9" t="str">
        <f t="shared" si="383"/>
        <v>00</v>
      </c>
      <c r="Y550" s="9" t="str">
        <f t="shared" si="384"/>
        <v>03</v>
      </c>
    </row>
    <row r="551" spans="1:36" x14ac:dyDescent="0.3"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K551" s="2" t="str">
        <f t="shared" si="380"/>
        <v>00</v>
      </c>
      <c r="L551" s="2" t="str">
        <f t="shared" si="380"/>
        <v>00</v>
      </c>
      <c r="M551" s="2" t="str">
        <f t="shared" si="380"/>
        <v>00</v>
      </c>
      <c r="N551" s="2" t="str">
        <f t="shared" si="380"/>
        <v>00</v>
      </c>
      <c r="O551" s="2" t="str">
        <f t="shared" si="380"/>
        <v>00</v>
      </c>
      <c r="P551" s="2" t="str">
        <f t="shared" si="380"/>
        <v>00</v>
      </c>
      <c r="Q551" s="2" t="str">
        <f t="shared" si="380"/>
        <v>00</v>
      </c>
      <c r="R551" s="2" t="str">
        <f t="shared" si="380"/>
        <v>00</v>
      </c>
      <c r="T551" t="str">
        <f t="shared" si="379"/>
        <v>0000000000000000</v>
      </c>
      <c r="V551" s="9" t="str">
        <f t="shared" si="381"/>
        <v>00000000</v>
      </c>
      <c r="W551" s="9" t="str">
        <f t="shared" si="382"/>
        <v>00000000</v>
      </c>
      <c r="X551" s="9" t="str">
        <f t="shared" si="383"/>
        <v>00</v>
      </c>
      <c r="Y551" s="9" t="str">
        <f t="shared" si="384"/>
        <v>00</v>
      </c>
    </row>
    <row r="552" spans="1:36" x14ac:dyDescent="0.3"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K552" s="2" t="str">
        <f t="shared" si="380"/>
        <v>00</v>
      </c>
      <c r="L552" s="2" t="str">
        <f t="shared" si="380"/>
        <v>00</v>
      </c>
      <c r="M552" s="2" t="str">
        <f t="shared" si="380"/>
        <v>00</v>
      </c>
      <c r="N552" s="2" t="str">
        <f t="shared" si="380"/>
        <v>00</v>
      </c>
      <c r="O552" s="2" t="str">
        <f t="shared" si="380"/>
        <v>00</v>
      </c>
      <c r="P552" s="2" t="str">
        <f t="shared" si="380"/>
        <v>00</v>
      </c>
      <c r="Q552" s="2" t="str">
        <f t="shared" si="380"/>
        <v>00</v>
      </c>
      <c r="R552" s="2" t="str">
        <f t="shared" si="380"/>
        <v>00</v>
      </c>
      <c r="T552" t="str">
        <f t="shared" si="379"/>
        <v>0000000000000000</v>
      </c>
      <c r="V552" s="9" t="str">
        <f t="shared" si="381"/>
        <v>00000000</v>
      </c>
      <c r="W552" s="9" t="str">
        <f t="shared" si="382"/>
        <v>00000000</v>
      </c>
      <c r="X552" s="9" t="str">
        <f t="shared" si="383"/>
        <v>00</v>
      </c>
      <c r="Y552" s="9" t="str">
        <f t="shared" si="384"/>
        <v>00</v>
      </c>
    </row>
    <row r="553" spans="1:36" x14ac:dyDescent="0.3"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2</v>
      </c>
      <c r="K553" s="2" t="str">
        <f t="shared" si="380"/>
        <v>00</v>
      </c>
      <c r="L553" s="2" t="str">
        <f t="shared" si="380"/>
        <v>00</v>
      </c>
      <c r="M553" s="2" t="str">
        <f t="shared" si="380"/>
        <v>00</v>
      </c>
      <c r="N553" s="2" t="str">
        <f t="shared" si="380"/>
        <v>00</v>
      </c>
      <c r="O553" s="2" t="str">
        <f t="shared" si="380"/>
        <v>00</v>
      </c>
      <c r="P553" s="2" t="str">
        <f t="shared" si="380"/>
        <v>00</v>
      </c>
      <c r="Q553" s="2" t="str">
        <f t="shared" si="380"/>
        <v>00</v>
      </c>
      <c r="R553" s="2" t="str">
        <f t="shared" si="380"/>
        <v>10</v>
      </c>
      <c r="T553" t="str">
        <f t="shared" si="379"/>
        <v>0000000000000010</v>
      </c>
      <c r="V553" s="10" t="str">
        <f t="shared" si="381"/>
        <v>00000000</v>
      </c>
      <c r="W553" s="10" t="str">
        <f t="shared" si="382"/>
        <v>00000010</v>
      </c>
      <c r="X553" s="10" t="str">
        <f t="shared" si="383"/>
        <v>00</v>
      </c>
      <c r="Y553" s="10" t="str">
        <f t="shared" si="384"/>
        <v>02</v>
      </c>
    </row>
    <row r="554" spans="1:36" x14ac:dyDescent="0.3"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K554" s="2" t="str">
        <f t="shared" si="380"/>
        <v>00</v>
      </c>
      <c r="L554" s="2" t="str">
        <f t="shared" si="380"/>
        <v>00</v>
      </c>
      <c r="M554" s="2" t="str">
        <f t="shared" si="380"/>
        <v>00</v>
      </c>
      <c r="N554" s="2" t="str">
        <f t="shared" si="380"/>
        <v>00</v>
      </c>
      <c r="O554" s="2" t="str">
        <f t="shared" si="380"/>
        <v>00</v>
      </c>
      <c r="P554" s="2" t="str">
        <f t="shared" si="380"/>
        <v>00</v>
      </c>
      <c r="Q554" s="2" t="str">
        <f t="shared" si="380"/>
        <v>00</v>
      </c>
      <c r="R554" s="2" t="str">
        <f t="shared" si="380"/>
        <v>00</v>
      </c>
      <c r="T554" t="str">
        <f t="shared" si="379"/>
        <v>0000000000000000</v>
      </c>
      <c r="V554" s="8" t="str">
        <f t="shared" si="381"/>
        <v>00000000</v>
      </c>
      <c r="W554" s="8" t="str">
        <f t="shared" si="382"/>
        <v>00000000</v>
      </c>
      <c r="X554" s="8" t="str">
        <f t="shared" si="383"/>
        <v>00</v>
      </c>
      <c r="Y554" s="8" t="str">
        <f t="shared" si="384"/>
        <v>00</v>
      </c>
    </row>
    <row r="555" spans="1:36" x14ac:dyDescent="0.3">
      <c r="B555" s="2">
        <v>2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1</v>
      </c>
      <c r="K555" s="2" t="str">
        <f t="shared" si="380"/>
        <v>10</v>
      </c>
      <c r="L555" s="2" t="str">
        <f t="shared" si="380"/>
        <v>00</v>
      </c>
      <c r="M555" s="2" t="str">
        <f t="shared" si="380"/>
        <v>00</v>
      </c>
      <c r="N555" s="2" t="str">
        <f t="shared" si="380"/>
        <v>00</v>
      </c>
      <c r="O555" s="2" t="str">
        <f t="shared" si="380"/>
        <v>00</v>
      </c>
      <c r="P555" s="2" t="str">
        <f t="shared" si="380"/>
        <v>00</v>
      </c>
      <c r="Q555" s="2" t="str">
        <f t="shared" si="380"/>
        <v>00</v>
      </c>
      <c r="R555" s="2" t="str">
        <f t="shared" si="380"/>
        <v>01</v>
      </c>
      <c r="T555" t="str">
        <f t="shared" si="379"/>
        <v>1000000000000001</v>
      </c>
      <c r="V555" s="9" t="str">
        <f t="shared" si="381"/>
        <v>10000000</v>
      </c>
      <c r="W555" s="9" t="str">
        <f t="shared" si="382"/>
        <v>00000001</v>
      </c>
      <c r="X555" s="9" t="str">
        <f t="shared" si="383"/>
        <v>80</v>
      </c>
      <c r="Y555" s="9" t="str">
        <f t="shared" si="384"/>
        <v>01</v>
      </c>
    </row>
    <row r="556" spans="1:36" x14ac:dyDescent="0.3"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K556" s="2" t="str">
        <f t="shared" si="380"/>
        <v>00</v>
      </c>
      <c r="L556" s="2" t="str">
        <f t="shared" si="380"/>
        <v>00</v>
      </c>
      <c r="M556" s="2" t="str">
        <f t="shared" si="380"/>
        <v>00</v>
      </c>
      <c r="N556" s="2" t="str">
        <f t="shared" si="380"/>
        <v>00</v>
      </c>
      <c r="O556" s="2" t="str">
        <f t="shared" si="380"/>
        <v>00</v>
      </c>
      <c r="P556" s="2" t="str">
        <f t="shared" si="380"/>
        <v>00</v>
      </c>
      <c r="Q556" s="2" t="str">
        <f t="shared" si="380"/>
        <v>00</v>
      </c>
      <c r="R556" s="2" t="str">
        <f t="shared" si="380"/>
        <v>00</v>
      </c>
      <c r="T556" t="str">
        <f t="shared" si="379"/>
        <v>0000000000000000</v>
      </c>
      <c r="V556" s="9" t="str">
        <f t="shared" si="381"/>
        <v>00000000</v>
      </c>
      <c r="W556" s="9" t="str">
        <f t="shared" si="382"/>
        <v>00000000</v>
      </c>
      <c r="X556" s="9" t="str">
        <f t="shared" si="383"/>
        <v>00</v>
      </c>
      <c r="Y556" s="9" t="str">
        <f t="shared" si="384"/>
        <v>00</v>
      </c>
    </row>
    <row r="557" spans="1:36" x14ac:dyDescent="0.3"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K557" s="2" t="str">
        <f t="shared" si="380"/>
        <v>00</v>
      </c>
      <c r="L557" s="2" t="str">
        <f t="shared" si="380"/>
        <v>00</v>
      </c>
      <c r="M557" s="2" t="str">
        <f t="shared" si="380"/>
        <v>00</v>
      </c>
      <c r="N557" s="2" t="str">
        <f t="shared" si="380"/>
        <v>00</v>
      </c>
      <c r="O557" s="2" t="str">
        <f t="shared" si="380"/>
        <v>00</v>
      </c>
      <c r="P557" s="2" t="str">
        <f t="shared" si="380"/>
        <v>00</v>
      </c>
      <c r="Q557" s="2" t="str">
        <f t="shared" si="380"/>
        <v>00</v>
      </c>
      <c r="R557" s="2" t="str">
        <f t="shared" si="380"/>
        <v>00</v>
      </c>
      <c r="T557" t="str">
        <f t="shared" si="379"/>
        <v>0000000000000000</v>
      </c>
      <c r="V557" s="9" t="str">
        <f t="shared" si="381"/>
        <v>00000000</v>
      </c>
      <c r="W557" s="9" t="str">
        <f t="shared" si="382"/>
        <v>00000000</v>
      </c>
      <c r="X557" s="9" t="str">
        <f t="shared" si="383"/>
        <v>00</v>
      </c>
      <c r="Y557" s="9" t="str">
        <f t="shared" si="384"/>
        <v>00</v>
      </c>
    </row>
    <row r="558" spans="1:36" x14ac:dyDescent="0.3">
      <c r="B558" s="2">
        <v>0</v>
      </c>
      <c r="C558" s="2">
        <v>0</v>
      </c>
      <c r="D558" s="2">
        <v>3</v>
      </c>
      <c r="E558" s="2">
        <v>0</v>
      </c>
      <c r="F558" s="2">
        <v>2</v>
      </c>
      <c r="G558" s="2">
        <v>0</v>
      </c>
      <c r="H558" s="2">
        <v>0</v>
      </c>
      <c r="I558" s="2">
        <v>0</v>
      </c>
      <c r="K558" s="2" t="str">
        <f t="shared" si="380"/>
        <v>00</v>
      </c>
      <c r="L558" s="2" t="str">
        <f t="shared" si="380"/>
        <v>00</v>
      </c>
      <c r="M558" s="2" t="str">
        <f t="shared" si="380"/>
        <v>11</v>
      </c>
      <c r="N558" s="2" t="str">
        <f t="shared" si="380"/>
        <v>00</v>
      </c>
      <c r="O558" s="2" t="str">
        <f t="shared" si="380"/>
        <v>10</v>
      </c>
      <c r="P558" s="2" t="str">
        <f t="shared" si="380"/>
        <v>00</v>
      </c>
      <c r="Q558" s="2" t="str">
        <f t="shared" si="380"/>
        <v>00</v>
      </c>
      <c r="R558" s="2" t="str">
        <f t="shared" si="380"/>
        <v>00</v>
      </c>
      <c r="T558" t="str">
        <f t="shared" si="379"/>
        <v>0000110010000000</v>
      </c>
      <c r="V558" s="9" t="str">
        <f t="shared" si="381"/>
        <v>00001100</v>
      </c>
      <c r="W558" s="9" t="str">
        <f t="shared" si="382"/>
        <v>10000000</v>
      </c>
      <c r="X558" s="9" t="str">
        <f t="shared" si="383"/>
        <v>0C</v>
      </c>
      <c r="Y558" s="9" t="str">
        <f t="shared" si="384"/>
        <v>80</v>
      </c>
    </row>
    <row r="559" spans="1:36" x14ac:dyDescent="0.3"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1</v>
      </c>
      <c r="H559" s="2">
        <v>0</v>
      </c>
      <c r="I559" s="2">
        <v>3</v>
      </c>
      <c r="K559" s="2" t="str">
        <f t="shared" si="380"/>
        <v>00</v>
      </c>
      <c r="L559" s="2" t="str">
        <f t="shared" si="380"/>
        <v>00</v>
      </c>
      <c r="M559" s="2" t="str">
        <f t="shared" si="380"/>
        <v>00</v>
      </c>
      <c r="N559" s="2" t="str">
        <f t="shared" si="380"/>
        <v>00</v>
      </c>
      <c r="O559" s="2" t="str">
        <f t="shared" si="380"/>
        <v>00</v>
      </c>
      <c r="P559" s="2" t="str">
        <f t="shared" si="380"/>
        <v>01</v>
      </c>
      <c r="Q559" s="2" t="str">
        <f t="shared" si="380"/>
        <v>00</v>
      </c>
      <c r="R559" s="2" t="str">
        <f t="shared" si="380"/>
        <v>11</v>
      </c>
      <c r="T559" t="str">
        <f t="shared" si="379"/>
        <v>0000000000010011</v>
      </c>
      <c r="V559" s="9" t="str">
        <f t="shared" si="381"/>
        <v>00000000</v>
      </c>
      <c r="W559" s="9" t="str">
        <f t="shared" si="382"/>
        <v>00010011</v>
      </c>
      <c r="X559" s="9" t="str">
        <f t="shared" si="383"/>
        <v>00</v>
      </c>
      <c r="Y559" s="9" t="str">
        <f t="shared" si="384"/>
        <v>13</v>
      </c>
    </row>
    <row r="560" spans="1:36" x14ac:dyDescent="0.3">
      <c r="B560" s="2">
        <v>3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K560" s="2" t="str">
        <f t="shared" si="380"/>
        <v>11</v>
      </c>
      <c r="L560" s="2" t="str">
        <f t="shared" si="380"/>
        <v>00</v>
      </c>
      <c r="M560" s="2" t="str">
        <f t="shared" si="380"/>
        <v>00</v>
      </c>
      <c r="N560" s="2" t="str">
        <f t="shared" si="380"/>
        <v>00</v>
      </c>
      <c r="O560" s="2" t="str">
        <f t="shared" si="380"/>
        <v>00</v>
      </c>
      <c r="P560" s="2" t="str">
        <f t="shared" si="380"/>
        <v>00</v>
      </c>
      <c r="Q560" s="2" t="str">
        <f t="shared" si="380"/>
        <v>00</v>
      </c>
      <c r="R560" s="2" t="str">
        <f t="shared" si="380"/>
        <v>00</v>
      </c>
      <c r="T560" t="str">
        <f t="shared" si="379"/>
        <v>1100000000000000</v>
      </c>
      <c r="V560" s="9" t="str">
        <f t="shared" si="381"/>
        <v>11000000</v>
      </c>
      <c r="W560" s="9" t="str">
        <f t="shared" si="382"/>
        <v>00000000</v>
      </c>
      <c r="X560" s="9" t="str">
        <f t="shared" si="383"/>
        <v>C0</v>
      </c>
      <c r="Y560" s="9" t="str">
        <f t="shared" si="384"/>
        <v>00</v>
      </c>
    </row>
    <row r="561" spans="1:36" x14ac:dyDescent="0.3">
      <c r="B561" s="2">
        <v>0</v>
      </c>
      <c r="C561" s="2">
        <v>0</v>
      </c>
      <c r="D561" s="2">
        <v>0</v>
      </c>
      <c r="E561" s="2">
        <v>3</v>
      </c>
      <c r="F561" s="2">
        <v>0</v>
      </c>
      <c r="G561" s="2">
        <v>0</v>
      </c>
      <c r="H561" s="2">
        <v>0</v>
      </c>
      <c r="I561" s="2">
        <v>0</v>
      </c>
      <c r="K561" s="2" t="str">
        <f t="shared" si="380"/>
        <v>00</v>
      </c>
      <c r="L561" s="2" t="str">
        <f t="shared" si="380"/>
        <v>00</v>
      </c>
      <c r="M561" s="2" t="str">
        <f t="shared" si="380"/>
        <v>00</v>
      </c>
      <c r="N561" s="2" t="str">
        <f t="shared" si="380"/>
        <v>11</v>
      </c>
      <c r="O561" s="2" t="str">
        <f t="shared" si="380"/>
        <v>00</v>
      </c>
      <c r="P561" s="2" t="str">
        <f t="shared" si="380"/>
        <v>00</v>
      </c>
      <c r="Q561" s="2" t="str">
        <f t="shared" si="380"/>
        <v>00</v>
      </c>
      <c r="R561" s="2" t="str">
        <f t="shared" si="380"/>
        <v>00</v>
      </c>
      <c r="T561" t="str">
        <f t="shared" si="379"/>
        <v>0000001100000000</v>
      </c>
      <c r="V561" s="10" t="str">
        <f t="shared" si="381"/>
        <v>00000011</v>
      </c>
      <c r="W561" s="10" t="str">
        <f t="shared" si="382"/>
        <v>00000000</v>
      </c>
      <c r="X561" s="10" t="str">
        <f t="shared" si="383"/>
        <v>03</v>
      </c>
      <c r="Y561" s="10" t="str">
        <f t="shared" si="384"/>
        <v>00</v>
      </c>
    </row>
    <row r="562" spans="1:36" x14ac:dyDescent="0.3">
      <c r="A562" t="s">
        <v>29</v>
      </c>
      <c r="AJ562" t="str">
        <f>";"&amp;PROPER(A562)</f>
        <v>;Rockford 1</v>
      </c>
    </row>
    <row r="563" spans="1:36" x14ac:dyDescent="0.3"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K563" s="2" t="str">
        <f t="shared" ref="K563:R578" si="386">DEC2BIN(B563,2)</f>
        <v>00</v>
      </c>
      <c r="L563" s="2" t="str">
        <f t="shared" si="386"/>
        <v>00</v>
      </c>
      <c r="M563" s="2" t="str">
        <f t="shared" si="386"/>
        <v>00</v>
      </c>
      <c r="N563" s="2" t="str">
        <f t="shared" si="386"/>
        <v>00</v>
      </c>
      <c r="O563" s="2" t="str">
        <f t="shared" si="386"/>
        <v>00</v>
      </c>
      <c r="P563" s="2" t="str">
        <f t="shared" si="386"/>
        <v>00</v>
      </c>
      <c r="Q563" s="2" t="str">
        <f t="shared" si="386"/>
        <v>00</v>
      </c>
      <c r="R563" s="2" t="str">
        <f t="shared" si="386"/>
        <v>00</v>
      </c>
      <c r="T563" t="str">
        <f t="shared" ref="T563:T625" si="387">_xlfn.CONCAT(K563:R563)</f>
        <v>0000000000000000</v>
      </c>
      <c r="V563" s="8" t="str">
        <f>LEFT(T563,8)</f>
        <v>00000000</v>
      </c>
      <c r="W563" s="8" t="str">
        <f>RIGHT(T563,8)</f>
        <v>00000000</v>
      </c>
      <c r="X563" s="8" t="str">
        <f>BIN2HEX(V563,2)</f>
        <v>00</v>
      </c>
      <c r="Y563" s="8" t="str">
        <f>BIN2HEX(W563,2)</f>
        <v>00</v>
      </c>
      <c r="AA563" t="str" cm="1">
        <f t="array" ref="AA563:AH563">TRANSPOSE(X563:X570)</f>
        <v>00</v>
      </c>
      <c r="AB563" t="str">
        <v>0C</v>
      </c>
      <c r="AC563" t="str">
        <v>0F</v>
      </c>
      <c r="AD563" t="str">
        <v>33</v>
      </c>
      <c r="AE563" t="str">
        <v>33</v>
      </c>
      <c r="AF563" t="str">
        <v>0F</v>
      </c>
      <c r="AG563" t="str">
        <v>03</v>
      </c>
      <c r="AH563" t="str">
        <v>07</v>
      </c>
      <c r="AJ563" t="str">
        <f>LOWER("!byte $"&amp;AA563&amp;", $"&amp;AB563&amp;", $"&amp;AC563&amp;", $"&amp;AD563&amp;", $"&amp;AE563&amp;", $"&amp;AF563&amp;", $"&amp;AG563&amp;", $"&amp;AH563)</f>
        <v>!byte $00, $0c, $0f, $33, $33, $0f, $03, $07</v>
      </c>
    </row>
    <row r="564" spans="1:36" x14ac:dyDescent="0.3">
      <c r="B564" s="2">
        <v>0</v>
      </c>
      <c r="C564" s="2">
        <v>0</v>
      </c>
      <c r="D564" s="2">
        <v>3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K564" s="2" t="str">
        <f t="shared" si="386"/>
        <v>00</v>
      </c>
      <c r="L564" s="2" t="str">
        <f t="shared" si="386"/>
        <v>00</v>
      </c>
      <c r="M564" s="2" t="str">
        <f t="shared" si="386"/>
        <v>11</v>
      </c>
      <c r="N564" s="2" t="str">
        <f t="shared" si="386"/>
        <v>00</v>
      </c>
      <c r="O564" s="2" t="str">
        <f t="shared" si="386"/>
        <v>00</v>
      </c>
      <c r="P564" s="2" t="str">
        <f t="shared" si="386"/>
        <v>11</v>
      </c>
      <c r="Q564" s="2" t="str">
        <f t="shared" si="386"/>
        <v>00</v>
      </c>
      <c r="R564" s="2" t="str">
        <f t="shared" si="386"/>
        <v>00</v>
      </c>
      <c r="T564" t="str">
        <f t="shared" si="387"/>
        <v>0000110000110000</v>
      </c>
      <c r="V564" s="9" t="str">
        <f t="shared" ref="V564:V578" si="388">LEFT(T564,8)</f>
        <v>00001100</v>
      </c>
      <c r="W564" s="9" t="str">
        <f t="shared" ref="W564:W578" si="389">RIGHT(T564,8)</f>
        <v>00110000</v>
      </c>
      <c r="X564" s="9" t="str">
        <f t="shared" ref="X564:X578" si="390">BIN2HEX(V564,2)</f>
        <v>0C</v>
      </c>
      <c r="Y564" s="9" t="str">
        <f t="shared" ref="Y564:Y578" si="391">BIN2HEX(W564,2)</f>
        <v>30</v>
      </c>
      <c r="AA564" t="str" cm="1">
        <f t="array" ref="AA564:AH564">TRANSPOSE(X571:X578)</f>
        <v>11</v>
      </c>
      <c r="AB564" t="str">
        <v>13</v>
      </c>
      <c r="AC564" t="str">
        <v>01</v>
      </c>
      <c r="AD564" t="str">
        <v>03</v>
      </c>
      <c r="AE564" t="str">
        <v>0D</v>
      </c>
      <c r="AF564" t="str">
        <v>0C</v>
      </c>
      <c r="AG564" t="str">
        <v>0C</v>
      </c>
      <c r="AH564" t="str">
        <v>14</v>
      </c>
      <c r="AJ564" t="str">
        <f t="shared" ref="AJ564:AJ566" si="392">LOWER("!byte $"&amp;AA564&amp;", $"&amp;AB564&amp;", $"&amp;AC564&amp;", $"&amp;AD564&amp;", $"&amp;AE564&amp;", $"&amp;AF564&amp;", $"&amp;AG564&amp;", $"&amp;AH564)</f>
        <v>!byte $11, $13, $01, $03, $0d, $0c, $0c, $14</v>
      </c>
    </row>
    <row r="565" spans="1:36" x14ac:dyDescent="0.3">
      <c r="B565" s="2">
        <v>0</v>
      </c>
      <c r="C565" s="2">
        <v>0</v>
      </c>
      <c r="D565" s="2">
        <v>3</v>
      </c>
      <c r="E565" s="2">
        <v>3</v>
      </c>
      <c r="F565" s="2">
        <v>3</v>
      </c>
      <c r="G565" s="2">
        <v>3</v>
      </c>
      <c r="H565" s="2">
        <v>0</v>
      </c>
      <c r="I565" s="2">
        <v>0</v>
      </c>
      <c r="K565" s="2" t="str">
        <f t="shared" si="386"/>
        <v>00</v>
      </c>
      <c r="L565" s="2" t="str">
        <f t="shared" si="386"/>
        <v>00</v>
      </c>
      <c r="M565" s="2" t="str">
        <f t="shared" si="386"/>
        <v>11</v>
      </c>
      <c r="N565" s="2" t="str">
        <f t="shared" si="386"/>
        <v>11</v>
      </c>
      <c r="O565" s="2" t="str">
        <f t="shared" si="386"/>
        <v>11</v>
      </c>
      <c r="P565" s="2" t="str">
        <f t="shared" si="386"/>
        <v>11</v>
      </c>
      <c r="Q565" s="2" t="str">
        <f t="shared" si="386"/>
        <v>00</v>
      </c>
      <c r="R565" s="2" t="str">
        <f t="shared" si="386"/>
        <v>00</v>
      </c>
      <c r="T565" t="str">
        <f t="shared" si="387"/>
        <v>0000111111110000</v>
      </c>
      <c r="V565" s="9" t="str">
        <f t="shared" si="388"/>
        <v>00001111</v>
      </c>
      <c r="W565" s="9" t="str">
        <f t="shared" si="389"/>
        <v>11110000</v>
      </c>
      <c r="X565" s="9" t="str">
        <f t="shared" si="390"/>
        <v>0F</v>
      </c>
      <c r="Y565" s="9" t="str">
        <f t="shared" si="391"/>
        <v>F0</v>
      </c>
      <c r="AA565" t="str" cm="1">
        <f t="array" ref="AA565:AH565">TRANSPOSE(Y563:Y570)</f>
        <v>00</v>
      </c>
      <c r="AB565" t="str">
        <v>30</v>
      </c>
      <c r="AC565" t="str">
        <v>F0</v>
      </c>
      <c r="AD565" t="str">
        <v>CC</v>
      </c>
      <c r="AE565" t="str">
        <v>CC</v>
      </c>
      <c r="AF565" t="str">
        <v>F0</v>
      </c>
      <c r="AG565" t="str">
        <v>C0</v>
      </c>
      <c r="AH565" t="str">
        <v>D0</v>
      </c>
      <c r="AJ565" t="str">
        <f t="shared" si="392"/>
        <v>!byte $00, $30, $f0, $cc, $cc, $f0, $c0, $d0</v>
      </c>
    </row>
    <row r="566" spans="1:36" x14ac:dyDescent="0.3">
      <c r="B566" s="2">
        <v>0</v>
      </c>
      <c r="C566" s="2">
        <v>3</v>
      </c>
      <c r="D566" s="2">
        <v>0</v>
      </c>
      <c r="E566" s="2">
        <v>3</v>
      </c>
      <c r="F566" s="2">
        <v>3</v>
      </c>
      <c r="G566" s="2">
        <v>0</v>
      </c>
      <c r="H566" s="2">
        <v>3</v>
      </c>
      <c r="I566" s="2">
        <v>0</v>
      </c>
      <c r="K566" s="2" t="str">
        <f t="shared" si="386"/>
        <v>00</v>
      </c>
      <c r="L566" s="2" t="str">
        <f t="shared" si="386"/>
        <v>11</v>
      </c>
      <c r="M566" s="2" t="str">
        <f t="shared" si="386"/>
        <v>00</v>
      </c>
      <c r="N566" s="2" t="str">
        <f t="shared" si="386"/>
        <v>11</v>
      </c>
      <c r="O566" s="2" t="str">
        <f t="shared" si="386"/>
        <v>11</v>
      </c>
      <c r="P566" s="2" t="str">
        <f t="shared" si="386"/>
        <v>00</v>
      </c>
      <c r="Q566" s="2" t="str">
        <f t="shared" si="386"/>
        <v>11</v>
      </c>
      <c r="R566" s="2" t="str">
        <f t="shared" si="386"/>
        <v>00</v>
      </c>
      <c r="T566" t="str">
        <f t="shared" si="387"/>
        <v>0011001111001100</v>
      </c>
      <c r="V566" s="9" t="str">
        <f t="shared" si="388"/>
        <v>00110011</v>
      </c>
      <c r="W566" s="9" t="str">
        <f t="shared" si="389"/>
        <v>11001100</v>
      </c>
      <c r="X566" s="9" t="str">
        <f t="shared" si="390"/>
        <v>33</v>
      </c>
      <c r="Y566" s="9" t="str">
        <f t="shared" si="391"/>
        <v>CC</v>
      </c>
      <c r="AA566" t="str" cm="1">
        <f t="array" ref="AA566:AH566">TRANSPOSE(Y571:Y578)</f>
        <v>44</v>
      </c>
      <c r="AB566" t="str">
        <v>C4</v>
      </c>
      <c r="AC566" t="str">
        <v>40</v>
      </c>
      <c r="AD566" t="str">
        <v>C0</v>
      </c>
      <c r="AE566" t="str">
        <v>70</v>
      </c>
      <c r="AF566" t="str">
        <v>30</v>
      </c>
      <c r="AG566" t="str">
        <v>30</v>
      </c>
      <c r="AH566" t="str">
        <v>14</v>
      </c>
      <c r="AJ566" t="str">
        <f t="shared" si="392"/>
        <v>!byte $44, $c4, $40, $c0, $70, $30, $30, $14</v>
      </c>
    </row>
    <row r="567" spans="1:36" x14ac:dyDescent="0.3">
      <c r="B567" s="2">
        <v>0</v>
      </c>
      <c r="C567" s="2">
        <v>3</v>
      </c>
      <c r="D567" s="2">
        <v>0</v>
      </c>
      <c r="E567" s="2">
        <v>3</v>
      </c>
      <c r="F567" s="2">
        <v>3</v>
      </c>
      <c r="G567" s="2">
        <v>0</v>
      </c>
      <c r="H567" s="2">
        <v>3</v>
      </c>
      <c r="I567" s="2">
        <v>0</v>
      </c>
      <c r="K567" s="2" t="str">
        <f t="shared" si="386"/>
        <v>00</v>
      </c>
      <c r="L567" s="2" t="str">
        <f t="shared" si="386"/>
        <v>11</v>
      </c>
      <c r="M567" s="2" t="str">
        <f t="shared" si="386"/>
        <v>00</v>
      </c>
      <c r="N567" s="2" t="str">
        <f t="shared" si="386"/>
        <v>11</v>
      </c>
      <c r="O567" s="2" t="str">
        <f t="shared" si="386"/>
        <v>11</v>
      </c>
      <c r="P567" s="2" t="str">
        <f t="shared" si="386"/>
        <v>00</v>
      </c>
      <c r="Q567" s="2" t="str">
        <f t="shared" si="386"/>
        <v>11</v>
      </c>
      <c r="R567" s="2" t="str">
        <f t="shared" si="386"/>
        <v>00</v>
      </c>
      <c r="T567" t="str">
        <f t="shared" si="387"/>
        <v>0011001111001100</v>
      </c>
      <c r="V567" s="9" t="str">
        <f t="shared" si="388"/>
        <v>00110011</v>
      </c>
      <c r="W567" s="9" t="str">
        <f t="shared" si="389"/>
        <v>11001100</v>
      </c>
      <c r="X567" s="9" t="str">
        <f t="shared" si="390"/>
        <v>33</v>
      </c>
      <c r="Y567" s="9" t="str">
        <f t="shared" si="391"/>
        <v>CC</v>
      </c>
    </row>
    <row r="568" spans="1:36" x14ac:dyDescent="0.3">
      <c r="B568" s="2">
        <v>0</v>
      </c>
      <c r="C568" s="2">
        <v>0</v>
      </c>
      <c r="D568" s="2">
        <v>3</v>
      </c>
      <c r="E568" s="2">
        <v>3</v>
      </c>
      <c r="F568" s="2">
        <v>3</v>
      </c>
      <c r="G568" s="2">
        <v>3</v>
      </c>
      <c r="H568" s="2">
        <v>0</v>
      </c>
      <c r="I568" s="2">
        <v>0</v>
      </c>
      <c r="K568" s="2" t="str">
        <f t="shared" si="386"/>
        <v>00</v>
      </c>
      <c r="L568" s="2" t="str">
        <f t="shared" si="386"/>
        <v>00</v>
      </c>
      <c r="M568" s="2" t="str">
        <f t="shared" si="386"/>
        <v>11</v>
      </c>
      <c r="N568" s="2" t="str">
        <f t="shared" si="386"/>
        <v>11</v>
      </c>
      <c r="O568" s="2" t="str">
        <f t="shared" si="386"/>
        <v>11</v>
      </c>
      <c r="P568" s="2" t="str">
        <f t="shared" si="386"/>
        <v>11</v>
      </c>
      <c r="Q568" s="2" t="str">
        <f t="shared" si="386"/>
        <v>00</v>
      </c>
      <c r="R568" s="2" t="str">
        <f t="shared" si="386"/>
        <v>00</v>
      </c>
      <c r="T568" t="str">
        <f t="shared" si="387"/>
        <v>0000111111110000</v>
      </c>
      <c r="V568" s="9" t="str">
        <f t="shared" si="388"/>
        <v>00001111</v>
      </c>
      <c r="W568" s="9" t="str">
        <f t="shared" si="389"/>
        <v>11110000</v>
      </c>
      <c r="X568" s="9" t="str">
        <f t="shared" si="390"/>
        <v>0F</v>
      </c>
      <c r="Y568" s="9" t="str">
        <f t="shared" si="391"/>
        <v>F0</v>
      </c>
    </row>
    <row r="569" spans="1:36" x14ac:dyDescent="0.3">
      <c r="B569" s="2">
        <v>0</v>
      </c>
      <c r="C569" s="2">
        <v>0</v>
      </c>
      <c r="D569" s="2">
        <v>0</v>
      </c>
      <c r="E569" s="2">
        <v>3</v>
      </c>
      <c r="F569" s="2">
        <v>3</v>
      </c>
      <c r="G569" s="2">
        <v>0</v>
      </c>
      <c r="H569" s="2">
        <v>0</v>
      </c>
      <c r="I569" s="2">
        <v>0</v>
      </c>
      <c r="K569" s="2" t="str">
        <f t="shared" si="386"/>
        <v>00</v>
      </c>
      <c r="L569" s="2" t="str">
        <f t="shared" si="386"/>
        <v>00</v>
      </c>
      <c r="M569" s="2" t="str">
        <f t="shared" si="386"/>
        <v>00</v>
      </c>
      <c r="N569" s="2" t="str">
        <f t="shared" si="386"/>
        <v>11</v>
      </c>
      <c r="O569" s="2" t="str">
        <f t="shared" si="386"/>
        <v>11</v>
      </c>
      <c r="P569" s="2" t="str">
        <f t="shared" si="386"/>
        <v>00</v>
      </c>
      <c r="Q569" s="2" t="str">
        <f t="shared" si="386"/>
        <v>00</v>
      </c>
      <c r="R569" s="2" t="str">
        <f t="shared" si="386"/>
        <v>00</v>
      </c>
      <c r="T569" t="str">
        <f t="shared" si="387"/>
        <v>0000001111000000</v>
      </c>
      <c r="V569" s="9" t="str">
        <f t="shared" si="388"/>
        <v>00000011</v>
      </c>
      <c r="W569" s="9" t="str">
        <f t="shared" si="389"/>
        <v>11000000</v>
      </c>
      <c r="X569" s="9" t="str">
        <f t="shared" si="390"/>
        <v>03</v>
      </c>
      <c r="Y569" s="9" t="str">
        <f t="shared" si="391"/>
        <v>C0</v>
      </c>
    </row>
    <row r="570" spans="1:36" x14ac:dyDescent="0.3">
      <c r="B570" s="2">
        <v>0</v>
      </c>
      <c r="C570" s="2">
        <v>0</v>
      </c>
      <c r="D570" s="2">
        <v>1</v>
      </c>
      <c r="E570" s="2">
        <v>3</v>
      </c>
      <c r="F570" s="2">
        <v>3</v>
      </c>
      <c r="G570" s="2">
        <v>1</v>
      </c>
      <c r="H570" s="2">
        <v>0</v>
      </c>
      <c r="I570" s="2">
        <v>0</v>
      </c>
      <c r="K570" s="2" t="str">
        <f t="shared" si="386"/>
        <v>00</v>
      </c>
      <c r="L570" s="2" t="str">
        <f t="shared" si="386"/>
        <v>00</v>
      </c>
      <c r="M570" s="2" t="str">
        <f t="shared" si="386"/>
        <v>01</v>
      </c>
      <c r="N570" s="2" t="str">
        <f t="shared" si="386"/>
        <v>11</v>
      </c>
      <c r="O570" s="2" t="str">
        <f t="shared" si="386"/>
        <v>11</v>
      </c>
      <c r="P570" s="2" t="str">
        <f t="shared" si="386"/>
        <v>01</v>
      </c>
      <c r="Q570" s="2" t="str">
        <f t="shared" si="386"/>
        <v>00</v>
      </c>
      <c r="R570" s="2" t="str">
        <f t="shared" si="386"/>
        <v>00</v>
      </c>
      <c r="T570" t="str">
        <f t="shared" si="387"/>
        <v>0000011111010000</v>
      </c>
      <c r="V570" s="10" t="str">
        <f t="shared" si="388"/>
        <v>00000111</v>
      </c>
      <c r="W570" s="10" t="str">
        <f t="shared" si="389"/>
        <v>11010000</v>
      </c>
      <c r="X570" s="10" t="str">
        <f t="shared" si="390"/>
        <v>07</v>
      </c>
      <c r="Y570" s="10" t="str">
        <f t="shared" si="391"/>
        <v>D0</v>
      </c>
    </row>
    <row r="571" spans="1:36" x14ac:dyDescent="0.3">
      <c r="B571" s="2">
        <v>0</v>
      </c>
      <c r="C571" s="2">
        <v>1</v>
      </c>
      <c r="D571" s="2">
        <v>0</v>
      </c>
      <c r="E571" s="2">
        <v>1</v>
      </c>
      <c r="F571" s="2">
        <v>1</v>
      </c>
      <c r="G571" s="2">
        <v>0</v>
      </c>
      <c r="H571" s="2">
        <v>1</v>
      </c>
      <c r="I571" s="2">
        <v>0</v>
      </c>
      <c r="K571" s="2" t="str">
        <f t="shared" si="386"/>
        <v>00</v>
      </c>
      <c r="L571" s="2" t="str">
        <f t="shared" si="386"/>
        <v>01</v>
      </c>
      <c r="M571" s="2" t="str">
        <f t="shared" si="386"/>
        <v>00</v>
      </c>
      <c r="N571" s="2" t="str">
        <f t="shared" si="386"/>
        <v>01</v>
      </c>
      <c r="O571" s="2" t="str">
        <f t="shared" si="386"/>
        <v>01</v>
      </c>
      <c r="P571" s="2" t="str">
        <f t="shared" si="386"/>
        <v>00</v>
      </c>
      <c r="Q571" s="2" t="str">
        <f t="shared" si="386"/>
        <v>01</v>
      </c>
      <c r="R571" s="2" t="str">
        <f t="shared" si="386"/>
        <v>00</v>
      </c>
      <c r="T571" t="str">
        <f t="shared" si="387"/>
        <v>0001000101000100</v>
      </c>
      <c r="V571" s="8" t="str">
        <f t="shared" si="388"/>
        <v>00010001</v>
      </c>
      <c r="W571" s="8" t="str">
        <f t="shared" si="389"/>
        <v>01000100</v>
      </c>
      <c r="X571" s="8" t="str">
        <f t="shared" si="390"/>
        <v>11</v>
      </c>
      <c r="Y571" s="8" t="str">
        <f t="shared" si="391"/>
        <v>44</v>
      </c>
    </row>
    <row r="572" spans="1:36" x14ac:dyDescent="0.3">
      <c r="B572" s="2">
        <v>0</v>
      </c>
      <c r="C572" s="2">
        <v>1</v>
      </c>
      <c r="D572" s="2">
        <v>0</v>
      </c>
      <c r="E572" s="2">
        <v>3</v>
      </c>
      <c r="F572" s="2">
        <v>3</v>
      </c>
      <c r="G572" s="2">
        <v>0</v>
      </c>
      <c r="H572" s="2">
        <v>1</v>
      </c>
      <c r="I572" s="2">
        <v>0</v>
      </c>
      <c r="K572" s="2" t="str">
        <f t="shared" si="386"/>
        <v>00</v>
      </c>
      <c r="L572" s="2" t="str">
        <f t="shared" si="386"/>
        <v>01</v>
      </c>
      <c r="M572" s="2" t="str">
        <f t="shared" si="386"/>
        <v>00</v>
      </c>
      <c r="N572" s="2" t="str">
        <f t="shared" si="386"/>
        <v>11</v>
      </c>
      <c r="O572" s="2" t="str">
        <f t="shared" si="386"/>
        <v>11</v>
      </c>
      <c r="P572" s="2" t="str">
        <f t="shared" si="386"/>
        <v>00</v>
      </c>
      <c r="Q572" s="2" t="str">
        <f t="shared" si="386"/>
        <v>01</v>
      </c>
      <c r="R572" s="2" t="str">
        <f t="shared" si="386"/>
        <v>00</v>
      </c>
      <c r="T572" t="str">
        <f t="shared" si="387"/>
        <v>0001001111000100</v>
      </c>
      <c r="V572" s="9" t="str">
        <f t="shared" si="388"/>
        <v>00010011</v>
      </c>
      <c r="W572" s="9" t="str">
        <f t="shared" si="389"/>
        <v>11000100</v>
      </c>
      <c r="X572" s="9" t="str">
        <f t="shared" si="390"/>
        <v>13</v>
      </c>
      <c r="Y572" s="9" t="str">
        <f t="shared" si="391"/>
        <v>C4</v>
      </c>
    </row>
    <row r="573" spans="1:36" x14ac:dyDescent="0.3">
      <c r="B573" s="2">
        <v>0</v>
      </c>
      <c r="C573" s="2">
        <v>0</v>
      </c>
      <c r="D573" s="2">
        <v>0</v>
      </c>
      <c r="E573" s="2">
        <v>1</v>
      </c>
      <c r="F573" s="2">
        <v>1</v>
      </c>
      <c r="G573" s="2">
        <v>0</v>
      </c>
      <c r="H573" s="2">
        <v>0</v>
      </c>
      <c r="I573" s="2">
        <v>0</v>
      </c>
      <c r="K573" s="2" t="str">
        <f t="shared" si="386"/>
        <v>00</v>
      </c>
      <c r="L573" s="2" t="str">
        <f t="shared" si="386"/>
        <v>00</v>
      </c>
      <c r="M573" s="2" t="str">
        <f t="shared" si="386"/>
        <v>00</v>
      </c>
      <c r="N573" s="2" t="str">
        <f t="shared" si="386"/>
        <v>01</v>
      </c>
      <c r="O573" s="2" t="str">
        <f t="shared" si="386"/>
        <v>01</v>
      </c>
      <c r="P573" s="2" t="str">
        <f t="shared" si="386"/>
        <v>00</v>
      </c>
      <c r="Q573" s="2" t="str">
        <f t="shared" si="386"/>
        <v>00</v>
      </c>
      <c r="R573" s="2" t="str">
        <f t="shared" si="386"/>
        <v>00</v>
      </c>
      <c r="T573" t="str">
        <f t="shared" si="387"/>
        <v>0000000101000000</v>
      </c>
      <c r="V573" s="9" t="str">
        <f t="shared" si="388"/>
        <v>00000001</v>
      </c>
      <c r="W573" s="9" t="str">
        <f t="shared" si="389"/>
        <v>01000000</v>
      </c>
      <c r="X573" s="9" t="str">
        <f t="shared" si="390"/>
        <v>01</v>
      </c>
      <c r="Y573" s="9" t="str">
        <f t="shared" si="391"/>
        <v>40</v>
      </c>
    </row>
    <row r="574" spans="1:36" x14ac:dyDescent="0.3">
      <c r="B574" s="2">
        <v>0</v>
      </c>
      <c r="C574" s="2">
        <v>0</v>
      </c>
      <c r="D574" s="2">
        <v>0</v>
      </c>
      <c r="E574" s="2">
        <v>3</v>
      </c>
      <c r="F574" s="2">
        <v>3</v>
      </c>
      <c r="G574" s="2">
        <v>0</v>
      </c>
      <c r="H574" s="2">
        <v>0</v>
      </c>
      <c r="I574" s="2">
        <v>0</v>
      </c>
      <c r="K574" s="2" t="str">
        <f t="shared" si="386"/>
        <v>00</v>
      </c>
      <c r="L574" s="2" t="str">
        <f t="shared" si="386"/>
        <v>00</v>
      </c>
      <c r="M574" s="2" t="str">
        <f t="shared" si="386"/>
        <v>00</v>
      </c>
      <c r="N574" s="2" t="str">
        <f t="shared" si="386"/>
        <v>11</v>
      </c>
      <c r="O574" s="2" t="str">
        <f t="shared" si="386"/>
        <v>11</v>
      </c>
      <c r="P574" s="2" t="str">
        <f t="shared" si="386"/>
        <v>00</v>
      </c>
      <c r="Q574" s="2" t="str">
        <f t="shared" si="386"/>
        <v>00</v>
      </c>
      <c r="R574" s="2" t="str">
        <f t="shared" si="386"/>
        <v>00</v>
      </c>
      <c r="T574" t="str">
        <f t="shared" si="387"/>
        <v>0000001111000000</v>
      </c>
      <c r="V574" s="9" t="str">
        <f t="shared" si="388"/>
        <v>00000011</v>
      </c>
      <c r="W574" s="9" t="str">
        <f t="shared" si="389"/>
        <v>11000000</v>
      </c>
      <c r="X574" s="9" t="str">
        <f t="shared" si="390"/>
        <v>03</v>
      </c>
      <c r="Y574" s="9" t="str">
        <f t="shared" si="391"/>
        <v>C0</v>
      </c>
    </row>
    <row r="575" spans="1:36" x14ac:dyDescent="0.3">
      <c r="B575" s="2">
        <v>0</v>
      </c>
      <c r="C575" s="2">
        <v>0</v>
      </c>
      <c r="D575" s="2">
        <v>3</v>
      </c>
      <c r="E575" s="2">
        <v>1</v>
      </c>
      <c r="F575" s="2">
        <v>1</v>
      </c>
      <c r="G575" s="2">
        <v>3</v>
      </c>
      <c r="H575" s="2">
        <v>0</v>
      </c>
      <c r="I575" s="2">
        <v>0</v>
      </c>
      <c r="K575" s="2" t="str">
        <f t="shared" si="386"/>
        <v>00</v>
      </c>
      <c r="L575" s="2" t="str">
        <f t="shared" si="386"/>
        <v>00</v>
      </c>
      <c r="M575" s="2" t="str">
        <f t="shared" si="386"/>
        <v>11</v>
      </c>
      <c r="N575" s="2" t="str">
        <f t="shared" si="386"/>
        <v>01</v>
      </c>
      <c r="O575" s="2" t="str">
        <f t="shared" si="386"/>
        <v>01</v>
      </c>
      <c r="P575" s="2" t="str">
        <f t="shared" si="386"/>
        <v>11</v>
      </c>
      <c r="Q575" s="2" t="str">
        <f t="shared" si="386"/>
        <v>00</v>
      </c>
      <c r="R575" s="2" t="str">
        <f t="shared" si="386"/>
        <v>00</v>
      </c>
      <c r="T575" t="str">
        <f t="shared" si="387"/>
        <v>0000110101110000</v>
      </c>
      <c r="V575" s="9" t="str">
        <f t="shared" si="388"/>
        <v>00001101</v>
      </c>
      <c r="W575" s="9" t="str">
        <f t="shared" si="389"/>
        <v>01110000</v>
      </c>
      <c r="X575" s="9" t="str">
        <f t="shared" si="390"/>
        <v>0D</v>
      </c>
      <c r="Y575" s="9" t="str">
        <f t="shared" si="391"/>
        <v>70</v>
      </c>
    </row>
    <row r="576" spans="1:36" x14ac:dyDescent="0.3">
      <c r="B576" s="2">
        <v>0</v>
      </c>
      <c r="C576" s="2">
        <v>0</v>
      </c>
      <c r="D576" s="2">
        <v>3</v>
      </c>
      <c r="E576" s="2">
        <v>0</v>
      </c>
      <c r="F576" s="2">
        <v>0</v>
      </c>
      <c r="G576" s="2">
        <v>3</v>
      </c>
      <c r="H576" s="2">
        <v>0</v>
      </c>
      <c r="I576" s="2">
        <v>0</v>
      </c>
      <c r="K576" s="2" t="str">
        <f t="shared" si="386"/>
        <v>00</v>
      </c>
      <c r="L576" s="2" t="str">
        <f t="shared" si="386"/>
        <v>00</v>
      </c>
      <c r="M576" s="2" t="str">
        <f t="shared" si="386"/>
        <v>11</v>
      </c>
      <c r="N576" s="2" t="str">
        <f t="shared" si="386"/>
        <v>00</v>
      </c>
      <c r="O576" s="2" t="str">
        <f t="shared" si="386"/>
        <v>00</v>
      </c>
      <c r="P576" s="2" t="str">
        <f t="shared" si="386"/>
        <v>11</v>
      </c>
      <c r="Q576" s="2" t="str">
        <f t="shared" si="386"/>
        <v>00</v>
      </c>
      <c r="R576" s="2" t="str">
        <f t="shared" si="386"/>
        <v>00</v>
      </c>
      <c r="T576" t="str">
        <f t="shared" si="387"/>
        <v>0000110000110000</v>
      </c>
      <c r="V576" s="9" t="str">
        <f t="shared" si="388"/>
        <v>00001100</v>
      </c>
      <c r="W576" s="9" t="str">
        <f t="shared" si="389"/>
        <v>00110000</v>
      </c>
      <c r="X576" s="9" t="str">
        <f t="shared" si="390"/>
        <v>0C</v>
      </c>
      <c r="Y576" s="9" t="str">
        <f t="shared" si="391"/>
        <v>30</v>
      </c>
    </row>
    <row r="577" spans="1:36" x14ac:dyDescent="0.3">
      <c r="B577" s="2">
        <v>0</v>
      </c>
      <c r="C577" s="2">
        <v>0</v>
      </c>
      <c r="D577" s="2">
        <v>3</v>
      </c>
      <c r="E577" s="2">
        <v>0</v>
      </c>
      <c r="F577" s="2">
        <v>0</v>
      </c>
      <c r="G577" s="2">
        <v>3</v>
      </c>
      <c r="H577" s="2">
        <v>0</v>
      </c>
      <c r="I577" s="2">
        <v>0</v>
      </c>
      <c r="K577" s="2" t="str">
        <f t="shared" si="386"/>
        <v>00</v>
      </c>
      <c r="L577" s="2" t="str">
        <f t="shared" si="386"/>
        <v>00</v>
      </c>
      <c r="M577" s="2" t="str">
        <f t="shared" si="386"/>
        <v>11</v>
      </c>
      <c r="N577" s="2" t="str">
        <f t="shared" si="386"/>
        <v>00</v>
      </c>
      <c r="O577" s="2" t="str">
        <f t="shared" si="386"/>
        <v>00</v>
      </c>
      <c r="P577" s="2" t="str">
        <f t="shared" si="386"/>
        <v>11</v>
      </c>
      <c r="Q577" s="2" t="str">
        <f t="shared" si="386"/>
        <v>00</v>
      </c>
      <c r="R577" s="2" t="str">
        <f t="shared" si="386"/>
        <v>00</v>
      </c>
      <c r="T577" t="str">
        <f t="shared" si="387"/>
        <v>0000110000110000</v>
      </c>
      <c r="V577" s="9" t="str">
        <f t="shared" si="388"/>
        <v>00001100</v>
      </c>
      <c r="W577" s="9" t="str">
        <f t="shared" si="389"/>
        <v>00110000</v>
      </c>
      <c r="X577" s="9" t="str">
        <f t="shared" si="390"/>
        <v>0C</v>
      </c>
      <c r="Y577" s="9" t="str">
        <f t="shared" si="391"/>
        <v>30</v>
      </c>
    </row>
    <row r="578" spans="1:36" x14ac:dyDescent="0.3">
      <c r="B578" s="2">
        <v>0</v>
      </c>
      <c r="C578" s="2">
        <v>1</v>
      </c>
      <c r="D578" s="2">
        <v>1</v>
      </c>
      <c r="E578" s="2">
        <v>0</v>
      </c>
      <c r="F578" s="2">
        <v>0</v>
      </c>
      <c r="G578" s="2">
        <v>1</v>
      </c>
      <c r="H578" s="2">
        <v>1</v>
      </c>
      <c r="I578" s="2">
        <v>0</v>
      </c>
      <c r="K578" s="2" t="str">
        <f t="shared" si="386"/>
        <v>00</v>
      </c>
      <c r="L578" s="2" t="str">
        <f t="shared" si="386"/>
        <v>01</v>
      </c>
      <c r="M578" s="2" t="str">
        <f t="shared" si="386"/>
        <v>01</v>
      </c>
      <c r="N578" s="2" t="str">
        <f t="shared" si="386"/>
        <v>00</v>
      </c>
      <c r="O578" s="2" t="str">
        <f t="shared" si="386"/>
        <v>00</v>
      </c>
      <c r="P578" s="2" t="str">
        <f t="shared" si="386"/>
        <v>01</v>
      </c>
      <c r="Q578" s="2" t="str">
        <f t="shared" si="386"/>
        <v>01</v>
      </c>
      <c r="R578" s="2" t="str">
        <f t="shared" si="386"/>
        <v>00</v>
      </c>
      <c r="T578" t="str">
        <f t="shared" si="387"/>
        <v>0001010000010100</v>
      </c>
      <c r="V578" s="10" t="str">
        <f t="shared" si="388"/>
        <v>00010100</v>
      </c>
      <c r="W578" s="10" t="str">
        <f t="shared" si="389"/>
        <v>00010100</v>
      </c>
      <c r="X578" s="10" t="str">
        <f t="shared" si="390"/>
        <v>14</v>
      </c>
      <c r="Y578" s="10" t="str">
        <f t="shared" si="391"/>
        <v>14</v>
      </c>
    </row>
    <row r="579" spans="1:36" x14ac:dyDescent="0.3">
      <c r="A579" t="s">
        <v>218</v>
      </c>
      <c r="AJ579" t="str">
        <f>";"&amp;PROPER(A579)</f>
        <v>;Rockford 2 (Blink)</v>
      </c>
    </row>
    <row r="580" spans="1:36" x14ac:dyDescent="0.3"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K580" s="2" t="str">
        <f t="shared" ref="K580:R595" si="393">DEC2BIN(B580,2)</f>
        <v>00</v>
      </c>
      <c r="L580" s="2" t="str">
        <f t="shared" si="393"/>
        <v>00</v>
      </c>
      <c r="M580" s="2" t="str">
        <f t="shared" si="393"/>
        <v>00</v>
      </c>
      <c r="N580" s="2" t="str">
        <f t="shared" si="393"/>
        <v>00</v>
      </c>
      <c r="O580" s="2" t="str">
        <f t="shared" si="393"/>
        <v>00</v>
      </c>
      <c r="P580" s="2" t="str">
        <f t="shared" si="393"/>
        <v>00</v>
      </c>
      <c r="Q580" s="2" t="str">
        <f t="shared" si="393"/>
        <v>00</v>
      </c>
      <c r="R580" s="2" t="str">
        <f t="shared" si="393"/>
        <v>00</v>
      </c>
      <c r="T580" t="str">
        <f t="shared" si="387"/>
        <v>0000000000000000</v>
      </c>
      <c r="V580" s="8" t="str">
        <f>LEFT(T580,8)</f>
        <v>00000000</v>
      </c>
      <c r="W580" s="8" t="str">
        <f>RIGHT(T580,8)</f>
        <v>00000000</v>
      </c>
      <c r="X580" s="8" t="str">
        <f>BIN2HEX(V580,2)</f>
        <v>00</v>
      </c>
      <c r="Y580" s="8" t="str">
        <f>BIN2HEX(W580,2)</f>
        <v>00</v>
      </c>
      <c r="AA580" t="str" cm="1">
        <f t="array" ref="AA580:AH580">TRANSPOSE(X580:X587)</f>
        <v>00</v>
      </c>
      <c r="AB580" t="str">
        <v>0C</v>
      </c>
      <c r="AC580" t="str">
        <v>0F</v>
      </c>
      <c r="AD580" t="str">
        <v>3F</v>
      </c>
      <c r="AE580" t="str">
        <v>33</v>
      </c>
      <c r="AF580" t="str">
        <v>0F</v>
      </c>
      <c r="AG580" t="str">
        <v>03</v>
      </c>
      <c r="AH580" t="str">
        <v>07</v>
      </c>
      <c r="AJ580" t="str">
        <f>LOWER("!byte $"&amp;AA580&amp;", $"&amp;AB580&amp;", $"&amp;AC580&amp;", $"&amp;AD580&amp;", $"&amp;AE580&amp;", $"&amp;AF580&amp;", $"&amp;AG580&amp;", $"&amp;AH580)</f>
        <v>!byte $00, $0c, $0f, $3f, $33, $0f, $03, $07</v>
      </c>
    </row>
    <row r="581" spans="1:36" x14ac:dyDescent="0.3">
      <c r="B581" s="2">
        <v>0</v>
      </c>
      <c r="C581" s="2">
        <v>0</v>
      </c>
      <c r="D581" s="2">
        <v>3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K581" s="2" t="str">
        <f t="shared" si="393"/>
        <v>00</v>
      </c>
      <c r="L581" s="2" t="str">
        <f t="shared" si="393"/>
        <v>00</v>
      </c>
      <c r="M581" s="2" t="str">
        <f t="shared" si="393"/>
        <v>11</v>
      </c>
      <c r="N581" s="2" t="str">
        <f t="shared" si="393"/>
        <v>00</v>
      </c>
      <c r="O581" s="2" t="str">
        <f t="shared" si="393"/>
        <v>00</v>
      </c>
      <c r="P581" s="2" t="str">
        <f t="shared" si="393"/>
        <v>11</v>
      </c>
      <c r="Q581" s="2" t="str">
        <f t="shared" si="393"/>
        <v>00</v>
      </c>
      <c r="R581" s="2" t="str">
        <f t="shared" si="393"/>
        <v>00</v>
      </c>
      <c r="T581" t="str">
        <f t="shared" si="387"/>
        <v>0000110000110000</v>
      </c>
      <c r="V581" s="9" t="str">
        <f t="shared" ref="V581:V595" si="394">LEFT(T581,8)</f>
        <v>00001100</v>
      </c>
      <c r="W581" s="9" t="str">
        <f t="shared" ref="W581:W595" si="395">RIGHT(T581,8)</f>
        <v>00110000</v>
      </c>
      <c r="X581" s="9" t="str">
        <f t="shared" ref="X581:X595" si="396">BIN2HEX(V581,2)</f>
        <v>0C</v>
      </c>
      <c r="Y581" s="9" t="str">
        <f t="shared" ref="Y581:Y595" si="397">BIN2HEX(W581,2)</f>
        <v>30</v>
      </c>
      <c r="AA581" t="str" cm="1">
        <f t="array" ref="AA581:AH581">TRANSPOSE(X588:X595)</f>
        <v>11</v>
      </c>
      <c r="AB581" t="str">
        <v>13</v>
      </c>
      <c r="AC581" t="str">
        <v>01</v>
      </c>
      <c r="AD581" t="str">
        <v>03</v>
      </c>
      <c r="AE581" t="str">
        <v>0D</v>
      </c>
      <c r="AF581" t="str">
        <v>0C</v>
      </c>
      <c r="AG581" t="str">
        <v>0C</v>
      </c>
      <c r="AH581" t="str">
        <v>14</v>
      </c>
      <c r="AJ581" t="str">
        <f t="shared" ref="AJ581:AJ583" si="398">LOWER("!byte $"&amp;AA581&amp;", $"&amp;AB581&amp;", $"&amp;AC581&amp;", $"&amp;AD581&amp;", $"&amp;AE581&amp;", $"&amp;AF581&amp;", $"&amp;AG581&amp;", $"&amp;AH581)</f>
        <v>!byte $11, $13, $01, $03, $0d, $0c, $0c, $14</v>
      </c>
    </row>
    <row r="582" spans="1:36" x14ac:dyDescent="0.3">
      <c r="B582" s="2">
        <v>0</v>
      </c>
      <c r="C582" s="2">
        <v>0</v>
      </c>
      <c r="D582" s="2">
        <v>3</v>
      </c>
      <c r="E582" s="2">
        <v>3</v>
      </c>
      <c r="F582" s="2">
        <v>3</v>
      </c>
      <c r="G582" s="2">
        <v>3</v>
      </c>
      <c r="H582" s="2">
        <v>0</v>
      </c>
      <c r="I582" s="2">
        <v>0</v>
      </c>
      <c r="K582" s="2" t="str">
        <f t="shared" si="393"/>
        <v>00</v>
      </c>
      <c r="L582" s="2" t="str">
        <f t="shared" si="393"/>
        <v>00</v>
      </c>
      <c r="M582" s="2" t="str">
        <f t="shared" si="393"/>
        <v>11</v>
      </c>
      <c r="N582" s="2" t="str">
        <f t="shared" si="393"/>
        <v>11</v>
      </c>
      <c r="O582" s="2" t="str">
        <f t="shared" si="393"/>
        <v>11</v>
      </c>
      <c r="P582" s="2" t="str">
        <f t="shared" si="393"/>
        <v>11</v>
      </c>
      <c r="Q582" s="2" t="str">
        <f t="shared" si="393"/>
        <v>00</v>
      </c>
      <c r="R582" s="2" t="str">
        <f t="shared" si="393"/>
        <v>00</v>
      </c>
      <c r="T582" t="str">
        <f t="shared" si="387"/>
        <v>0000111111110000</v>
      </c>
      <c r="V582" s="9" t="str">
        <f t="shared" si="394"/>
        <v>00001111</v>
      </c>
      <c r="W582" s="9" t="str">
        <f t="shared" si="395"/>
        <v>11110000</v>
      </c>
      <c r="X582" s="9" t="str">
        <f t="shared" si="396"/>
        <v>0F</v>
      </c>
      <c r="Y582" s="9" t="str">
        <f t="shared" si="397"/>
        <v>F0</v>
      </c>
      <c r="AA582" t="str" cm="1">
        <f t="array" ref="AA582:AH582">TRANSPOSE(Y580:Y587)</f>
        <v>00</v>
      </c>
      <c r="AB582" t="str">
        <v>30</v>
      </c>
      <c r="AC582" t="str">
        <v>F0</v>
      </c>
      <c r="AD582" t="str">
        <v>FC</v>
      </c>
      <c r="AE582" t="str">
        <v>CC</v>
      </c>
      <c r="AF582" t="str">
        <v>F0</v>
      </c>
      <c r="AG582" t="str">
        <v>C0</v>
      </c>
      <c r="AH582" t="str">
        <v>D0</v>
      </c>
      <c r="AJ582" t="str">
        <f t="shared" si="398"/>
        <v>!byte $00, $30, $f0, $fc, $cc, $f0, $c0, $d0</v>
      </c>
    </row>
    <row r="583" spans="1:36" x14ac:dyDescent="0.3">
      <c r="B583" s="2">
        <v>0</v>
      </c>
      <c r="C583" s="2">
        <v>3</v>
      </c>
      <c r="D583" s="2">
        <v>3</v>
      </c>
      <c r="E583" s="2">
        <v>3</v>
      </c>
      <c r="F583" s="2">
        <v>3</v>
      </c>
      <c r="G583" s="2">
        <v>3</v>
      </c>
      <c r="H583" s="2">
        <v>3</v>
      </c>
      <c r="I583" s="2">
        <v>0</v>
      </c>
      <c r="K583" s="2" t="str">
        <f t="shared" si="393"/>
        <v>00</v>
      </c>
      <c r="L583" s="2" t="str">
        <f t="shared" si="393"/>
        <v>11</v>
      </c>
      <c r="M583" s="2" t="str">
        <f t="shared" si="393"/>
        <v>11</v>
      </c>
      <c r="N583" s="2" t="str">
        <f t="shared" si="393"/>
        <v>11</v>
      </c>
      <c r="O583" s="2" t="str">
        <f t="shared" si="393"/>
        <v>11</v>
      </c>
      <c r="P583" s="2" t="str">
        <f t="shared" si="393"/>
        <v>11</v>
      </c>
      <c r="Q583" s="2" t="str">
        <f t="shared" si="393"/>
        <v>11</v>
      </c>
      <c r="R583" s="2" t="str">
        <f t="shared" si="393"/>
        <v>00</v>
      </c>
      <c r="T583" t="str">
        <f t="shared" si="387"/>
        <v>0011111111111100</v>
      </c>
      <c r="V583" s="9" t="str">
        <f t="shared" si="394"/>
        <v>00111111</v>
      </c>
      <c r="W583" s="9" t="str">
        <f t="shared" si="395"/>
        <v>11111100</v>
      </c>
      <c r="X583" s="9" t="str">
        <f t="shared" si="396"/>
        <v>3F</v>
      </c>
      <c r="Y583" s="9" t="str">
        <f t="shared" si="397"/>
        <v>FC</v>
      </c>
      <c r="AA583" t="str" cm="1">
        <f t="array" ref="AA583:AH583">TRANSPOSE(Y588:Y595)</f>
        <v>44</v>
      </c>
      <c r="AB583" t="str">
        <v>C4</v>
      </c>
      <c r="AC583" t="str">
        <v>40</v>
      </c>
      <c r="AD583" t="str">
        <v>C0</v>
      </c>
      <c r="AE583" t="str">
        <v>70</v>
      </c>
      <c r="AF583" t="str">
        <v>30</v>
      </c>
      <c r="AG583" t="str">
        <v>30</v>
      </c>
      <c r="AH583" t="str">
        <v>14</v>
      </c>
      <c r="AJ583" t="str">
        <f t="shared" si="398"/>
        <v>!byte $44, $c4, $40, $c0, $70, $30, $30, $14</v>
      </c>
    </row>
    <row r="584" spans="1:36" x14ac:dyDescent="0.3">
      <c r="B584" s="2">
        <v>0</v>
      </c>
      <c r="C584" s="2">
        <v>3</v>
      </c>
      <c r="D584" s="2">
        <v>0</v>
      </c>
      <c r="E584" s="2">
        <v>3</v>
      </c>
      <c r="F584" s="2">
        <v>3</v>
      </c>
      <c r="G584" s="2">
        <v>0</v>
      </c>
      <c r="H584" s="2">
        <v>3</v>
      </c>
      <c r="I584" s="2">
        <v>0</v>
      </c>
      <c r="K584" s="2" t="str">
        <f t="shared" si="393"/>
        <v>00</v>
      </c>
      <c r="L584" s="2" t="str">
        <f t="shared" si="393"/>
        <v>11</v>
      </c>
      <c r="M584" s="2" t="str">
        <f t="shared" si="393"/>
        <v>00</v>
      </c>
      <c r="N584" s="2" t="str">
        <f t="shared" si="393"/>
        <v>11</v>
      </c>
      <c r="O584" s="2" t="str">
        <f t="shared" si="393"/>
        <v>11</v>
      </c>
      <c r="P584" s="2" t="str">
        <f t="shared" si="393"/>
        <v>00</v>
      </c>
      <c r="Q584" s="2" t="str">
        <f t="shared" si="393"/>
        <v>11</v>
      </c>
      <c r="R584" s="2" t="str">
        <f t="shared" si="393"/>
        <v>00</v>
      </c>
      <c r="T584" t="str">
        <f t="shared" si="387"/>
        <v>0011001111001100</v>
      </c>
      <c r="V584" s="9" t="str">
        <f t="shared" si="394"/>
        <v>00110011</v>
      </c>
      <c r="W584" s="9" t="str">
        <f t="shared" si="395"/>
        <v>11001100</v>
      </c>
      <c r="X584" s="9" t="str">
        <f t="shared" si="396"/>
        <v>33</v>
      </c>
      <c r="Y584" s="9" t="str">
        <f t="shared" si="397"/>
        <v>CC</v>
      </c>
    </row>
    <row r="585" spans="1:36" x14ac:dyDescent="0.3">
      <c r="B585" s="2">
        <v>0</v>
      </c>
      <c r="C585" s="2">
        <v>0</v>
      </c>
      <c r="D585" s="2">
        <v>3</v>
      </c>
      <c r="E585" s="2">
        <v>3</v>
      </c>
      <c r="F585" s="2">
        <v>3</v>
      </c>
      <c r="G585" s="2">
        <v>3</v>
      </c>
      <c r="H585" s="2">
        <v>0</v>
      </c>
      <c r="I585" s="2">
        <v>0</v>
      </c>
      <c r="K585" s="2" t="str">
        <f t="shared" si="393"/>
        <v>00</v>
      </c>
      <c r="L585" s="2" t="str">
        <f t="shared" si="393"/>
        <v>00</v>
      </c>
      <c r="M585" s="2" t="str">
        <f t="shared" si="393"/>
        <v>11</v>
      </c>
      <c r="N585" s="2" t="str">
        <f t="shared" si="393"/>
        <v>11</v>
      </c>
      <c r="O585" s="2" t="str">
        <f t="shared" si="393"/>
        <v>11</v>
      </c>
      <c r="P585" s="2" t="str">
        <f t="shared" si="393"/>
        <v>11</v>
      </c>
      <c r="Q585" s="2" t="str">
        <f t="shared" si="393"/>
        <v>00</v>
      </c>
      <c r="R585" s="2" t="str">
        <f t="shared" si="393"/>
        <v>00</v>
      </c>
      <c r="T585" t="str">
        <f t="shared" si="387"/>
        <v>0000111111110000</v>
      </c>
      <c r="V585" s="9" t="str">
        <f t="shared" si="394"/>
        <v>00001111</v>
      </c>
      <c r="W585" s="9" t="str">
        <f t="shared" si="395"/>
        <v>11110000</v>
      </c>
      <c r="X585" s="9" t="str">
        <f t="shared" si="396"/>
        <v>0F</v>
      </c>
      <c r="Y585" s="9" t="str">
        <f t="shared" si="397"/>
        <v>F0</v>
      </c>
    </row>
    <row r="586" spans="1:36" x14ac:dyDescent="0.3">
      <c r="B586" s="2">
        <v>0</v>
      </c>
      <c r="C586" s="2">
        <v>0</v>
      </c>
      <c r="D586" s="2">
        <v>0</v>
      </c>
      <c r="E586" s="2">
        <v>3</v>
      </c>
      <c r="F586" s="2">
        <v>3</v>
      </c>
      <c r="G586" s="2">
        <v>0</v>
      </c>
      <c r="H586" s="2">
        <v>0</v>
      </c>
      <c r="I586" s="2">
        <v>0</v>
      </c>
      <c r="K586" s="2" t="str">
        <f t="shared" si="393"/>
        <v>00</v>
      </c>
      <c r="L586" s="2" t="str">
        <f t="shared" si="393"/>
        <v>00</v>
      </c>
      <c r="M586" s="2" t="str">
        <f t="shared" si="393"/>
        <v>00</v>
      </c>
      <c r="N586" s="2" t="str">
        <f t="shared" si="393"/>
        <v>11</v>
      </c>
      <c r="O586" s="2" t="str">
        <f t="shared" si="393"/>
        <v>11</v>
      </c>
      <c r="P586" s="2" t="str">
        <f t="shared" si="393"/>
        <v>00</v>
      </c>
      <c r="Q586" s="2" t="str">
        <f t="shared" si="393"/>
        <v>00</v>
      </c>
      <c r="R586" s="2" t="str">
        <f t="shared" si="393"/>
        <v>00</v>
      </c>
      <c r="T586" t="str">
        <f t="shared" si="387"/>
        <v>0000001111000000</v>
      </c>
      <c r="V586" s="9" t="str">
        <f t="shared" si="394"/>
        <v>00000011</v>
      </c>
      <c r="W586" s="9" t="str">
        <f t="shared" si="395"/>
        <v>11000000</v>
      </c>
      <c r="X586" s="9" t="str">
        <f t="shared" si="396"/>
        <v>03</v>
      </c>
      <c r="Y586" s="9" t="str">
        <f t="shared" si="397"/>
        <v>C0</v>
      </c>
    </row>
    <row r="587" spans="1:36" x14ac:dyDescent="0.3">
      <c r="B587" s="2">
        <v>0</v>
      </c>
      <c r="C587" s="2">
        <v>0</v>
      </c>
      <c r="D587" s="2">
        <v>1</v>
      </c>
      <c r="E587" s="2">
        <v>3</v>
      </c>
      <c r="F587" s="2">
        <v>3</v>
      </c>
      <c r="G587" s="2">
        <v>1</v>
      </c>
      <c r="H587" s="2">
        <v>0</v>
      </c>
      <c r="I587" s="2">
        <v>0</v>
      </c>
      <c r="K587" s="2" t="str">
        <f t="shared" si="393"/>
        <v>00</v>
      </c>
      <c r="L587" s="2" t="str">
        <f t="shared" si="393"/>
        <v>00</v>
      </c>
      <c r="M587" s="2" t="str">
        <f t="shared" si="393"/>
        <v>01</v>
      </c>
      <c r="N587" s="2" t="str">
        <f t="shared" si="393"/>
        <v>11</v>
      </c>
      <c r="O587" s="2" t="str">
        <f t="shared" si="393"/>
        <v>11</v>
      </c>
      <c r="P587" s="2" t="str">
        <f t="shared" si="393"/>
        <v>01</v>
      </c>
      <c r="Q587" s="2" t="str">
        <f t="shared" si="393"/>
        <v>00</v>
      </c>
      <c r="R587" s="2" t="str">
        <f t="shared" si="393"/>
        <v>00</v>
      </c>
      <c r="T587" t="str">
        <f t="shared" si="387"/>
        <v>0000011111010000</v>
      </c>
      <c r="V587" s="10" t="str">
        <f t="shared" si="394"/>
        <v>00000111</v>
      </c>
      <c r="W587" s="10" t="str">
        <f t="shared" si="395"/>
        <v>11010000</v>
      </c>
      <c r="X587" s="10" t="str">
        <f t="shared" si="396"/>
        <v>07</v>
      </c>
      <c r="Y587" s="10" t="str">
        <f t="shared" si="397"/>
        <v>D0</v>
      </c>
    </row>
    <row r="588" spans="1:36" x14ac:dyDescent="0.3">
      <c r="B588" s="2">
        <v>0</v>
      </c>
      <c r="C588" s="2">
        <v>1</v>
      </c>
      <c r="D588" s="2">
        <v>0</v>
      </c>
      <c r="E588" s="2">
        <v>1</v>
      </c>
      <c r="F588" s="2">
        <v>1</v>
      </c>
      <c r="G588" s="2">
        <v>0</v>
      </c>
      <c r="H588" s="2">
        <v>1</v>
      </c>
      <c r="I588" s="2">
        <v>0</v>
      </c>
      <c r="K588" s="2" t="str">
        <f t="shared" si="393"/>
        <v>00</v>
      </c>
      <c r="L588" s="2" t="str">
        <f t="shared" si="393"/>
        <v>01</v>
      </c>
      <c r="M588" s="2" t="str">
        <f t="shared" si="393"/>
        <v>00</v>
      </c>
      <c r="N588" s="2" t="str">
        <f t="shared" si="393"/>
        <v>01</v>
      </c>
      <c r="O588" s="2" t="str">
        <f t="shared" si="393"/>
        <v>01</v>
      </c>
      <c r="P588" s="2" t="str">
        <f t="shared" si="393"/>
        <v>00</v>
      </c>
      <c r="Q588" s="2" t="str">
        <f t="shared" si="393"/>
        <v>01</v>
      </c>
      <c r="R588" s="2" t="str">
        <f t="shared" si="393"/>
        <v>00</v>
      </c>
      <c r="T588" t="str">
        <f t="shared" si="387"/>
        <v>0001000101000100</v>
      </c>
      <c r="V588" s="8" t="str">
        <f t="shared" si="394"/>
        <v>00010001</v>
      </c>
      <c r="W588" s="8" t="str">
        <f t="shared" si="395"/>
        <v>01000100</v>
      </c>
      <c r="X588" s="8" t="str">
        <f t="shared" si="396"/>
        <v>11</v>
      </c>
      <c r="Y588" s="8" t="str">
        <f t="shared" si="397"/>
        <v>44</v>
      </c>
    </row>
    <row r="589" spans="1:36" x14ac:dyDescent="0.3">
      <c r="B589" s="2">
        <v>0</v>
      </c>
      <c r="C589" s="2">
        <v>1</v>
      </c>
      <c r="D589" s="2">
        <v>0</v>
      </c>
      <c r="E589" s="2">
        <v>3</v>
      </c>
      <c r="F589" s="2">
        <v>3</v>
      </c>
      <c r="G589" s="2">
        <v>0</v>
      </c>
      <c r="H589" s="2">
        <v>1</v>
      </c>
      <c r="I589" s="2">
        <v>0</v>
      </c>
      <c r="K589" s="2" t="str">
        <f t="shared" si="393"/>
        <v>00</v>
      </c>
      <c r="L589" s="2" t="str">
        <f t="shared" si="393"/>
        <v>01</v>
      </c>
      <c r="M589" s="2" t="str">
        <f t="shared" si="393"/>
        <v>00</v>
      </c>
      <c r="N589" s="2" t="str">
        <f t="shared" si="393"/>
        <v>11</v>
      </c>
      <c r="O589" s="2" t="str">
        <f t="shared" si="393"/>
        <v>11</v>
      </c>
      <c r="P589" s="2" t="str">
        <f t="shared" si="393"/>
        <v>00</v>
      </c>
      <c r="Q589" s="2" t="str">
        <f t="shared" si="393"/>
        <v>01</v>
      </c>
      <c r="R589" s="2" t="str">
        <f t="shared" si="393"/>
        <v>00</v>
      </c>
      <c r="T589" t="str">
        <f t="shared" si="387"/>
        <v>0001001111000100</v>
      </c>
      <c r="V589" s="9" t="str">
        <f t="shared" si="394"/>
        <v>00010011</v>
      </c>
      <c r="W589" s="9" t="str">
        <f t="shared" si="395"/>
        <v>11000100</v>
      </c>
      <c r="X589" s="9" t="str">
        <f t="shared" si="396"/>
        <v>13</v>
      </c>
      <c r="Y589" s="9" t="str">
        <f t="shared" si="397"/>
        <v>C4</v>
      </c>
    </row>
    <row r="590" spans="1:36" x14ac:dyDescent="0.3">
      <c r="B590" s="2">
        <v>0</v>
      </c>
      <c r="C590" s="2">
        <v>0</v>
      </c>
      <c r="D590" s="2">
        <v>0</v>
      </c>
      <c r="E590" s="2">
        <v>1</v>
      </c>
      <c r="F590" s="2">
        <v>1</v>
      </c>
      <c r="G590" s="2">
        <v>0</v>
      </c>
      <c r="H590" s="2">
        <v>0</v>
      </c>
      <c r="I590" s="2">
        <v>0</v>
      </c>
      <c r="K590" s="2" t="str">
        <f t="shared" si="393"/>
        <v>00</v>
      </c>
      <c r="L590" s="2" t="str">
        <f t="shared" si="393"/>
        <v>00</v>
      </c>
      <c r="M590" s="2" t="str">
        <f t="shared" si="393"/>
        <v>00</v>
      </c>
      <c r="N590" s="2" t="str">
        <f t="shared" si="393"/>
        <v>01</v>
      </c>
      <c r="O590" s="2" t="str">
        <f t="shared" si="393"/>
        <v>01</v>
      </c>
      <c r="P590" s="2" t="str">
        <f t="shared" si="393"/>
        <v>00</v>
      </c>
      <c r="Q590" s="2" t="str">
        <f t="shared" si="393"/>
        <v>00</v>
      </c>
      <c r="R590" s="2" t="str">
        <f t="shared" si="393"/>
        <v>00</v>
      </c>
      <c r="T590" t="str">
        <f t="shared" si="387"/>
        <v>0000000101000000</v>
      </c>
      <c r="V590" s="9" t="str">
        <f t="shared" si="394"/>
        <v>00000001</v>
      </c>
      <c r="W590" s="9" t="str">
        <f t="shared" si="395"/>
        <v>01000000</v>
      </c>
      <c r="X590" s="9" t="str">
        <f t="shared" si="396"/>
        <v>01</v>
      </c>
      <c r="Y590" s="9" t="str">
        <f t="shared" si="397"/>
        <v>40</v>
      </c>
    </row>
    <row r="591" spans="1:36" x14ac:dyDescent="0.3">
      <c r="B591" s="2">
        <v>0</v>
      </c>
      <c r="C591" s="2">
        <v>0</v>
      </c>
      <c r="D591" s="2">
        <v>0</v>
      </c>
      <c r="E591" s="2">
        <v>3</v>
      </c>
      <c r="F591" s="2">
        <v>3</v>
      </c>
      <c r="G591" s="2">
        <v>0</v>
      </c>
      <c r="H591" s="2">
        <v>0</v>
      </c>
      <c r="I591" s="2">
        <v>0</v>
      </c>
      <c r="K591" s="2" t="str">
        <f t="shared" si="393"/>
        <v>00</v>
      </c>
      <c r="L591" s="2" t="str">
        <f t="shared" si="393"/>
        <v>00</v>
      </c>
      <c r="M591" s="2" t="str">
        <f t="shared" si="393"/>
        <v>00</v>
      </c>
      <c r="N591" s="2" t="str">
        <f t="shared" si="393"/>
        <v>11</v>
      </c>
      <c r="O591" s="2" t="str">
        <f t="shared" si="393"/>
        <v>11</v>
      </c>
      <c r="P591" s="2" t="str">
        <f t="shared" si="393"/>
        <v>00</v>
      </c>
      <c r="Q591" s="2" t="str">
        <f t="shared" si="393"/>
        <v>00</v>
      </c>
      <c r="R591" s="2" t="str">
        <f t="shared" si="393"/>
        <v>00</v>
      </c>
      <c r="T591" t="str">
        <f t="shared" si="387"/>
        <v>0000001111000000</v>
      </c>
      <c r="V591" s="9" t="str">
        <f t="shared" si="394"/>
        <v>00000011</v>
      </c>
      <c r="W591" s="9" t="str">
        <f t="shared" si="395"/>
        <v>11000000</v>
      </c>
      <c r="X591" s="9" t="str">
        <f t="shared" si="396"/>
        <v>03</v>
      </c>
      <c r="Y591" s="9" t="str">
        <f t="shared" si="397"/>
        <v>C0</v>
      </c>
    </row>
    <row r="592" spans="1:36" x14ac:dyDescent="0.3">
      <c r="B592" s="2">
        <v>0</v>
      </c>
      <c r="C592" s="2">
        <v>0</v>
      </c>
      <c r="D592" s="2">
        <v>3</v>
      </c>
      <c r="E592" s="2">
        <v>1</v>
      </c>
      <c r="F592" s="2">
        <v>1</v>
      </c>
      <c r="G592" s="2">
        <v>3</v>
      </c>
      <c r="H592" s="2">
        <v>0</v>
      </c>
      <c r="I592" s="2">
        <v>0</v>
      </c>
      <c r="K592" s="2" t="str">
        <f t="shared" si="393"/>
        <v>00</v>
      </c>
      <c r="L592" s="2" t="str">
        <f t="shared" si="393"/>
        <v>00</v>
      </c>
      <c r="M592" s="2" t="str">
        <f t="shared" si="393"/>
        <v>11</v>
      </c>
      <c r="N592" s="2" t="str">
        <f t="shared" si="393"/>
        <v>01</v>
      </c>
      <c r="O592" s="2" t="str">
        <f t="shared" si="393"/>
        <v>01</v>
      </c>
      <c r="P592" s="2" t="str">
        <f t="shared" si="393"/>
        <v>11</v>
      </c>
      <c r="Q592" s="2" t="str">
        <f t="shared" si="393"/>
        <v>00</v>
      </c>
      <c r="R592" s="2" t="str">
        <f t="shared" si="393"/>
        <v>00</v>
      </c>
      <c r="T592" t="str">
        <f t="shared" si="387"/>
        <v>0000110101110000</v>
      </c>
      <c r="V592" s="9" t="str">
        <f t="shared" si="394"/>
        <v>00001101</v>
      </c>
      <c r="W592" s="9" t="str">
        <f t="shared" si="395"/>
        <v>01110000</v>
      </c>
      <c r="X592" s="9" t="str">
        <f t="shared" si="396"/>
        <v>0D</v>
      </c>
      <c r="Y592" s="9" t="str">
        <f t="shared" si="397"/>
        <v>70</v>
      </c>
    </row>
    <row r="593" spans="1:36" x14ac:dyDescent="0.3">
      <c r="B593" s="2">
        <v>0</v>
      </c>
      <c r="C593" s="2">
        <v>0</v>
      </c>
      <c r="D593" s="2">
        <v>3</v>
      </c>
      <c r="E593" s="2">
        <v>0</v>
      </c>
      <c r="F593" s="2">
        <v>0</v>
      </c>
      <c r="G593" s="2">
        <v>3</v>
      </c>
      <c r="H593" s="2">
        <v>0</v>
      </c>
      <c r="I593" s="2">
        <v>0</v>
      </c>
      <c r="K593" s="2" t="str">
        <f t="shared" si="393"/>
        <v>00</v>
      </c>
      <c r="L593" s="2" t="str">
        <f t="shared" si="393"/>
        <v>00</v>
      </c>
      <c r="M593" s="2" t="str">
        <f t="shared" si="393"/>
        <v>11</v>
      </c>
      <c r="N593" s="2" t="str">
        <f t="shared" si="393"/>
        <v>00</v>
      </c>
      <c r="O593" s="2" t="str">
        <f t="shared" si="393"/>
        <v>00</v>
      </c>
      <c r="P593" s="2" t="str">
        <f t="shared" si="393"/>
        <v>11</v>
      </c>
      <c r="Q593" s="2" t="str">
        <f t="shared" si="393"/>
        <v>00</v>
      </c>
      <c r="R593" s="2" t="str">
        <f t="shared" si="393"/>
        <v>00</v>
      </c>
      <c r="T593" t="str">
        <f t="shared" si="387"/>
        <v>0000110000110000</v>
      </c>
      <c r="V593" s="9" t="str">
        <f t="shared" si="394"/>
        <v>00001100</v>
      </c>
      <c r="W593" s="9" t="str">
        <f t="shared" si="395"/>
        <v>00110000</v>
      </c>
      <c r="X593" s="9" t="str">
        <f t="shared" si="396"/>
        <v>0C</v>
      </c>
      <c r="Y593" s="9" t="str">
        <f t="shared" si="397"/>
        <v>30</v>
      </c>
    </row>
    <row r="594" spans="1:36" x14ac:dyDescent="0.3">
      <c r="B594" s="2">
        <v>0</v>
      </c>
      <c r="C594" s="2">
        <v>0</v>
      </c>
      <c r="D594" s="2">
        <v>3</v>
      </c>
      <c r="E594" s="2">
        <v>0</v>
      </c>
      <c r="F594" s="2">
        <v>0</v>
      </c>
      <c r="G594" s="2">
        <v>3</v>
      </c>
      <c r="H594" s="2">
        <v>0</v>
      </c>
      <c r="I594" s="2">
        <v>0</v>
      </c>
      <c r="K594" s="2" t="str">
        <f t="shared" si="393"/>
        <v>00</v>
      </c>
      <c r="L594" s="2" t="str">
        <f t="shared" si="393"/>
        <v>00</v>
      </c>
      <c r="M594" s="2" t="str">
        <f t="shared" si="393"/>
        <v>11</v>
      </c>
      <c r="N594" s="2" t="str">
        <f t="shared" si="393"/>
        <v>00</v>
      </c>
      <c r="O594" s="2" t="str">
        <f t="shared" si="393"/>
        <v>00</v>
      </c>
      <c r="P594" s="2" t="str">
        <f t="shared" si="393"/>
        <v>11</v>
      </c>
      <c r="Q594" s="2" t="str">
        <f t="shared" si="393"/>
        <v>00</v>
      </c>
      <c r="R594" s="2" t="str">
        <f t="shared" si="393"/>
        <v>00</v>
      </c>
      <c r="T594" t="str">
        <f t="shared" si="387"/>
        <v>0000110000110000</v>
      </c>
      <c r="V594" s="9" t="str">
        <f t="shared" si="394"/>
        <v>00001100</v>
      </c>
      <c r="W594" s="9" t="str">
        <f t="shared" si="395"/>
        <v>00110000</v>
      </c>
      <c r="X594" s="9" t="str">
        <f t="shared" si="396"/>
        <v>0C</v>
      </c>
      <c r="Y594" s="9" t="str">
        <f t="shared" si="397"/>
        <v>30</v>
      </c>
    </row>
    <row r="595" spans="1:36" x14ac:dyDescent="0.3">
      <c r="B595" s="2">
        <v>0</v>
      </c>
      <c r="C595" s="2">
        <v>1</v>
      </c>
      <c r="D595" s="2">
        <v>1</v>
      </c>
      <c r="E595" s="2">
        <v>0</v>
      </c>
      <c r="F595" s="2">
        <v>0</v>
      </c>
      <c r="G595" s="2">
        <v>1</v>
      </c>
      <c r="H595" s="2">
        <v>1</v>
      </c>
      <c r="I595" s="2">
        <v>0</v>
      </c>
      <c r="K595" s="2" t="str">
        <f t="shared" si="393"/>
        <v>00</v>
      </c>
      <c r="L595" s="2" t="str">
        <f t="shared" si="393"/>
        <v>01</v>
      </c>
      <c r="M595" s="2" t="str">
        <f t="shared" si="393"/>
        <v>01</v>
      </c>
      <c r="N595" s="2" t="str">
        <f t="shared" si="393"/>
        <v>00</v>
      </c>
      <c r="O595" s="2" t="str">
        <f t="shared" si="393"/>
        <v>00</v>
      </c>
      <c r="P595" s="2" t="str">
        <f t="shared" si="393"/>
        <v>01</v>
      </c>
      <c r="Q595" s="2" t="str">
        <f t="shared" si="393"/>
        <v>01</v>
      </c>
      <c r="R595" s="2" t="str">
        <f t="shared" si="393"/>
        <v>00</v>
      </c>
      <c r="T595" t="str">
        <f t="shared" si="387"/>
        <v>0001010000010100</v>
      </c>
      <c r="V595" s="10" t="str">
        <f t="shared" si="394"/>
        <v>00010100</v>
      </c>
      <c r="W595" s="10" t="str">
        <f t="shared" si="395"/>
        <v>00010100</v>
      </c>
      <c r="X595" s="10" t="str">
        <f t="shared" si="396"/>
        <v>14</v>
      </c>
      <c r="Y595" s="10" t="str">
        <f t="shared" si="397"/>
        <v>14</v>
      </c>
    </row>
    <row r="596" spans="1:36" x14ac:dyDescent="0.3">
      <c r="A596" t="s">
        <v>217</v>
      </c>
      <c r="AJ596" t="str">
        <f>";"&amp;PROPER(A596)</f>
        <v>;Rockford 3 (Eyes Closed)</v>
      </c>
    </row>
    <row r="597" spans="1:36" x14ac:dyDescent="0.3"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K597" s="2" t="str">
        <f t="shared" ref="K597:R612" si="399">DEC2BIN(B597,2)</f>
        <v>00</v>
      </c>
      <c r="L597" s="2" t="str">
        <f t="shared" si="399"/>
        <v>00</v>
      </c>
      <c r="M597" s="2" t="str">
        <f t="shared" si="399"/>
        <v>00</v>
      </c>
      <c r="N597" s="2" t="str">
        <f t="shared" si="399"/>
        <v>00</v>
      </c>
      <c r="O597" s="2" t="str">
        <f t="shared" si="399"/>
        <v>00</v>
      </c>
      <c r="P597" s="2" t="str">
        <f t="shared" si="399"/>
        <v>00</v>
      </c>
      <c r="Q597" s="2" t="str">
        <f t="shared" si="399"/>
        <v>00</v>
      </c>
      <c r="R597" s="2" t="str">
        <f t="shared" si="399"/>
        <v>00</v>
      </c>
      <c r="T597" t="str">
        <f t="shared" si="387"/>
        <v>0000000000000000</v>
      </c>
      <c r="V597" s="8" t="str">
        <f>LEFT(T597,8)</f>
        <v>00000000</v>
      </c>
      <c r="W597" s="8" t="str">
        <f>RIGHT(T597,8)</f>
        <v>00000000</v>
      </c>
      <c r="X597" s="8" t="str">
        <f>BIN2HEX(V597,2)</f>
        <v>00</v>
      </c>
      <c r="Y597" s="8" t="str">
        <f>BIN2HEX(W597,2)</f>
        <v>00</v>
      </c>
      <c r="AA597" t="str" cm="1">
        <f t="array" ref="AA597:AH597">TRANSPOSE(X597:X604)</f>
        <v>00</v>
      </c>
      <c r="AB597" t="str">
        <v>0C</v>
      </c>
      <c r="AC597" t="str">
        <v>0F</v>
      </c>
      <c r="AD597" t="str">
        <v>3F</v>
      </c>
      <c r="AE597" t="str">
        <v>3F</v>
      </c>
      <c r="AF597" t="str">
        <v>0F</v>
      </c>
      <c r="AG597" t="str">
        <v>03</v>
      </c>
      <c r="AH597" t="str">
        <v>07</v>
      </c>
      <c r="AJ597" t="str">
        <f>LOWER("!byte $"&amp;AA597&amp;", $"&amp;AB597&amp;", $"&amp;AC597&amp;", $"&amp;AD597&amp;", $"&amp;AE597&amp;", $"&amp;AF597&amp;", $"&amp;AG597&amp;", $"&amp;AH597)</f>
        <v>!byte $00, $0c, $0f, $3f, $3f, $0f, $03, $07</v>
      </c>
    </row>
    <row r="598" spans="1:36" x14ac:dyDescent="0.3">
      <c r="B598" s="2">
        <v>0</v>
      </c>
      <c r="C598" s="2">
        <v>0</v>
      </c>
      <c r="D598" s="2">
        <v>3</v>
      </c>
      <c r="E598" s="2">
        <v>0</v>
      </c>
      <c r="F598" s="2">
        <v>0</v>
      </c>
      <c r="G598" s="2">
        <v>3</v>
      </c>
      <c r="H598" s="2">
        <v>0</v>
      </c>
      <c r="I598" s="2">
        <v>0</v>
      </c>
      <c r="K598" s="2" t="str">
        <f t="shared" si="399"/>
        <v>00</v>
      </c>
      <c r="L598" s="2" t="str">
        <f t="shared" si="399"/>
        <v>00</v>
      </c>
      <c r="M598" s="2" t="str">
        <f t="shared" si="399"/>
        <v>11</v>
      </c>
      <c r="N598" s="2" t="str">
        <f t="shared" si="399"/>
        <v>00</v>
      </c>
      <c r="O598" s="2" t="str">
        <f t="shared" si="399"/>
        <v>00</v>
      </c>
      <c r="P598" s="2" t="str">
        <f t="shared" si="399"/>
        <v>11</v>
      </c>
      <c r="Q598" s="2" t="str">
        <f t="shared" si="399"/>
        <v>00</v>
      </c>
      <c r="R598" s="2" t="str">
        <f t="shared" si="399"/>
        <v>00</v>
      </c>
      <c r="T598" t="str">
        <f t="shared" si="387"/>
        <v>0000110000110000</v>
      </c>
      <c r="V598" s="9" t="str">
        <f t="shared" ref="V598:V612" si="400">LEFT(T598,8)</f>
        <v>00001100</v>
      </c>
      <c r="W598" s="9" t="str">
        <f t="shared" ref="W598:W612" si="401">RIGHT(T598,8)</f>
        <v>00110000</v>
      </c>
      <c r="X598" s="9" t="str">
        <f t="shared" ref="X598:X612" si="402">BIN2HEX(V598,2)</f>
        <v>0C</v>
      </c>
      <c r="Y598" s="9" t="str">
        <f t="shared" ref="Y598:Y612" si="403">BIN2HEX(W598,2)</f>
        <v>30</v>
      </c>
      <c r="AA598" t="str" cm="1">
        <f t="array" ref="AA598:AH598">TRANSPOSE(X605:X612)</f>
        <v>11</v>
      </c>
      <c r="AB598" t="str">
        <v>13</v>
      </c>
      <c r="AC598" t="str">
        <v>01</v>
      </c>
      <c r="AD598" t="str">
        <v>03</v>
      </c>
      <c r="AE598" t="str">
        <v>0D</v>
      </c>
      <c r="AF598" t="str">
        <v>0C</v>
      </c>
      <c r="AG598" t="str">
        <v>0C</v>
      </c>
      <c r="AH598" t="str">
        <v>14</v>
      </c>
      <c r="AJ598" t="str">
        <f t="shared" ref="AJ598:AJ600" si="404">LOWER("!byte $"&amp;AA598&amp;", $"&amp;AB598&amp;", $"&amp;AC598&amp;", $"&amp;AD598&amp;", $"&amp;AE598&amp;", $"&amp;AF598&amp;", $"&amp;AG598&amp;", $"&amp;AH598)</f>
        <v>!byte $11, $13, $01, $03, $0d, $0c, $0c, $14</v>
      </c>
    </row>
    <row r="599" spans="1:36" x14ac:dyDescent="0.3">
      <c r="B599" s="2">
        <v>0</v>
      </c>
      <c r="C599" s="2">
        <v>0</v>
      </c>
      <c r="D599" s="2">
        <v>3</v>
      </c>
      <c r="E599" s="2">
        <v>3</v>
      </c>
      <c r="F599" s="2">
        <v>3</v>
      </c>
      <c r="G599" s="2">
        <v>3</v>
      </c>
      <c r="H599" s="2">
        <v>0</v>
      </c>
      <c r="I599" s="2">
        <v>0</v>
      </c>
      <c r="K599" s="2" t="str">
        <f t="shared" si="399"/>
        <v>00</v>
      </c>
      <c r="L599" s="2" t="str">
        <f t="shared" si="399"/>
        <v>00</v>
      </c>
      <c r="M599" s="2" t="str">
        <f t="shared" si="399"/>
        <v>11</v>
      </c>
      <c r="N599" s="2" t="str">
        <f t="shared" si="399"/>
        <v>11</v>
      </c>
      <c r="O599" s="2" t="str">
        <f t="shared" si="399"/>
        <v>11</v>
      </c>
      <c r="P599" s="2" t="str">
        <f t="shared" si="399"/>
        <v>11</v>
      </c>
      <c r="Q599" s="2" t="str">
        <f t="shared" si="399"/>
        <v>00</v>
      </c>
      <c r="R599" s="2" t="str">
        <f t="shared" si="399"/>
        <v>00</v>
      </c>
      <c r="T599" t="str">
        <f t="shared" si="387"/>
        <v>0000111111110000</v>
      </c>
      <c r="V599" s="9" t="str">
        <f t="shared" si="400"/>
        <v>00001111</v>
      </c>
      <c r="W599" s="9" t="str">
        <f t="shared" si="401"/>
        <v>11110000</v>
      </c>
      <c r="X599" s="9" t="str">
        <f t="shared" si="402"/>
        <v>0F</v>
      </c>
      <c r="Y599" s="9" t="str">
        <f t="shared" si="403"/>
        <v>F0</v>
      </c>
      <c r="AA599" t="str" cm="1">
        <f t="array" ref="AA599:AH599">TRANSPOSE(Y597:Y604)</f>
        <v>00</v>
      </c>
      <c r="AB599" t="str">
        <v>30</v>
      </c>
      <c r="AC599" t="str">
        <v>F0</v>
      </c>
      <c r="AD599" t="str">
        <v>FC</v>
      </c>
      <c r="AE599" t="str">
        <v>FC</v>
      </c>
      <c r="AF599" t="str">
        <v>F0</v>
      </c>
      <c r="AG599" t="str">
        <v>C0</v>
      </c>
      <c r="AH599" t="str">
        <v>D0</v>
      </c>
      <c r="AJ599" t="str">
        <f t="shared" si="404"/>
        <v>!byte $00, $30, $f0, $fc, $fc, $f0, $c0, $d0</v>
      </c>
    </row>
    <row r="600" spans="1:36" x14ac:dyDescent="0.3">
      <c r="B600" s="2">
        <v>0</v>
      </c>
      <c r="C600" s="2">
        <v>3</v>
      </c>
      <c r="D600" s="2">
        <v>3</v>
      </c>
      <c r="E600" s="2">
        <v>3</v>
      </c>
      <c r="F600" s="2">
        <v>3</v>
      </c>
      <c r="G600" s="2">
        <v>3</v>
      </c>
      <c r="H600" s="2">
        <v>3</v>
      </c>
      <c r="I600" s="2">
        <v>0</v>
      </c>
      <c r="K600" s="2" t="str">
        <f t="shared" si="399"/>
        <v>00</v>
      </c>
      <c r="L600" s="2" t="str">
        <f t="shared" si="399"/>
        <v>11</v>
      </c>
      <c r="M600" s="2" t="str">
        <f t="shared" si="399"/>
        <v>11</v>
      </c>
      <c r="N600" s="2" t="str">
        <f t="shared" si="399"/>
        <v>11</v>
      </c>
      <c r="O600" s="2" t="str">
        <f t="shared" si="399"/>
        <v>11</v>
      </c>
      <c r="P600" s="2" t="str">
        <f t="shared" si="399"/>
        <v>11</v>
      </c>
      <c r="Q600" s="2" t="str">
        <f t="shared" si="399"/>
        <v>11</v>
      </c>
      <c r="R600" s="2" t="str">
        <f t="shared" si="399"/>
        <v>00</v>
      </c>
      <c r="T600" t="str">
        <f t="shared" si="387"/>
        <v>0011111111111100</v>
      </c>
      <c r="V600" s="9" t="str">
        <f t="shared" si="400"/>
        <v>00111111</v>
      </c>
      <c r="W600" s="9" t="str">
        <f t="shared" si="401"/>
        <v>11111100</v>
      </c>
      <c r="X600" s="9" t="str">
        <f t="shared" si="402"/>
        <v>3F</v>
      </c>
      <c r="Y600" s="9" t="str">
        <f t="shared" si="403"/>
        <v>FC</v>
      </c>
      <c r="AA600" t="str" cm="1">
        <f t="array" ref="AA600:AH600">TRANSPOSE(Y605:Y612)</f>
        <v>44</v>
      </c>
      <c r="AB600" t="str">
        <v>C4</v>
      </c>
      <c r="AC600" t="str">
        <v>40</v>
      </c>
      <c r="AD600" t="str">
        <v>C0</v>
      </c>
      <c r="AE600" t="str">
        <v>70</v>
      </c>
      <c r="AF600" t="str">
        <v>30</v>
      </c>
      <c r="AG600" t="str">
        <v>30</v>
      </c>
      <c r="AH600" t="str">
        <v>14</v>
      </c>
      <c r="AJ600" t="str">
        <f t="shared" si="404"/>
        <v>!byte $44, $c4, $40, $c0, $70, $30, $30, $14</v>
      </c>
    </row>
    <row r="601" spans="1:36" x14ac:dyDescent="0.3">
      <c r="B601" s="2">
        <v>0</v>
      </c>
      <c r="C601" s="2">
        <v>3</v>
      </c>
      <c r="D601" s="2">
        <v>3</v>
      </c>
      <c r="E601" s="2">
        <v>3</v>
      </c>
      <c r="F601" s="2">
        <v>3</v>
      </c>
      <c r="G601" s="2">
        <v>3</v>
      </c>
      <c r="H601" s="2">
        <v>3</v>
      </c>
      <c r="I601" s="2">
        <v>0</v>
      </c>
      <c r="K601" s="2" t="str">
        <f t="shared" si="399"/>
        <v>00</v>
      </c>
      <c r="L601" s="2" t="str">
        <f t="shared" si="399"/>
        <v>11</v>
      </c>
      <c r="M601" s="2" t="str">
        <f t="shared" si="399"/>
        <v>11</v>
      </c>
      <c r="N601" s="2" t="str">
        <f t="shared" si="399"/>
        <v>11</v>
      </c>
      <c r="O601" s="2" t="str">
        <f t="shared" si="399"/>
        <v>11</v>
      </c>
      <c r="P601" s="2" t="str">
        <f t="shared" si="399"/>
        <v>11</v>
      </c>
      <c r="Q601" s="2" t="str">
        <f t="shared" si="399"/>
        <v>11</v>
      </c>
      <c r="R601" s="2" t="str">
        <f t="shared" si="399"/>
        <v>00</v>
      </c>
      <c r="T601" t="str">
        <f t="shared" si="387"/>
        <v>0011111111111100</v>
      </c>
      <c r="V601" s="9" t="str">
        <f t="shared" si="400"/>
        <v>00111111</v>
      </c>
      <c r="W601" s="9" t="str">
        <f t="shared" si="401"/>
        <v>11111100</v>
      </c>
      <c r="X601" s="9" t="str">
        <f t="shared" si="402"/>
        <v>3F</v>
      </c>
      <c r="Y601" s="9" t="str">
        <f t="shared" si="403"/>
        <v>FC</v>
      </c>
    </row>
    <row r="602" spans="1:36" x14ac:dyDescent="0.3">
      <c r="B602" s="2">
        <v>0</v>
      </c>
      <c r="C602" s="2">
        <v>0</v>
      </c>
      <c r="D602" s="2">
        <v>3</v>
      </c>
      <c r="E602" s="2">
        <v>3</v>
      </c>
      <c r="F602" s="2">
        <v>3</v>
      </c>
      <c r="G602" s="2">
        <v>3</v>
      </c>
      <c r="H602" s="2">
        <v>0</v>
      </c>
      <c r="I602" s="2">
        <v>0</v>
      </c>
      <c r="K602" s="2" t="str">
        <f t="shared" si="399"/>
        <v>00</v>
      </c>
      <c r="L602" s="2" t="str">
        <f t="shared" si="399"/>
        <v>00</v>
      </c>
      <c r="M602" s="2" t="str">
        <f t="shared" si="399"/>
        <v>11</v>
      </c>
      <c r="N602" s="2" t="str">
        <f t="shared" si="399"/>
        <v>11</v>
      </c>
      <c r="O602" s="2" t="str">
        <f t="shared" si="399"/>
        <v>11</v>
      </c>
      <c r="P602" s="2" t="str">
        <f t="shared" si="399"/>
        <v>11</v>
      </c>
      <c r="Q602" s="2" t="str">
        <f t="shared" si="399"/>
        <v>00</v>
      </c>
      <c r="R602" s="2" t="str">
        <f t="shared" si="399"/>
        <v>00</v>
      </c>
      <c r="T602" t="str">
        <f t="shared" si="387"/>
        <v>0000111111110000</v>
      </c>
      <c r="V602" s="9" t="str">
        <f t="shared" si="400"/>
        <v>00001111</v>
      </c>
      <c r="W602" s="9" t="str">
        <f t="shared" si="401"/>
        <v>11110000</v>
      </c>
      <c r="X602" s="9" t="str">
        <f t="shared" si="402"/>
        <v>0F</v>
      </c>
      <c r="Y602" s="9" t="str">
        <f t="shared" si="403"/>
        <v>F0</v>
      </c>
    </row>
    <row r="603" spans="1:36" x14ac:dyDescent="0.3">
      <c r="B603" s="2">
        <v>0</v>
      </c>
      <c r="C603" s="2">
        <v>0</v>
      </c>
      <c r="D603" s="2">
        <v>0</v>
      </c>
      <c r="E603" s="2">
        <v>3</v>
      </c>
      <c r="F603" s="2">
        <v>3</v>
      </c>
      <c r="G603" s="2">
        <v>0</v>
      </c>
      <c r="H603" s="2">
        <v>0</v>
      </c>
      <c r="I603" s="2">
        <v>0</v>
      </c>
      <c r="K603" s="2" t="str">
        <f t="shared" si="399"/>
        <v>00</v>
      </c>
      <c r="L603" s="2" t="str">
        <f t="shared" si="399"/>
        <v>00</v>
      </c>
      <c r="M603" s="2" t="str">
        <f t="shared" si="399"/>
        <v>00</v>
      </c>
      <c r="N603" s="2" t="str">
        <f t="shared" si="399"/>
        <v>11</v>
      </c>
      <c r="O603" s="2" t="str">
        <f t="shared" si="399"/>
        <v>11</v>
      </c>
      <c r="P603" s="2" t="str">
        <f t="shared" si="399"/>
        <v>00</v>
      </c>
      <c r="Q603" s="2" t="str">
        <f t="shared" si="399"/>
        <v>00</v>
      </c>
      <c r="R603" s="2" t="str">
        <f t="shared" si="399"/>
        <v>00</v>
      </c>
      <c r="T603" t="str">
        <f t="shared" si="387"/>
        <v>0000001111000000</v>
      </c>
      <c r="V603" s="9" t="str">
        <f t="shared" si="400"/>
        <v>00000011</v>
      </c>
      <c r="W603" s="9" t="str">
        <f t="shared" si="401"/>
        <v>11000000</v>
      </c>
      <c r="X603" s="9" t="str">
        <f t="shared" si="402"/>
        <v>03</v>
      </c>
      <c r="Y603" s="9" t="str">
        <f t="shared" si="403"/>
        <v>C0</v>
      </c>
    </row>
    <row r="604" spans="1:36" x14ac:dyDescent="0.3">
      <c r="B604" s="2">
        <v>0</v>
      </c>
      <c r="C604" s="2">
        <v>0</v>
      </c>
      <c r="D604" s="2">
        <v>1</v>
      </c>
      <c r="E604" s="2">
        <v>3</v>
      </c>
      <c r="F604" s="2">
        <v>3</v>
      </c>
      <c r="G604" s="2">
        <v>1</v>
      </c>
      <c r="H604" s="2">
        <v>0</v>
      </c>
      <c r="I604" s="2">
        <v>0</v>
      </c>
      <c r="K604" s="2" t="str">
        <f t="shared" si="399"/>
        <v>00</v>
      </c>
      <c r="L604" s="2" t="str">
        <f t="shared" si="399"/>
        <v>00</v>
      </c>
      <c r="M604" s="2" t="str">
        <f t="shared" si="399"/>
        <v>01</v>
      </c>
      <c r="N604" s="2" t="str">
        <f t="shared" si="399"/>
        <v>11</v>
      </c>
      <c r="O604" s="2" t="str">
        <f t="shared" si="399"/>
        <v>11</v>
      </c>
      <c r="P604" s="2" t="str">
        <f t="shared" si="399"/>
        <v>01</v>
      </c>
      <c r="Q604" s="2" t="str">
        <f t="shared" si="399"/>
        <v>00</v>
      </c>
      <c r="R604" s="2" t="str">
        <f t="shared" si="399"/>
        <v>00</v>
      </c>
      <c r="T604" t="str">
        <f t="shared" si="387"/>
        <v>0000011111010000</v>
      </c>
      <c r="V604" s="10" t="str">
        <f t="shared" si="400"/>
        <v>00000111</v>
      </c>
      <c r="W604" s="10" t="str">
        <f t="shared" si="401"/>
        <v>11010000</v>
      </c>
      <c r="X604" s="10" t="str">
        <f t="shared" si="402"/>
        <v>07</v>
      </c>
      <c r="Y604" s="10" t="str">
        <f t="shared" si="403"/>
        <v>D0</v>
      </c>
    </row>
    <row r="605" spans="1:36" x14ac:dyDescent="0.3">
      <c r="B605" s="2">
        <v>0</v>
      </c>
      <c r="C605" s="2">
        <v>1</v>
      </c>
      <c r="D605" s="2">
        <v>0</v>
      </c>
      <c r="E605" s="2">
        <v>1</v>
      </c>
      <c r="F605" s="2">
        <v>1</v>
      </c>
      <c r="G605" s="2">
        <v>0</v>
      </c>
      <c r="H605" s="2">
        <v>1</v>
      </c>
      <c r="I605" s="2">
        <v>0</v>
      </c>
      <c r="K605" s="2" t="str">
        <f t="shared" si="399"/>
        <v>00</v>
      </c>
      <c r="L605" s="2" t="str">
        <f t="shared" si="399"/>
        <v>01</v>
      </c>
      <c r="M605" s="2" t="str">
        <f t="shared" si="399"/>
        <v>00</v>
      </c>
      <c r="N605" s="2" t="str">
        <f t="shared" si="399"/>
        <v>01</v>
      </c>
      <c r="O605" s="2" t="str">
        <f t="shared" si="399"/>
        <v>01</v>
      </c>
      <c r="P605" s="2" t="str">
        <f t="shared" si="399"/>
        <v>00</v>
      </c>
      <c r="Q605" s="2" t="str">
        <f t="shared" si="399"/>
        <v>01</v>
      </c>
      <c r="R605" s="2" t="str">
        <f t="shared" si="399"/>
        <v>00</v>
      </c>
      <c r="T605" t="str">
        <f t="shared" si="387"/>
        <v>0001000101000100</v>
      </c>
      <c r="V605" s="8" t="str">
        <f t="shared" si="400"/>
        <v>00010001</v>
      </c>
      <c r="W605" s="8" t="str">
        <f t="shared" si="401"/>
        <v>01000100</v>
      </c>
      <c r="X605" s="8" t="str">
        <f t="shared" si="402"/>
        <v>11</v>
      </c>
      <c r="Y605" s="8" t="str">
        <f t="shared" si="403"/>
        <v>44</v>
      </c>
    </row>
    <row r="606" spans="1:36" x14ac:dyDescent="0.3">
      <c r="B606" s="2">
        <v>0</v>
      </c>
      <c r="C606" s="2">
        <v>1</v>
      </c>
      <c r="D606" s="2">
        <v>0</v>
      </c>
      <c r="E606" s="2">
        <v>3</v>
      </c>
      <c r="F606" s="2">
        <v>3</v>
      </c>
      <c r="G606" s="2">
        <v>0</v>
      </c>
      <c r="H606" s="2">
        <v>1</v>
      </c>
      <c r="I606" s="2">
        <v>0</v>
      </c>
      <c r="K606" s="2" t="str">
        <f t="shared" si="399"/>
        <v>00</v>
      </c>
      <c r="L606" s="2" t="str">
        <f t="shared" si="399"/>
        <v>01</v>
      </c>
      <c r="M606" s="2" t="str">
        <f t="shared" si="399"/>
        <v>00</v>
      </c>
      <c r="N606" s="2" t="str">
        <f t="shared" si="399"/>
        <v>11</v>
      </c>
      <c r="O606" s="2" t="str">
        <f t="shared" si="399"/>
        <v>11</v>
      </c>
      <c r="P606" s="2" t="str">
        <f t="shared" si="399"/>
        <v>00</v>
      </c>
      <c r="Q606" s="2" t="str">
        <f t="shared" si="399"/>
        <v>01</v>
      </c>
      <c r="R606" s="2" t="str">
        <f t="shared" si="399"/>
        <v>00</v>
      </c>
      <c r="T606" t="str">
        <f t="shared" si="387"/>
        <v>0001001111000100</v>
      </c>
      <c r="V606" s="9" t="str">
        <f t="shared" si="400"/>
        <v>00010011</v>
      </c>
      <c r="W606" s="9" t="str">
        <f t="shared" si="401"/>
        <v>11000100</v>
      </c>
      <c r="X606" s="9" t="str">
        <f t="shared" si="402"/>
        <v>13</v>
      </c>
      <c r="Y606" s="9" t="str">
        <f t="shared" si="403"/>
        <v>C4</v>
      </c>
    </row>
    <row r="607" spans="1:36" x14ac:dyDescent="0.3">
      <c r="B607" s="2">
        <v>0</v>
      </c>
      <c r="C607" s="2">
        <v>0</v>
      </c>
      <c r="D607" s="2">
        <v>0</v>
      </c>
      <c r="E607" s="2">
        <v>1</v>
      </c>
      <c r="F607" s="2">
        <v>1</v>
      </c>
      <c r="G607" s="2">
        <v>0</v>
      </c>
      <c r="H607" s="2">
        <v>0</v>
      </c>
      <c r="I607" s="2">
        <v>0</v>
      </c>
      <c r="K607" s="2" t="str">
        <f t="shared" si="399"/>
        <v>00</v>
      </c>
      <c r="L607" s="2" t="str">
        <f t="shared" si="399"/>
        <v>00</v>
      </c>
      <c r="M607" s="2" t="str">
        <f t="shared" si="399"/>
        <v>00</v>
      </c>
      <c r="N607" s="2" t="str">
        <f t="shared" si="399"/>
        <v>01</v>
      </c>
      <c r="O607" s="2" t="str">
        <f t="shared" si="399"/>
        <v>01</v>
      </c>
      <c r="P607" s="2" t="str">
        <f t="shared" si="399"/>
        <v>00</v>
      </c>
      <c r="Q607" s="2" t="str">
        <f t="shared" si="399"/>
        <v>00</v>
      </c>
      <c r="R607" s="2" t="str">
        <f t="shared" si="399"/>
        <v>00</v>
      </c>
      <c r="T607" t="str">
        <f t="shared" si="387"/>
        <v>0000000101000000</v>
      </c>
      <c r="V607" s="9" t="str">
        <f t="shared" si="400"/>
        <v>00000001</v>
      </c>
      <c r="W607" s="9" t="str">
        <f t="shared" si="401"/>
        <v>01000000</v>
      </c>
      <c r="X607" s="9" t="str">
        <f t="shared" si="402"/>
        <v>01</v>
      </c>
      <c r="Y607" s="9" t="str">
        <f t="shared" si="403"/>
        <v>40</v>
      </c>
    </row>
    <row r="608" spans="1:36" x14ac:dyDescent="0.3">
      <c r="B608" s="2">
        <v>0</v>
      </c>
      <c r="C608" s="2">
        <v>0</v>
      </c>
      <c r="D608" s="2">
        <v>0</v>
      </c>
      <c r="E608" s="2">
        <v>3</v>
      </c>
      <c r="F608" s="2">
        <v>3</v>
      </c>
      <c r="G608" s="2">
        <v>0</v>
      </c>
      <c r="H608" s="2">
        <v>0</v>
      </c>
      <c r="I608" s="2">
        <v>0</v>
      </c>
      <c r="K608" s="2" t="str">
        <f t="shared" si="399"/>
        <v>00</v>
      </c>
      <c r="L608" s="2" t="str">
        <f t="shared" si="399"/>
        <v>00</v>
      </c>
      <c r="M608" s="2" t="str">
        <f t="shared" si="399"/>
        <v>00</v>
      </c>
      <c r="N608" s="2" t="str">
        <f t="shared" si="399"/>
        <v>11</v>
      </c>
      <c r="O608" s="2" t="str">
        <f t="shared" si="399"/>
        <v>11</v>
      </c>
      <c r="P608" s="2" t="str">
        <f t="shared" si="399"/>
        <v>00</v>
      </c>
      <c r="Q608" s="2" t="str">
        <f t="shared" si="399"/>
        <v>00</v>
      </c>
      <c r="R608" s="2" t="str">
        <f t="shared" si="399"/>
        <v>00</v>
      </c>
      <c r="T608" t="str">
        <f t="shared" si="387"/>
        <v>0000001111000000</v>
      </c>
      <c r="V608" s="9" t="str">
        <f t="shared" si="400"/>
        <v>00000011</v>
      </c>
      <c r="W608" s="9" t="str">
        <f t="shared" si="401"/>
        <v>11000000</v>
      </c>
      <c r="X608" s="9" t="str">
        <f t="shared" si="402"/>
        <v>03</v>
      </c>
      <c r="Y608" s="9" t="str">
        <f t="shared" si="403"/>
        <v>C0</v>
      </c>
    </row>
    <row r="609" spans="1:36" x14ac:dyDescent="0.3">
      <c r="B609" s="2">
        <v>0</v>
      </c>
      <c r="C609" s="2">
        <v>0</v>
      </c>
      <c r="D609" s="2">
        <v>3</v>
      </c>
      <c r="E609" s="2">
        <v>1</v>
      </c>
      <c r="F609" s="2">
        <v>1</v>
      </c>
      <c r="G609" s="2">
        <v>3</v>
      </c>
      <c r="H609" s="2">
        <v>0</v>
      </c>
      <c r="I609" s="2">
        <v>0</v>
      </c>
      <c r="K609" s="2" t="str">
        <f t="shared" si="399"/>
        <v>00</v>
      </c>
      <c r="L609" s="2" t="str">
        <f t="shared" si="399"/>
        <v>00</v>
      </c>
      <c r="M609" s="2" t="str">
        <f t="shared" si="399"/>
        <v>11</v>
      </c>
      <c r="N609" s="2" t="str">
        <f t="shared" si="399"/>
        <v>01</v>
      </c>
      <c r="O609" s="2" t="str">
        <f t="shared" si="399"/>
        <v>01</v>
      </c>
      <c r="P609" s="2" t="str">
        <f t="shared" si="399"/>
        <v>11</v>
      </c>
      <c r="Q609" s="2" t="str">
        <f t="shared" si="399"/>
        <v>00</v>
      </c>
      <c r="R609" s="2" t="str">
        <f t="shared" si="399"/>
        <v>00</v>
      </c>
      <c r="T609" t="str">
        <f t="shared" si="387"/>
        <v>0000110101110000</v>
      </c>
      <c r="V609" s="9" t="str">
        <f t="shared" si="400"/>
        <v>00001101</v>
      </c>
      <c r="W609" s="9" t="str">
        <f t="shared" si="401"/>
        <v>01110000</v>
      </c>
      <c r="X609" s="9" t="str">
        <f t="shared" si="402"/>
        <v>0D</v>
      </c>
      <c r="Y609" s="9" t="str">
        <f t="shared" si="403"/>
        <v>70</v>
      </c>
    </row>
    <row r="610" spans="1:36" x14ac:dyDescent="0.3">
      <c r="B610" s="2">
        <v>0</v>
      </c>
      <c r="C610" s="2">
        <v>0</v>
      </c>
      <c r="D610" s="2">
        <v>3</v>
      </c>
      <c r="E610" s="2">
        <v>0</v>
      </c>
      <c r="F610" s="2">
        <v>0</v>
      </c>
      <c r="G610" s="2">
        <v>3</v>
      </c>
      <c r="H610" s="2">
        <v>0</v>
      </c>
      <c r="I610" s="2">
        <v>0</v>
      </c>
      <c r="K610" s="2" t="str">
        <f t="shared" si="399"/>
        <v>00</v>
      </c>
      <c r="L610" s="2" t="str">
        <f t="shared" si="399"/>
        <v>00</v>
      </c>
      <c r="M610" s="2" t="str">
        <f t="shared" si="399"/>
        <v>11</v>
      </c>
      <c r="N610" s="2" t="str">
        <f t="shared" si="399"/>
        <v>00</v>
      </c>
      <c r="O610" s="2" t="str">
        <f t="shared" si="399"/>
        <v>00</v>
      </c>
      <c r="P610" s="2" t="str">
        <f t="shared" si="399"/>
        <v>11</v>
      </c>
      <c r="Q610" s="2" t="str">
        <f t="shared" si="399"/>
        <v>00</v>
      </c>
      <c r="R610" s="2" t="str">
        <f t="shared" si="399"/>
        <v>00</v>
      </c>
      <c r="T610" t="str">
        <f t="shared" si="387"/>
        <v>0000110000110000</v>
      </c>
      <c r="V610" s="9" t="str">
        <f t="shared" si="400"/>
        <v>00001100</v>
      </c>
      <c r="W610" s="9" t="str">
        <f t="shared" si="401"/>
        <v>00110000</v>
      </c>
      <c r="X610" s="9" t="str">
        <f t="shared" si="402"/>
        <v>0C</v>
      </c>
      <c r="Y610" s="9" t="str">
        <f t="shared" si="403"/>
        <v>30</v>
      </c>
    </row>
    <row r="611" spans="1:36" x14ac:dyDescent="0.3">
      <c r="B611" s="2">
        <v>0</v>
      </c>
      <c r="C611" s="2">
        <v>0</v>
      </c>
      <c r="D611" s="2">
        <v>3</v>
      </c>
      <c r="E611" s="2">
        <v>0</v>
      </c>
      <c r="F611" s="2">
        <v>0</v>
      </c>
      <c r="G611" s="2">
        <v>3</v>
      </c>
      <c r="H611" s="2">
        <v>0</v>
      </c>
      <c r="I611" s="2">
        <v>0</v>
      </c>
      <c r="K611" s="2" t="str">
        <f t="shared" si="399"/>
        <v>00</v>
      </c>
      <c r="L611" s="2" t="str">
        <f t="shared" si="399"/>
        <v>00</v>
      </c>
      <c r="M611" s="2" t="str">
        <f t="shared" si="399"/>
        <v>11</v>
      </c>
      <c r="N611" s="2" t="str">
        <f t="shared" si="399"/>
        <v>00</v>
      </c>
      <c r="O611" s="2" t="str">
        <f t="shared" si="399"/>
        <v>00</v>
      </c>
      <c r="P611" s="2" t="str">
        <f t="shared" si="399"/>
        <v>11</v>
      </c>
      <c r="Q611" s="2" t="str">
        <f t="shared" si="399"/>
        <v>00</v>
      </c>
      <c r="R611" s="2" t="str">
        <f t="shared" si="399"/>
        <v>00</v>
      </c>
      <c r="T611" t="str">
        <f t="shared" si="387"/>
        <v>0000110000110000</v>
      </c>
      <c r="V611" s="9" t="str">
        <f t="shared" si="400"/>
        <v>00001100</v>
      </c>
      <c r="W611" s="9" t="str">
        <f t="shared" si="401"/>
        <v>00110000</v>
      </c>
      <c r="X611" s="9" t="str">
        <f t="shared" si="402"/>
        <v>0C</v>
      </c>
      <c r="Y611" s="9" t="str">
        <f t="shared" si="403"/>
        <v>30</v>
      </c>
    </row>
    <row r="612" spans="1:36" x14ac:dyDescent="0.3">
      <c r="B612" s="2">
        <v>0</v>
      </c>
      <c r="C612" s="2">
        <v>1</v>
      </c>
      <c r="D612" s="2">
        <v>1</v>
      </c>
      <c r="E612" s="2">
        <v>0</v>
      </c>
      <c r="F612" s="2">
        <v>0</v>
      </c>
      <c r="G612" s="2">
        <v>1</v>
      </c>
      <c r="H612" s="2">
        <v>1</v>
      </c>
      <c r="I612" s="2">
        <v>0</v>
      </c>
      <c r="K612" s="2" t="str">
        <f t="shared" si="399"/>
        <v>00</v>
      </c>
      <c r="L612" s="2" t="str">
        <f t="shared" si="399"/>
        <v>01</v>
      </c>
      <c r="M612" s="2" t="str">
        <f t="shared" si="399"/>
        <v>01</v>
      </c>
      <c r="N612" s="2" t="str">
        <f t="shared" si="399"/>
        <v>00</v>
      </c>
      <c r="O612" s="2" t="str">
        <f t="shared" si="399"/>
        <v>00</v>
      </c>
      <c r="P612" s="2" t="str">
        <f t="shared" si="399"/>
        <v>01</v>
      </c>
      <c r="Q612" s="2" t="str">
        <f t="shared" si="399"/>
        <v>01</v>
      </c>
      <c r="R612" s="2" t="str">
        <f t="shared" si="399"/>
        <v>00</v>
      </c>
      <c r="T612" t="str">
        <f t="shared" si="387"/>
        <v>0001010000010100</v>
      </c>
      <c r="V612" s="10" t="str">
        <f t="shared" si="400"/>
        <v>00010100</v>
      </c>
      <c r="W612" s="10" t="str">
        <f t="shared" si="401"/>
        <v>00010100</v>
      </c>
      <c r="X612" s="10" t="str">
        <f t="shared" si="402"/>
        <v>14</v>
      </c>
      <c r="Y612" s="10" t="str">
        <f t="shared" si="403"/>
        <v>14</v>
      </c>
    </row>
    <row r="613" spans="1:36" x14ac:dyDescent="0.3">
      <c r="A613" t="s">
        <v>32</v>
      </c>
      <c r="AJ613" t="str">
        <f>";"&amp;PROPER(A613)</f>
        <v>;Rockford 4 (Wink 1)</v>
      </c>
    </row>
    <row r="614" spans="1:36" x14ac:dyDescent="0.3"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K614" s="2" t="str">
        <f t="shared" ref="K614:R629" si="405">DEC2BIN(B614,2)</f>
        <v>00</v>
      </c>
      <c r="L614" s="2" t="str">
        <f t="shared" si="405"/>
        <v>00</v>
      </c>
      <c r="M614" s="2" t="str">
        <f t="shared" si="405"/>
        <v>00</v>
      </c>
      <c r="N614" s="2" t="str">
        <f t="shared" si="405"/>
        <v>00</v>
      </c>
      <c r="O614" s="2" t="str">
        <f t="shared" si="405"/>
        <v>00</v>
      </c>
      <c r="P614" s="2" t="str">
        <f t="shared" si="405"/>
        <v>00</v>
      </c>
      <c r="Q614" s="2" t="str">
        <f t="shared" si="405"/>
        <v>00</v>
      </c>
      <c r="R614" s="2" t="str">
        <f t="shared" si="405"/>
        <v>00</v>
      </c>
      <c r="T614" t="str">
        <f t="shared" si="387"/>
        <v>0000000000000000</v>
      </c>
      <c r="V614" s="8" t="str">
        <f>LEFT(T614,8)</f>
        <v>00000000</v>
      </c>
      <c r="W614" s="8" t="str">
        <f>RIGHT(T614,8)</f>
        <v>00000000</v>
      </c>
      <c r="X614" s="8" t="str">
        <f>BIN2HEX(V614,2)</f>
        <v>00</v>
      </c>
      <c r="Y614" s="8" t="str">
        <f>BIN2HEX(W614,2)</f>
        <v>00</v>
      </c>
      <c r="AA614" t="str" cm="1">
        <f t="array" ref="AA614:AH614">TRANSPOSE(X614:X621)</f>
        <v>00</v>
      </c>
      <c r="AB614" t="str">
        <v>0C</v>
      </c>
      <c r="AC614" t="str">
        <v>0F</v>
      </c>
      <c r="AD614" t="str">
        <v>33</v>
      </c>
      <c r="AE614" t="str">
        <v>33</v>
      </c>
      <c r="AF614" t="str">
        <v>0F</v>
      </c>
      <c r="AG614" t="str">
        <v>03</v>
      </c>
      <c r="AH614" t="str">
        <v>07</v>
      </c>
      <c r="AJ614" t="str">
        <f>LOWER("!byte $"&amp;AA614&amp;", $"&amp;AB614&amp;", $"&amp;AC614&amp;", $"&amp;AD614&amp;", $"&amp;AE614&amp;", $"&amp;AF614&amp;", $"&amp;AG614&amp;", $"&amp;AH614)</f>
        <v>!byte $00, $0c, $0f, $33, $33, $0f, $03, $07</v>
      </c>
    </row>
    <row r="615" spans="1:36" x14ac:dyDescent="0.3">
      <c r="B615" s="2">
        <v>0</v>
      </c>
      <c r="C615" s="2">
        <v>0</v>
      </c>
      <c r="D615" s="2">
        <v>3</v>
      </c>
      <c r="E615" s="2">
        <v>0</v>
      </c>
      <c r="F615" s="2">
        <v>0</v>
      </c>
      <c r="G615" s="2">
        <v>3</v>
      </c>
      <c r="H615" s="2">
        <v>0</v>
      </c>
      <c r="I615" s="2">
        <v>0</v>
      </c>
      <c r="K615" s="2" t="str">
        <f t="shared" si="405"/>
        <v>00</v>
      </c>
      <c r="L615" s="2" t="str">
        <f t="shared" si="405"/>
        <v>00</v>
      </c>
      <c r="M615" s="2" t="str">
        <f t="shared" si="405"/>
        <v>11</v>
      </c>
      <c r="N615" s="2" t="str">
        <f t="shared" si="405"/>
        <v>00</v>
      </c>
      <c r="O615" s="2" t="str">
        <f t="shared" si="405"/>
        <v>00</v>
      </c>
      <c r="P615" s="2" t="str">
        <f t="shared" si="405"/>
        <v>11</v>
      </c>
      <c r="Q615" s="2" t="str">
        <f t="shared" si="405"/>
        <v>00</v>
      </c>
      <c r="R615" s="2" t="str">
        <f t="shared" si="405"/>
        <v>00</v>
      </c>
      <c r="T615" t="str">
        <f t="shared" si="387"/>
        <v>0000110000110000</v>
      </c>
      <c r="V615" s="9" t="str">
        <f t="shared" ref="V615:V629" si="406">LEFT(T615,8)</f>
        <v>00001100</v>
      </c>
      <c r="W615" s="9" t="str">
        <f t="shared" ref="W615:W629" si="407">RIGHT(T615,8)</f>
        <v>00110000</v>
      </c>
      <c r="X615" s="9" t="str">
        <f t="shared" ref="X615:X629" si="408">BIN2HEX(V615,2)</f>
        <v>0C</v>
      </c>
      <c r="Y615" s="9" t="str">
        <f t="shared" ref="Y615:Y629" si="409">BIN2HEX(W615,2)</f>
        <v>30</v>
      </c>
      <c r="AA615" t="str" cm="1">
        <f t="array" ref="AA615:AH615">TRANSPOSE(X622:X629)</f>
        <v>11</v>
      </c>
      <c r="AB615" t="str">
        <v>13</v>
      </c>
      <c r="AC615" t="str">
        <v>01</v>
      </c>
      <c r="AD615" t="str">
        <v>03</v>
      </c>
      <c r="AE615" t="str">
        <v>0D</v>
      </c>
      <c r="AF615" t="str">
        <v>0C</v>
      </c>
      <c r="AG615" t="str">
        <v>0C</v>
      </c>
      <c r="AH615" t="str">
        <v>14</v>
      </c>
      <c r="AJ615" t="str">
        <f t="shared" ref="AJ615:AJ617" si="410">LOWER("!byte $"&amp;AA615&amp;", $"&amp;AB615&amp;", $"&amp;AC615&amp;", $"&amp;AD615&amp;", $"&amp;AE615&amp;", $"&amp;AF615&amp;", $"&amp;AG615&amp;", $"&amp;AH615)</f>
        <v>!byte $11, $13, $01, $03, $0d, $0c, $0c, $14</v>
      </c>
    </row>
    <row r="616" spans="1:36" x14ac:dyDescent="0.3">
      <c r="B616" s="2">
        <v>0</v>
      </c>
      <c r="C616" s="2">
        <v>0</v>
      </c>
      <c r="D616" s="2">
        <v>3</v>
      </c>
      <c r="E616" s="2">
        <v>3</v>
      </c>
      <c r="F616" s="2">
        <v>3</v>
      </c>
      <c r="G616" s="2">
        <v>3</v>
      </c>
      <c r="H616" s="2">
        <v>0</v>
      </c>
      <c r="I616" s="2">
        <v>0</v>
      </c>
      <c r="K616" s="2" t="str">
        <f t="shared" si="405"/>
        <v>00</v>
      </c>
      <c r="L616" s="2" t="str">
        <f t="shared" si="405"/>
        <v>00</v>
      </c>
      <c r="M616" s="2" t="str">
        <f t="shared" si="405"/>
        <v>11</v>
      </c>
      <c r="N616" s="2" t="str">
        <f t="shared" si="405"/>
        <v>11</v>
      </c>
      <c r="O616" s="2" t="str">
        <f t="shared" si="405"/>
        <v>11</v>
      </c>
      <c r="P616" s="2" t="str">
        <f t="shared" si="405"/>
        <v>11</v>
      </c>
      <c r="Q616" s="2" t="str">
        <f t="shared" si="405"/>
        <v>00</v>
      </c>
      <c r="R616" s="2" t="str">
        <f t="shared" si="405"/>
        <v>00</v>
      </c>
      <c r="T616" t="str">
        <f t="shared" si="387"/>
        <v>0000111111110000</v>
      </c>
      <c r="V616" s="9" t="str">
        <f t="shared" si="406"/>
        <v>00001111</v>
      </c>
      <c r="W616" s="9" t="str">
        <f t="shared" si="407"/>
        <v>11110000</v>
      </c>
      <c r="X616" s="9" t="str">
        <f t="shared" si="408"/>
        <v>0F</v>
      </c>
      <c r="Y616" s="9" t="str">
        <f t="shared" si="409"/>
        <v>F0</v>
      </c>
      <c r="AA616" t="str" cm="1">
        <f t="array" ref="AA616:AH616">TRANSPOSE(Y614:Y621)</f>
        <v>00</v>
      </c>
      <c r="AB616" t="str">
        <v>30</v>
      </c>
      <c r="AC616" t="str">
        <v>F0</v>
      </c>
      <c r="AD616" t="str">
        <v>FC</v>
      </c>
      <c r="AE616" t="str">
        <v>CC</v>
      </c>
      <c r="AF616" t="str">
        <v>F0</v>
      </c>
      <c r="AG616" t="str">
        <v>C0</v>
      </c>
      <c r="AH616" t="str">
        <v>D0</v>
      </c>
      <c r="AJ616" t="str">
        <f t="shared" si="410"/>
        <v>!byte $00, $30, $f0, $fc, $cc, $f0, $c0, $d0</v>
      </c>
    </row>
    <row r="617" spans="1:36" x14ac:dyDescent="0.3">
      <c r="B617" s="2">
        <v>0</v>
      </c>
      <c r="C617" s="2">
        <v>3</v>
      </c>
      <c r="D617" s="2">
        <v>0</v>
      </c>
      <c r="E617" s="2">
        <v>3</v>
      </c>
      <c r="F617" s="2">
        <v>3</v>
      </c>
      <c r="G617" s="2">
        <v>3</v>
      </c>
      <c r="H617" s="2">
        <v>3</v>
      </c>
      <c r="I617" s="2">
        <v>0</v>
      </c>
      <c r="K617" s="2" t="str">
        <f t="shared" si="405"/>
        <v>00</v>
      </c>
      <c r="L617" s="2" t="str">
        <f t="shared" si="405"/>
        <v>11</v>
      </c>
      <c r="M617" s="2" t="str">
        <f t="shared" si="405"/>
        <v>00</v>
      </c>
      <c r="N617" s="2" t="str">
        <f t="shared" si="405"/>
        <v>11</v>
      </c>
      <c r="O617" s="2" t="str">
        <f t="shared" si="405"/>
        <v>11</v>
      </c>
      <c r="P617" s="2" t="str">
        <f t="shared" si="405"/>
        <v>11</v>
      </c>
      <c r="Q617" s="2" t="str">
        <f t="shared" si="405"/>
        <v>11</v>
      </c>
      <c r="R617" s="2" t="str">
        <f t="shared" si="405"/>
        <v>00</v>
      </c>
      <c r="T617" t="str">
        <f t="shared" si="387"/>
        <v>0011001111111100</v>
      </c>
      <c r="V617" s="9" t="str">
        <f t="shared" si="406"/>
        <v>00110011</v>
      </c>
      <c r="W617" s="9" t="str">
        <f t="shared" si="407"/>
        <v>11111100</v>
      </c>
      <c r="X617" s="9" t="str">
        <f t="shared" si="408"/>
        <v>33</v>
      </c>
      <c r="Y617" s="9" t="str">
        <f t="shared" si="409"/>
        <v>FC</v>
      </c>
      <c r="AA617" t="str" cm="1">
        <f t="array" ref="AA617:AH617">TRANSPOSE(Y622:Y629)</f>
        <v>44</v>
      </c>
      <c r="AB617" t="str">
        <v>C4</v>
      </c>
      <c r="AC617" t="str">
        <v>40</v>
      </c>
      <c r="AD617" t="str">
        <v>C0</v>
      </c>
      <c r="AE617" t="str">
        <v>70</v>
      </c>
      <c r="AF617" t="str">
        <v>30</v>
      </c>
      <c r="AG617" t="str">
        <v>30</v>
      </c>
      <c r="AH617" t="str">
        <v>14</v>
      </c>
      <c r="AJ617" t="str">
        <f t="shared" si="410"/>
        <v>!byte $44, $c4, $40, $c0, $70, $30, $30, $14</v>
      </c>
    </row>
    <row r="618" spans="1:36" x14ac:dyDescent="0.3">
      <c r="B618" s="2">
        <v>0</v>
      </c>
      <c r="C618" s="2">
        <v>3</v>
      </c>
      <c r="D618" s="2">
        <v>0</v>
      </c>
      <c r="E618" s="2">
        <v>3</v>
      </c>
      <c r="F618" s="2">
        <v>3</v>
      </c>
      <c r="G618" s="2">
        <v>0</v>
      </c>
      <c r="H618" s="2">
        <v>3</v>
      </c>
      <c r="I618" s="2">
        <v>0</v>
      </c>
      <c r="K618" s="2" t="str">
        <f t="shared" si="405"/>
        <v>00</v>
      </c>
      <c r="L618" s="2" t="str">
        <f t="shared" si="405"/>
        <v>11</v>
      </c>
      <c r="M618" s="2" t="str">
        <f t="shared" si="405"/>
        <v>00</v>
      </c>
      <c r="N618" s="2" t="str">
        <f t="shared" si="405"/>
        <v>11</v>
      </c>
      <c r="O618" s="2" t="str">
        <f t="shared" si="405"/>
        <v>11</v>
      </c>
      <c r="P618" s="2" t="str">
        <f t="shared" si="405"/>
        <v>00</v>
      </c>
      <c r="Q618" s="2" t="str">
        <f t="shared" si="405"/>
        <v>11</v>
      </c>
      <c r="R618" s="2" t="str">
        <f t="shared" si="405"/>
        <v>00</v>
      </c>
      <c r="T618" t="str">
        <f t="shared" si="387"/>
        <v>0011001111001100</v>
      </c>
      <c r="V618" s="9" t="str">
        <f t="shared" si="406"/>
        <v>00110011</v>
      </c>
      <c r="W618" s="9" t="str">
        <f t="shared" si="407"/>
        <v>11001100</v>
      </c>
      <c r="X618" s="9" t="str">
        <f t="shared" si="408"/>
        <v>33</v>
      </c>
      <c r="Y618" s="9" t="str">
        <f t="shared" si="409"/>
        <v>CC</v>
      </c>
    </row>
    <row r="619" spans="1:36" x14ac:dyDescent="0.3">
      <c r="B619" s="2">
        <v>0</v>
      </c>
      <c r="C619" s="2">
        <v>0</v>
      </c>
      <c r="D619" s="2">
        <v>3</v>
      </c>
      <c r="E619" s="2">
        <v>3</v>
      </c>
      <c r="F619" s="2">
        <v>3</v>
      </c>
      <c r="G619" s="2">
        <v>3</v>
      </c>
      <c r="H619" s="2">
        <v>0</v>
      </c>
      <c r="I619" s="2">
        <v>0</v>
      </c>
      <c r="K619" s="2" t="str">
        <f t="shared" si="405"/>
        <v>00</v>
      </c>
      <c r="L619" s="2" t="str">
        <f t="shared" si="405"/>
        <v>00</v>
      </c>
      <c r="M619" s="2" t="str">
        <f t="shared" si="405"/>
        <v>11</v>
      </c>
      <c r="N619" s="2" t="str">
        <f t="shared" si="405"/>
        <v>11</v>
      </c>
      <c r="O619" s="2" t="str">
        <f t="shared" si="405"/>
        <v>11</v>
      </c>
      <c r="P619" s="2" t="str">
        <f t="shared" si="405"/>
        <v>11</v>
      </c>
      <c r="Q619" s="2" t="str">
        <f t="shared" si="405"/>
        <v>00</v>
      </c>
      <c r="R619" s="2" t="str">
        <f t="shared" si="405"/>
        <v>00</v>
      </c>
      <c r="T619" t="str">
        <f t="shared" si="387"/>
        <v>0000111111110000</v>
      </c>
      <c r="V619" s="9" t="str">
        <f t="shared" si="406"/>
        <v>00001111</v>
      </c>
      <c r="W619" s="9" t="str">
        <f t="shared" si="407"/>
        <v>11110000</v>
      </c>
      <c r="X619" s="9" t="str">
        <f t="shared" si="408"/>
        <v>0F</v>
      </c>
      <c r="Y619" s="9" t="str">
        <f t="shared" si="409"/>
        <v>F0</v>
      </c>
    </row>
    <row r="620" spans="1:36" x14ac:dyDescent="0.3">
      <c r="B620" s="2">
        <v>0</v>
      </c>
      <c r="C620" s="2">
        <v>0</v>
      </c>
      <c r="D620" s="2">
        <v>0</v>
      </c>
      <c r="E620" s="2">
        <v>3</v>
      </c>
      <c r="F620" s="2">
        <v>3</v>
      </c>
      <c r="G620" s="2">
        <v>0</v>
      </c>
      <c r="H620" s="2">
        <v>0</v>
      </c>
      <c r="I620" s="2">
        <v>0</v>
      </c>
      <c r="K620" s="2" t="str">
        <f t="shared" si="405"/>
        <v>00</v>
      </c>
      <c r="L620" s="2" t="str">
        <f t="shared" si="405"/>
        <v>00</v>
      </c>
      <c r="M620" s="2" t="str">
        <f t="shared" si="405"/>
        <v>00</v>
      </c>
      <c r="N620" s="2" t="str">
        <f t="shared" si="405"/>
        <v>11</v>
      </c>
      <c r="O620" s="2" t="str">
        <f t="shared" si="405"/>
        <v>11</v>
      </c>
      <c r="P620" s="2" t="str">
        <f t="shared" si="405"/>
        <v>00</v>
      </c>
      <c r="Q620" s="2" t="str">
        <f t="shared" si="405"/>
        <v>00</v>
      </c>
      <c r="R620" s="2" t="str">
        <f t="shared" si="405"/>
        <v>00</v>
      </c>
      <c r="T620" t="str">
        <f t="shared" si="387"/>
        <v>0000001111000000</v>
      </c>
      <c r="V620" s="9" t="str">
        <f t="shared" si="406"/>
        <v>00000011</v>
      </c>
      <c r="W620" s="9" t="str">
        <f t="shared" si="407"/>
        <v>11000000</v>
      </c>
      <c r="X620" s="9" t="str">
        <f t="shared" si="408"/>
        <v>03</v>
      </c>
      <c r="Y620" s="9" t="str">
        <f t="shared" si="409"/>
        <v>C0</v>
      </c>
    </row>
    <row r="621" spans="1:36" x14ac:dyDescent="0.3">
      <c r="B621" s="2">
        <v>0</v>
      </c>
      <c r="C621" s="2">
        <v>0</v>
      </c>
      <c r="D621" s="2">
        <v>1</v>
      </c>
      <c r="E621" s="2">
        <v>3</v>
      </c>
      <c r="F621" s="2">
        <v>3</v>
      </c>
      <c r="G621" s="2">
        <v>1</v>
      </c>
      <c r="H621" s="2">
        <v>0</v>
      </c>
      <c r="I621" s="2">
        <v>0</v>
      </c>
      <c r="K621" s="2" t="str">
        <f t="shared" si="405"/>
        <v>00</v>
      </c>
      <c r="L621" s="2" t="str">
        <f t="shared" si="405"/>
        <v>00</v>
      </c>
      <c r="M621" s="2" t="str">
        <f t="shared" si="405"/>
        <v>01</v>
      </c>
      <c r="N621" s="2" t="str">
        <f t="shared" si="405"/>
        <v>11</v>
      </c>
      <c r="O621" s="2" t="str">
        <f t="shared" si="405"/>
        <v>11</v>
      </c>
      <c r="P621" s="2" t="str">
        <f t="shared" si="405"/>
        <v>01</v>
      </c>
      <c r="Q621" s="2" t="str">
        <f t="shared" si="405"/>
        <v>00</v>
      </c>
      <c r="R621" s="2" t="str">
        <f t="shared" si="405"/>
        <v>00</v>
      </c>
      <c r="T621" t="str">
        <f t="shared" si="387"/>
        <v>0000011111010000</v>
      </c>
      <c r="V621" s="10" t="str">
        <f t="shared" si="406"/>
        <v>00000111</v>
      </c>
      <c r="W621" s="10" t="str">
        <f t="shared" si="407"/>
        <v>11010000</v>
      </c>
      <c r="X621" s="10" t="str">
        <f t="shared" si="408"/>
        <v>07</v>
      </c>
      <c r="Y621" s="10" t="str">
        <f t="shared" si="409"/>
        <v>D0</v>
      </c>
    </row>
    <row r="622" spans="1:36" x14ac:dyDescent="0.3">
      <c r="B622" s="2">
        <v>0</v>
      </c>
      <c r="C622" s="2">
        <v>1</v>
      </c>
      <c r="D622" s="2">
        <v>0</v>
      </c>
      <c r="E622" s="2">
        <v>1</v>
      </c>
      <c r="F622" s="2">
        <v>1</v>
      </c>
      <c r="G622" s="2">
        <v>0</v>
      </c>
      <c r="H622" s="2">
        <v>1</v>
      </c>
      <c r="I622" s="2">
        <v>0</v>
      </c>
      <c r="K622" s="2" t="str">
        <f t="shared" si="405"/>
        <v>00</v>
      </c>
      <c r="L622" s="2" t="str">
        <f t="shared" si="405"/>
        <v>01</v>
      </c>
      <c r="M622" s="2" t="str">
        <f t="shared" si="405"/>
        <v>00</v>
      </c>
      <c r="N622" s="2" t="str">
        <f t="shared" si="405"/>
        <v>01</v>
      </c>
      <c r="O622" s="2" t="str">
        <f t="shared" si="405"/>
        <v>01</v>
      </c>
      <c r="P622" s="2" t="str">
        <f t="shared" si="405"/>
        <v>00</v>
      </c>
      <c r="Q622" s="2" t="str">
        <f t="shared" si="405"/>
        <v>01</v>
      </c>
      <c r="R622" s="2" t="str">
        <f t="shared" si="405"/>
        <v>00</v>
      </c>
      <c r="T622" t="str">
        <f t="shared" si="387"/>
        <v>0001000101000100</v>
      </c>
      <c r="V622" s="8" t="str">
        <f t="shared" si="406"/>
        <v>00010001</v>
      </c>
      <c r="W622" s="8" t="str">
        <f t="shared" si="407"/>
        <v>01000100</v>
      </c>
      <c r="X622" s="8" t="str">
        <f t="shared" si="408"/>
        <v>11</v>
      </c>
      <c r="Y622" s="8" t="str">
        <f t="shared" si="409"/>
        <v>44</v>
      </c>
    </row>
    <row r="623" spans="1:36" x14ac:dyDescent="0.3">
      <c r="B623" s="2">
        <v>0</v>
      </c>
      <c r="C623" s="2">
        <v>1</v>
      </c>
      <c r="D623" s="2">
        <v>0</v>
      </c>
      <c r="E623" s="2">
        <v>3</v>
      </c>
      <c r="F623" s="2">
        <v>3</v>
      </c>
      <c r="G623" s="2">
        <v>0</v>
      </c>
      <c r="H623" s="2">
        <v>1</v>
      </c>
      <c r="I623" s="2">
        <v>0</v>
      </c>
      <c r="K623" s="2" t="str">
        <f t="shared" si="405"/>
        <v>00</v>
      </c>
      <c r="L623" s="2" t="str">
        <f t="shared" si="405"/>
        <v>01</v>
      </c>
      <c r="M623" s="2" t="str">
        <f t="shared" si="405"/>
        <v>00</v>
      </c>
      <c r="N623" s="2" t="str">
        <f t="shared" si="405"/>
        <v>11</v>
      </c>
      <c r="O623" s="2" t="str">
        <f t="shared" si="405"/>
        <v>11</v>
      </c>
      <c r="P623" s="2" t="str">
        <f t="shared" si="405"/>
        <v>00</v>
      </c>
      <c r="Q623" s="2" t="str">
        <f t="shared" si="405"/>
        <v>01</v>
      </c>
      <c r="R623" s="2" t="str">
        <f t="shared" si="405"/>
        <v>00</v>
      </c>
      <c r="T623" t="str">
        <f t="shared" si="387"/>
        <v>0001001111000100</v>
      </c>
      <c r="V623" s="9" t="str">
        <f t="shared" si="406"/>
        <v>00010011</v>
      </c>
      <c r="W623" s="9" t="str">
        <f t="shared" si="407"/>
        <v>11000100</v>
      </c>
      <c r="X623" s="9" t="str">
        <f t="shared" si="408"/>
        <v>13</v>
      </c>
      <c r="Y623" s="9" t="str">
        <f t="shared" si="409"/>
        <v>C4</v>
      </c>
    </row>
    <row r="624" spans="1:36" x14ac:dyDescent="0.3">
      <c r="B624" s="2">
        <v>0</v>
      </c>
      <c r="C624" s="2">
        <v>0</v>
      </c>
      <c r="D624" s="2">
        <v>0</v>
      </c>
      <c r="E624" s="2">
        <v>1</v>
      </c>
      <c r="F624" s="2">
        <v>1</v>
      </c>
      <c r="G624" s="2">
        <v>0</v>
      </c>
      <c r="H624" s="2">
        <v>0</v>
      </c>
      <c r="I624" s="2">
        <v>0</v>
      </c>
      <c r="K624" s="2" t="str">
        <f t="shared" si="405"/>
        <v>00</v>
      </c>
      <c r="L624" s="2" t="str">
        <f t="shared" si="405"/>
        <v>00</v>
      </c>
      <c r="M624" s="2" t="str">
        <f t="shared" si="405"/>
        <v>00</v>
      </c>
      <c r="N624" s="2" t="str">
        <f t="shared" si="405"/>
        <v>01</v>
      </c>
      <c r="O624" s="2" t="str">
        <f t="shared" si="405"/>
        <v>01</v>
      </c>
      <c r="P624" s="2" t="str">
        <f t="shared" si="405"/>
        <v>00</v>
      </c>
      <c r="Q624" s="2" t="str">
        <f t="shared" si="405"/>
        <v>00</v>
      </c>
      <c r="R624" s="2" t="str">
        <f t="shared" si="405"/>
        <v>00</v>
      </c>
      <c r="T624" t="str">
        <f t="shared" si="387"/>
        <v>0000000101000000</v>
      </c>
      <c r="V624" s="9" t="str">
        <f t="shared" si="406"/>
        <v>00000001</v>
      </c>
      <c r="W624" s="9" t="str">
        <f t="shared" si="407"/>
        <v>01000000</v>
      </c>
      <c r="X624" s="9" t="str">
        <f t="shared" si="408"/>
        <v>01</v>
      </c>
      <c r="Y624" s="9" t="str">
        <f t="shared" si="409"/>
        <v>40</v>
      </c>
    </row>
    <row r="625" spans="1:36" x14ac:dyDescent="0.3">
      <c r="B625" s="2">
        <v>0</v>
      </c>
      <c r="C625" s="2">
        <v>0</v>
      </c>
      <c r="D625" s="2">
        <v>0</v>
      </c>
      <c r="E625" s="2">
        <v>3</v>
      </c>
      <c r="F625" s="2">
        <v>3</v>
      </c>
      <c r="G625" s="2">
        <v>0</v>
      </c>
      <c r="H625" s="2">
        <v>0</v>
      </c>
      <c r="I625" s="2">
        <v>0</v>
      </c>
      <c r="K625" s="2" t="str">
        <f t="shared" si="405"/>
        <v>00</v>
      </c>
      <c r="L625" s="2" t="str">
        <f t="shared" si="405"/>
        <v>00</v>
      </c>
      <c r="M625" s="2" t="str">
        <f t="shared" si="405"/>
        <v>00</v>
      </c>
      <c r="N625" s="2" t="str">
        <f t="shared" si="405"/>
        <v>11</v>
      </c>
      <c r="O625" s="2" t="str">
        <f t="shared" si="405"/>
        <v>11</v>
      </c>
      <c r="P625" s="2" t="str">
        <f t="shared" si="405"/>
        <v>00</v>
      </c>
      <c r="Q625" s="2" t="str">
        <f t="shared" si="405"/>
        <v>00</v>
      </c>
      <c r="R625" s="2" t="str">
        <f t="shared" si="405"/>
        <v>00</v>
      </c>
      <c r="T625" t="str">
        <f t="shared" si="387"/>
        <v>0000001111000000</v>
      </c>
      <c r="V625" s="9" t="str">
        <f t="shared" si="406"/>
        <v>00000011</v>
      </c>
      <c r="W625" s="9" t="str">
        <f t="shared" si="407"/>
        <v>11000000</v>
      </c>
      <c r="X625" s="9" t="str">
        <f t="shared" si="408"/>
        <v>03</v>
      </c>
      <c r="Y625" s="9" t="str">
        <f t="shared" si="409"/>
        <v>C0</v>
      </c>
    </row>
    <row r="626" spans="1:36" x14ac:dyDescent="0.3">
      <c r="B626" s="2">
        <v>0</v>
      </c>
      <c r="C626" s="2">
        <v>0</v>
      </c>
      <c r="D626" s="2">
        <v>3</v>
      </c>
      <c r="E626" s="2">
        <v>1</v>
      </c>
      <c r="F626" s="2">
        <v>1</v>
      </c>
      <c r="G626" s="2">
        <v>3</v>
      </c>
      <c r="H626" s="2">
        <v>0</v>
      </c>
      <c r="I626" s="2">
        <v>0</v>
      </c>
      <c r="K626" s="2" t="str">
        <f t="shared" si="405"/>
        <v>00</v>
      </c>
      <c r="L626" s="2" t="str">
        <f t="shared" si="405"/>
        <v>00</v>
      </c>
      <c r="M626" s="2" t="str">
        <f t="shared" si="405"/>
        <v>11</v>
      </c>
      <c r="N626" s="2" t="str">
        <f t="shared" si="405"/>
        <v>01</v>
      </c>
      <c r="O626" s="2" t="str">
        <f t="shared" si="405"/>
        <v>01</v>
      </c>
      <c r="P626" s="2" t="str">
        <f t="shared" si="405"/>
        <v>11</v>
      </c>
      <c r="Q626" s="2" t="str">
        <f t="shared" si="405"/>
        <v>00</v>
      </c>
      <c r="R626" s="2" t="str">
        <f t="shared" si="405"/>
        <v>00</v>
      </c>
      <c r="T626" t="str">
        <f t="shared" ref="T626:T689" si="411">_xlfn.CONCAT(K626:R626)</f>
        <v>0000110101110000</v>
      </c>
      <c r="V626" s="9" t="str">
        <f t="shared" si="406"/>
        <v>00001101</v>
      </c>
      <c r="W626" s="9" t="str">
        <f t="shared" si="407"/>
        <v>01110000</v>
      </c>
      <c r="X626" s="9" t="str">
        <f t="shared" si="408"/>
        <v>0D</v>
      </c>
      <c r="Y626" s="9" t="str">
        <f t="shared" si="409"/>
        <v>70</v>
      </c>
    </row>
    <row r="627" spans="1:36" x14ac:dyDescent="0.3">
      <c r="B627" s="2">
        <v>0</v>
      </c>
      <c r="C627" s="2">
        <v>0</v>
      </c>
      <c r="D627" s="2">
        <v>3</v>
      </c>
      <c r="E627" s="2">
        <v>0</v>
      </c>
      <c r="F627" s="2">
        <v>0</v>
      </c>
      <c r="G627" s="2">
        <v>3</v>
      </c>
      <c r="H627" s="2">
        <v>0</v>
      </c>
      <c r="I627" s="2">
        <v>0</v>
      </c>
      <c r="K627" s="2" t="str">
        <f t="shared" si="405"/>
        <v>00</v>
      </c>
      <c r="L627" s="2" t="str">
        <f t="shared" si="405"/>
        <v>00</v>
      </c>
      <c r="M627" s="2" t="str">
        <f t="shared" si="405"/>
        <v>11</v>
      </c>
      <c r="N627" s="2" t="str">
        <f t="shared" si="405"/>
        <v>00</v>
      </c>
      <c r="O627" s="2" t="str">
        <f t="shared" si="405"/>
        <v>00</v>
      </c>
      <c r="P627" s="2" t="str">
        <f t="shared" si="405"/>
        <v>11</v>
      </c>
      <c r="Q627" s="2" t="str">
        <f t="shared" si="405"/>
        <v>00</v>
      </c>
      <c r="R627" s="2" t="str">
        <f t="shared" si="405"/>
        <v>00</v>
      </c>
      <c r="T627" t="str">
        <f t="shared" si="411"/>
        <v>0000110000110000</v>
      </c>
      <c r="V627" s="9" t="str">
        <f t="shared" si="406"/>
        <v>00001100</v>
      </c>
      <c r="W627" s="9" t="str">
        <f t="shared" si="407"/>
        <v>00110000</v>
      </c>
      <c r="X627" s="9" t="str">
        <f t="shared" si="408"/>
        <v>0C</v>
      </c>
      <c r="Y627" s="9" t="str">
        <f t="shared" si="409"/>
        <v>30</v>
      </c>
    </row>
    <row r="628" spans="1:36" x14ac:dyDescent="0.3">
      <c r="B628" s="2">
        <v>0</v>
      </c>
      <c r="C628" s="2">
        <v>0</v>
      </c>
      <c r="D628" s="2">
        <v>3</v>
      </c>
      <c r="E628" s="2">
        <v>0</v>
      </c>
      <c r="F628" s="2">
        <v>0</v>
      </c>
      <c r="G628" s="2">
        <v>3</v>
      </c>
      <c r="H628" s="2">
        <v>0</v>
      </c>
      <c r="I628" s="2">
        <v>0</v>
      </c>
      <c r="K628" s="2" t="str">
        <f t="shared" si="405"/>
        <v>00</v>
      </c>
      <c r="L628" s="2" t="str">
        <f t="shared" si="405"/>
        <v>00</v>
      </c>
      <c r="M628" s="2" t="str">
        <f t="shared" si="405"/>
        <v>11</v>
      </c>
      <c r="N628" s="2" t="str">
        <f t="shared" si="405"/>
        <v>00</v>
      </c>
      <c r="O628" s="2" t="str">
        <f t="shared" si="405"/>
        <v>00</v>
      </c>
      <c r="P628" s="2" t="str">
        <f t="shared" si="405"/>
        <v>11</v>
      </c>
      <c r="Q628" s="2" t="str">
        <f t="shared" si="405"/>
        <v>00</v>
      </c>
      <c r="R628" s="2" t="str">
        <f t="shared" si="405"/>
        <v>00</v>
      </c>
      <c r="T628" t="str">
        <f t="shared" si="411"/>
        <v>0000110000110000</v>
      </c>
      <c r="V628" s="9" t="str">
        <f t="shared" si="406"/>
        <v>00001100</v>
      </c>
      <c r="W628" s="9" t="str">
        <f t="shared" si="407"/>
        <v>00110000</v>
      </c>
      <c r="X628" s="9" t="str">
        <f t="shared" si="408"/>
        <v>0C</v>
      </c>
      <c r="Y628" s="9" t="str">
        <f t="shared" si="409"/>
        <v>30</v>
      </c>
    </row>
    <row r="629" spans="1:36" x14ac:dyDescent="0.3">
      <c r="B629" s="2">
        <v>0</v>
      </c>
      <c r="C629" s="2">
        <v>1</v>
      </c>
      <c r="D629" s="2">
        <v>1</v>
      </c>
      <c r="E629" s="2">
        <v>0</v>
      </c>
      <c r="F629" s="2">
        <v>0</v>
      </c>
      <c r="G629" s="2">
        <v>1</v>
      </c>
      <c r="H629" s="2">
        <v>1</v>
      </c>
      <c r="I629" s="2">
        <v>0</v>
      </c>
      <c r="K629" s="2" t="str">
        <f t="shared" si="405"/>
        <v>00</v>
      </c>
      <c r="L629" s="2" t="str">
        <f t="shared" si="405"/>
        <v>01</v>
      </c>
      <c r="M629" s="2" t="str">
        <f t="shared" si="405"/>
        <v>01</v>
      </c>
      <c r="N629" s="2" t="str">
        <f t="shared" si="405"/>
        <v>00</v>
      </c>
      <c r="O629" s="2" t="str">
        <f t="shared" si="405"/>
        <v>00</v>
      </c>
      <c r="P629" s="2" t="str">
        <f t="shared" si="405"/>
        <v>01</v>
      </c>
      <c r="Q629" s="2" t="str">
        <f t="shared" si="405"/>
        <v>01</v>
      </c>
      <c r="R629" s="2" t="str">
        <f t="shared" si="405"/>
        <v>00</v>
      </c>
      <c r="T629" t="str">
        <f t="shared" si="411"/>
        <v>0001010000010100</v>
      </c>
      <c r="V629" s="10" t="str">
        <f t="shared" si="406"/>
        <v>00010100</v>
      </c>
      <c r="W629" s="10" t="str">
        <f t="shared" si="407"/>
        <v>00010100</v>
      </c>
      <c r="X629" s="10" t="str">
        <f t="shared" si="408"/>
        <v>14</v>
      </c>
      <c r="Y629" s="10" t="str">
        <f t="shared" si="409"/>
        <v>14</v>
      </c>
    </row>
    <row r="630" spans="1:36" x14ac:dyDescent="0.3">
      <c r="A630" t="s">
        <v>33</v>
      </c>
      <c r="AJ630" t="str">
        <f>";"&amp;PROPER(A630)</f>
        <v>;Rockford 5 (Wink 2)</v>
      </c>
    </row>
    <row r="631" spans="1:36" x14ac:dyDescent="0.3"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K631" s="2" t="str">
        <f t="shared" ref="K631:R646" si="412">DEC2BIN(B631,2)</f>
        <v>00</v>
      </c>
      <c r="L631" s="2" t="str">
        <f t="shared" si="412"/>
        <v>00</v>
      </c>
      <c r="M631" s="2" t="str">
        <f t="shared" si="412"/>
        <v>00</v>
      </c>
      <c r="N631" s="2" t="str">
        <f t="shared" si="412"/>
        <v>00</v>
      </c>
      <c r="O631" s="2" t="str">
        <f t="shared" si="412"/>
        <v>00</v>
      </c>
      <c r="P631" s="2" t="str">
        <f t="shared" si="412"/>
        <v>00</v>
      </c>
      <c r="Q631" s="2" t="str">
        <f t="shared" si="412"/>
        <v>00</v>
      </c>
      <c r="R631" s="2" t="str">
        <f t="shared" si="412"/>
        <v>00</v>
      </c>
      <c r="T631" t="str">
        <f t="shared" si="411"/>
        <v>0000000000000000</v>
      </c>
      <c r="V631" s="8" t="str">
        <f>LEFT(T631,8)</f>
        <v>00000000</v>
      </c>
      <c r="W631" s="8" t="str">
        <f>RIGHT(T631,8)</f>
        <v>00000000</v>
      </c>
      <c r="X631" s="8" t="str">
        <f>BIN2HEX(V631,2)</f>
        <v>00</v>
      </c>
      <c r="Y631" s="8" t="str">
        <f>BIN2HEX(W631,2)</f>
        <v>00</v>
      </c>
      <c r="AA631" t="str" cm="1">
        <f t="array" ref="AA631:AH631">TRANSPOSE(X631:X638)</f>
        <v>00</v>
      </c>
      <c r="AB631" t="str">
        <v>0C</v>
      </c>
      <c r="AC631" t="str">
        <v>0F</v>
      </c>
      <c r="AD631" t="str">
        <v>33</v>
      </c>
      <c r="AE631" t="str">
        <v>33</v>
      </c>
      <c r="AF631" t="str">
        <v>0F</v>
      </c>
      <c r="AG631" t="str">
        <v>03</v>
      </c>
      <c r="AH631" t="str">
        <v>07</v>
      </c>
      <c r="AJ631" t="str">
        <f>LOWER("!byte $"&amp;AA631&amp;", $"&amp;AB631&amp;", $"&amp;AC631&amp;", $"&amp;AD631&amp;", $"&amp;AE631&amp;", $"&amp;AF631&amp;", $"&amp;AG631&amp;", $"&amp;AH631)</f>
        <v>!byte $00, $0c, $0f, $33, $33, $0f, $03, $07</v>
      </c>
    </row>
    <row r="632" spans="1:36" x14ac:dyDescent="0.3">
      <c r="B632" s="2">
        <v>0</v>
      </c>
      <c r="C632" s="2">
        <v>0</v>
      </c>
      <c r="D632" s="2">
        <v>3</v>
      </c>
      <c r="E632" s="2">
        <v>0</v>
      </c>
      <c r="F632" s="2">
        <v>0</v>
      </c>
      <c r="G632" s="2">
        <v>3</v>
      </c>
      <c r="H632" s="2">
        <v>0</v>
      </c>
      <c r="I632" s="2">
        <v>0</v>
      </c>
      <c r="K632" s="2" t="str">
        <f t="shared" si="412"/>
        <v>00</v>
      </c>
      <c r="L632" s="2" t="str">
        <f t="shared" si="412"/>
        <v>00</v>
      </c>
      <c r="M632" s="2" t="str">
        <f t="shared" si="412"/>
        <v>11</v>
      </c>
      <c r="N632" s="2" t="str">
        <f t="shared" si="412"/>
        <v>00</v>
      </c>
      <c r="O632" s="2" t="str">
        <f t="shared" si="412"/>
        <v>00</v>
      </c>
      <c r="P632" s="2" t="str">
        <f t="shared" si="412"/>
        <v>11</v>
      </c>
      <c r="Q632" s="2" t="str">
        <f t="shared" si="412"/>
        <v>00</v>
      </c>
      <c r="R632" s="2" t="str">
        <f t="shared" si="412"/>
        <v>00</v>
      </c>
      <c r="T632" t="str">
        <f t="shared" si="411"/>
        <v>0000110000110000</v>
      </c>
      <c r="V632" s="9" t="str">
        <f t="shared" ref="V632:V646" si="413">LEFT(T632,8)</f>
        <v>00001100</v>
      </c>
      <c r="W632" s="9" t="str">
        <f t="shared" ref="W632:W646" si="414">RIGHT(T632,8)</f>
        <v>00110000</v>
      </c>
      <c r="X632" s="9" t="str">
        <f t="shared" ref="X632:X646" si="415">BIN2HEX(V632,2)</f>
        <v>0C</v>
      </c>
      <c r="Y632" s="9" t="str">
        <f t="shared" ref="Y632:Y646" si="416">BIN2HEX(W632,2)</f>
        <v>30</v>
      </c>
      <c r="AA632" t="str" cm="1">
        <f t="array" ref="AA632:AH632">TRANSPOSE(X639:X646)</f>
        <v>11</v>
      </c>
      <c r="AB632" t="str">
        <v>13</v>
      </c>
      <c r="AC632" t="str">
        <v>01</v>
      </c>
      <c r="AD632" t="str">
        <v>03</v>
      </c>
      <c r="AE632" t="str">
        <v>0D</v>
      </c>
      <c r="AF632" t="str">
        <v>0C</v>
      </c>
      <c r="AG632" t="str">
        <v>0C</v>
      </c>
      <c r="AH632" t="str">
        <v>14</v>
      </c>
      <c r="AJ632" t="str">
        <f t="shared" ref="AJ632:AJ634" si="417">LOWER("!byte $"&amp;AA632&amp;", $"&amp;AB632&amp;", $"&amp;AC632&amp;", $"&amp;AD632&amp;", $"&amp;AE632&amp;", $"&amp;AF632&amp;", $"&amp;AG632&amp;", $"&amp;AH632)</f>
        <v>!byte $11, $13, $01, $03, $0d, $0c, $0c, $14</v>
      </c>
    </row>
    <row r="633" spans="1:36" x14ac:dyDescent="0.3">
      <c r="B633" s="2">
        <v>0</v>
      </c>
      <c r="C633" s="2">
        <v>0</v>
      </c>
      <c r="D633" s="2">
        <v>3</v>
      </c>
      <c r="E633" s="2">
        <v>3</v>
      </c>
      <c r="F633" s="2">
        <v>3</v>
      </c>
      <c r="G633" s="2">
        <v>3</v>
      </c>
      <c r="H633" s="2">
        <v>0</v>
      </c>
      <c r="I633" s="2">
        <v>0</v>
      </c>
      <c r="K633" s="2" t="str">
        <f t="shared" si="412"/>
        <v>00</v>
      </c>
      <c r="L633" s="2" t="str">
        <f t="shared" si="412"/>
        <v>00</v>
      </c>
      <c r="M633" s="2" t="str">
        <f t="shared" si="412"/>
        <v>11</v>
      </c>
      <c r="N633" s="2" t="str">
        <f t="shared" si="412"/>
        <v>11</v>
      </c>
      <c r="O633" s="2" t="str">
        <f t="shared" si="412"/>
        <v>11</v>
      </c>
      <c r="P633" s="2" t="str">
        <f t="shared" si="412"/>
        <v>11</v>
      </c>
      <c r="Q633" s="2" t="str">
        <f t="shared" si="412"/>
        <v>00</v>
      </c>
      <c r="R633" s="2" t="str">
        <f t="shared" si="412"/>
        <v>00</v>
      </c>
      <c r="T633" t="str">
        <f t="shared" si="411"/>
        <v>0000111111110000</v>
      </c>
      <c r="V633" s="9" t="str">
        <f t="shared" si="413"/>
        <v>00001111</v>
      </c>
      <c r="W633" s="9" t="str">
        <f t="shared" si="414"/>
        <v>11110000</v>
      </c>
      <c r="X633" s="9" t="str">
        <f t="shared" si="415"/>
        <v>0F</v>
      </c>
      <c r="Y633" s="9" t="str">
        <f t="shared" si="416"/>
        <v>F0</v>
      </c>
      <c r="AA633" t="str" cm="1">
        <f t="array" ref="AA633:AH633">TRANSPOSE(Y631:Y638)</f>
        <v>00</v>
      </c>
      <c r="AB633" t="str">
        <v>30</v>
      </c>
      <c r="AC633" t="str">
        <v>F0</v>
      </c>
      <c r="AD633" t="str">
        <v>FC</v>
      </c>
      <c r="AE633" t="str">
        <v>FC</v>
      </c>
      <c r="AF633" t="str">
        <v>F0</v>
      </c>
      <c r="AG633" t="str">
        <v>C0</v>
      </c>
      <c r="AH633" t="str">
        <v>D0</v>
      </c>
      <c r="AJ633" t="str">
        <f t="shared" si="417"/>
        <v>!byte $00, $30, $f0, $fc, $fc, $f0, $c0, $d0</v>
      </c>
    </row>
    <row r="634" spans="1:36" x14ac:dyDescent="0.3">
      <c r="B634" s="2">
        <v>0</v>
      </c>
      <c r="C634" s="2">
        <v>3</v>
      </c>
      <c r="D634" s="2">
        <v>0</v>
      </c>
      <c r="E634" s="2">
        <v>3</v>
      </c>
      <c r="F634" s="2">
        <v>3</v>
      </c>
      <c r="G634" s="2">
        <v>3</v>
      </c>
      <c r="H634" s="2">
        <v>3</v>
      </c>
      <c r="I634" s="2">
        <v>0</v>
      </c>
      <c r="K634" s="2" t="str">
        <f t="shared" si="412"/>
        <v>00</v>
      </c>
      <c r="L634" s="2" t="str">
        <f t="shared" si="412"/>
        <v>11</v>
      </c>
      <c r="M634" s="2" t="str">
        <f t="shared" si="412"/>
        <v>00</v>
      </c>
      <c r="N634" s="2" t="str">
        <f t="shared" si="412"/>
        <v>11</v>
      </c>
      <c r="O634" s="2" t="str">
        <f t="shared" si="412"/>
        <v>11</v>
      </c>
      <c r="P634" s="2" t="str">
        <f t="shared" si="412"/>
        <v>11</v>
      </c>
      <c r="Q634" s="2" t="str">
        <f t="shared" si="412"/>
        <v>11</v>
      </c>
      <c r="R634" s="2" t="str">
        <f t="shared" si="412"/>
        <v>00</v>
      </c>
      <c r="T634" t="str">
        <f t="shared" si="411"/>
        <v>0011001111111100</v>
      </c>
      <c r="V634" s="9" t="str">
        <f t="shared" si="413"/>
        <v>00110011</v>
      </c>
      <c r="W634" s="9" t="str">
        <f t="shared" si="414"/>
        <v>11111100</v>
      </c>
      <c r="X634" s="9" t="str">
        <f t="shared" si="415"/>
        <v>33</v>
      </c>
      <c r="Y634" s="9" t="str">
        <f t="shared" si="416"/>
        <v>FC</v>
      </c>
      <c r="AA634" t="str" cm="1">
        <f t="array" ref="AA634:AH634">TRANSPOSE(Y639:Y646)</f>
        <v>44</v>
      </c>
      <c r="AB634" t="str">
        <v>C4</v>
      </c>
      <c r="AC634" t="str">
        <v>40</v>
      </c>
      <c r="AD634" t="str">
        <v>C0</v>
      </c>
      <c r="AE634" t="str">
        <v>70</v>
      </c>
      <c r="AF634" t="str">
        <v>30</v>
      </c>
      <c r="AG634" t="str">
        <v>30</v>
      </c>
      <c r="AH634" t="str">
        <v>14</v>
      </c>
      <c r="AJ634" t="str">
        <f t="shared" si="417"/>
        <v>!byte $44, $c4, $40, $c0, $70, $30, $30, $14</v>
      </c>
    </row>
    <row r="635" spans="1:36" x14ac:dyDescent="0.3">
      <c r="B635" s="2">
        <v>0</v>
      </c>
      <c r="C635" s="2">
        <v>3</v>
      </c>
      <c r="D635" s="2">
        <v>0</v>
      </c>
      <c r="E635" s="2">
        <v>3</v>
      </c>
      <c r="F635" s="2">
        <v>3</v>
      </c>
      <c r="G635" s="2">
        <v>3</v>
      </c>
      <c r="H635" s="2">
        <v>3</v>
      </c>
      <c r="I635" s="2">
        <v>0</v>
      </c>
      <c r="K635" s="2" t="str">
        <f t="shared" si="412"/>
        <v>00</v>
      </c>
      <c r="L635" s="2" t="str">
        <f t="shared" si="412"/>
        <v>11</v>
      </c>
      <c r="M635" s="2" t="str">
        <f t="shared" si="412"/>
        <v>00</v>
      </c>
      <c r="N635" s="2" t="str">
        <f t="shared" si="412"/>
        <v>11</v>
      </c>
      <c r="O635" s="2" t="str">
        <f t="shared" si="412"/>
        <v>11</v>
      </c>
      <c r="P635" s="2" t="str">
        <f t="shared" si="412"/>
        <v>11</v>
      </c>
      <c r="Q635" s="2" t="str">
        <f t="shared" si="412"/>
        <v>11</v>
      </c>
      <c r="R635" s="2" t="str">
        <f t="shared" si="412"/>
        <v>00</v>
      </c>
      <c r="T635" t="str">
        <f t="shared" si="411"/>
        <v>0011001111111100</v>
      </c>
      <c r="V635" s="9" t="str">
        <f t="shared" si="413"/>
        <v>00110011</v>
      </c>
      <c r="W635" s="9" t="str">
        <f t="shared" si="414"/>
        <v>11111100</v>
      </c>
      <c r="X635" s="9" t="str">
        <f t="shared" si="415"/>
        <v>33</v>
      </c>
      <c r="Y635" s="9" t="str">
        <f t="shared" si="416"/>
        <v>FC</v>
      </c>
    </row>
    <row r="636" spans="1:36" x14ac:dyDescent="0.3">
      <c r="B636" s="2">
        <v>0</v>
      </c>
      <c r="C636" s="2">
        <v>0</v>
      </c>
      <c r="D636" s="2">
        <v>3</v>
      </c>
      <c r="E636" s="2">
        <v>3</v>
      </c>
      <c r="F636" s="2">
        <v>3</v>
      </c>
      <c r="G636" s="2">
        <v>3</v>
      </c>
      <c r="H636" s="2">
        <v>0</v>
      </c>
      <c r="I636" s="2">
        <v>0</v>
      </c>
      <c r="K636" s="2" t="str">
        <f t="shared" si="412"/>
        <v>00</v>
      </c>
      <c r="L636" s="2" t="str">
        <f t="shared" si="412"/>
        <v>00</v>
      </c>
      <c r="M636" s="2" t="str">
        <f t="shared" si="412"/>
        <v>11</v>
      </c>
      <c r="N636" s="2" t="str">
        <f t="shared" si="412"/>
        <v>11</v>
      </c>
      <c r="O636" s="2" t="str">
        <f t="shared" si="412"/>
        <v>11</v>
      </c>
      <c r="P636" s="2" t="str">
        <f t="shared" si="412"/>
        <v>11</v>
      </c>
      <c r="Q636" s="2" t="str">
        <f t="shared" si="412"/>
        <v>00</v>
      </c>
      <c r="R636" s="2" t="str">
        <f t="shared" si="412"/>
        <v>00</v>
      </c>
      <c r="T636" t="str">
        <f t="shared" si="411"/>
        <v>0000111111110000</v>
      </c>
      <c r="V636" s="9" t="str">
        <f t="shared" si="413"/>
        <v>00001111</v>
      </c>
      <c r="W636" s="9" t="str">
        <f t="shared" si="414"/>
        <v>11110000</v>
      </c>
      <c r="X636" s="9" t="str">
        <f t="shared" si="415"/>
        <v>0F</v>
      </c>
      <c r="Y636" s="9" t="str">
        <f t="shared" si="416"/>
        <v>F0</v>
      </c>
    </row>
    <row r="637" spans="1:36" x14ac:dyDescent="0.3">
      <c r="B637" s="2">
        <v>0</v>
      </c>
      <c r="C637" s="2">
        <v>0</v>
      </c>
      <c r="D637" s="2">
        <v>0</v>
      </c>
      <c r="E637" s="2">
        <v>3</v>
      </c>
      <c r="F637" s="2">
        <v>3</v>
      </c>
      <c r="G637" s="2">
        <v>0</v>
      </c>
      <c r="H637" s="2">
        <v>0</v>
      </c>
      <c r="I637" s="2">
        <v>0</v>
      </c>
      <c r="K637" s="2" t="str">
        <f t="shared" si="412"/>
        <v>00</v>
      </c>
      <c r="L637" s="2" t="str">
        <f t="shared" si="412"/>
        <v>00</v>
      </c>
      <c r="M637" s="2" t="str">
        <f t="shared" si="412"/>
        <v>00</v>
      </c>
      <c r="N637" s="2" t="str">
        <f t="shared" si="412"/>
        <v>11</v>
      </c>
      <c r="O637" s="2" t="str">
        <f t="shared" si="412"/>
        <v>11</v>
      </c>
      <c r="P637" s="2" t="str">
        <f t="shared" si="412"/>
        <v>00</v>
      </c>
      <c r="Q637" s="2" t="str">
        <f t="shared" si="412"/>
        <v>00</v>
      </c>
      <c r="R637" s="2" t="str">
        <f t="shared" si="412"/>
        <v>00</v>
      </c>
      <c r="T637" t="str">
        <f t="shared" si="411"/>
        <v>0000001111000000</v>
      </c>
      <c r="V637" s="9" t="str">
        <f t="shared" si="413"/>
        <v>00000011</v>
      </c>
      <c r="W637" s="9" t="str">
        <f t="shared" si="414"/>
        <v>11000000</v>
      </c>
      <c r="X637" s="9" t="str">
        <f t="shared" si="415"/>
        <v>03</v>
      </c>
      <c r="Y637" s="9" t="str">
        <f t="shared" si="416"/>
        <v>C0</v>
      </c>
    </row>
    <row r="638" spans="1:36" x14ac:dyDescent="0.3">
      <c r="B638" s="2">
        <v>0</v>
      </c>
      <c r="C638" s="2">
        <v>0</v>
      </c>
      <c r="D638" s="2">
        <v>1</v>
      </c>
      <c r="E638" s="2">
        <v>3</v>
      </c>
      <c r="F638" s="2">
        <v>3</v>
      </c>
      <c r="G638" s="2">
        <v>1</v>
      </c>
      <c r="H638" s="2">
        <v>0</v>
      </c>
      <c r="I638" s="2">
        <v>0</v>
      </c>
      <c r="K638" s="2" t="str">
        <f t="shared" si="412"/>
        <v>00</v>
      </c>
      <c r="L638" s="2" t="str">
        <f t="shared" si="412"/>
        <v>00</v>
      </c>
      <c r="M638" s="2" t="str">
        <f t="shared" si="412"/>
        <v>01</v>
      </c>
      <c r="N638" s="2" t="str">
        <f t="shared" si="412"/>
        <v>11</v>
      </c>
      <c r="O638" s="2" t="str">
        <f t="shared" si="412"/>
        <v>11</v>
      </c>
      <c r="P638" s="2" t="str">
        <f t="shared" si="412"/>
        <v>01</v>
      </c>
      <c r="Q638" s="2" t="str">
        <f t="shared" si="412"/>
        <v>00</v>
      </c>
      <c r="R638" s="2" t="str">
        <f t="shared" si="412"/>
        <v>00</v>
      </c>
      <c r="T638" t="str">
        <f t="shared" si="411"/>
        <v>0000011111010000</v>
      </c>
      <c r="V638" s="10" t="str">
        <f t="shared" si="413"/>
        <v>00000111</v>
      </c>
      <c r="W638" s="10" t="str">
        <f t="shared" si="414"/>
        <v>11010000</v>
      </c>
      <c r="X638" s="10" t="str">
        <f t="shared" si="415"/>
        <v>07</v>
      </c>
      <c r="Y638" s="10" t="str">
        <f t="shared" si="416"/>
        <v>D0</v>
      </c>
    </row>
    <row r="639" spans="1:36" x14ac:dyDescent="0.3">
      <c r="B639" s="2">
        <v>0</v>
      </c>
      <c r="C639" s="2">
        <v>1</v>
      </c>
      <c r="D639" s="2">
        <v>0</v>
      </c>
      <c r="E639" s="2">
        <v>1</v>
      </c>
      <c r="F639" s="2">
        <v>1</v>
      </c>
      <c r="G639" s="2">
        <v>0</v>
      </c>
      <c r="H639" s="2">
        <v>1</v>
      </c>
      <c r="I639" s="2">
        <v>0</v>
      </c>
      <c r="K639" s="2" t="str">
        <f t="shared" si="412"/>
        <v>00</v>
      </c>
      <c r="L639" s="2" t="str">
        <f t="shared" si="412"/>
        <v>01</v>
      </c>
      <c r="M639" s="2" t="str">
        <f t="shared" si="412"/>
        <v>00</v>
      </c>
      <c r="N639" s="2" t="str">
        <f t="shared" si="412"/>
        <v>01</v>
      </c>
      <c r="O639" s="2" t="str">
        <f t="shared" si="412"/>
        <v>01</v>
      </c>
      <c r="P639" s="2" t="str">
        <f t="shared" si="412"/>
        <v>00</v>
      </c>
      <c r="Q639" s="2" t="str">
        <f t="shared" si="412"/>
        <v>01</v>
      </c>
      <c r="R639" s="2" t="str">
        <f t="shared" si="412"/>
        <v>00</v>
      </c>
      <c r="T639" t="str">
        <f t="shared" si="411"/>
        <v>0001000101000100</v>
      </c>
      <c r="V639" s="8" t="str">
        <f t="shared" si="413"/>
        <v>00010001</v>
      </c>
      <c r="W639" s="8" t="str">
        <f t="shared" si="414"/>
        <v>01000100</v>
      </c>
      <c r="X639" s="8" t="str">
        <f t="shared" si="415"/>
        <v>11</v>
      </c>
      <c r="Y639" s="8" t="str">
        <f t="shared" si="416"/>
        <v>44</v>
      </c>
    </row>
    <row r="640" spans="1:36" x14ac:dyDescent="0.3">
      <c r="B640" s="2">
        <v>0</v>
      </c>
      <c r="C640" s="2">
        <v>1</v>
      </c>
      <c r="D640" s="2">
        <v>0</v>
      </c>
      <c r="E640" s="2">
        <v>3</v>
      </c>
      <c r="F640" s="2">
        <v>3</v>
      </c>
      <c r="G640" s="2">
        <v>0</v>
      </c>
      <c r="H640" s="2">
        <v>1</v>
      </c>
      <c r="I640" s="2">
        <v>0</v>
      </c>
      <c r="K640" s="2" t="str">
        <f t="shared" si="412"/>
        <v>00</v>
      </c>
      <c r="L640" s="2" t="str">
        <f t="shared" si="412"/>
        <v>01</v>
      </c>
      <c r="M640" s="2" t="str">
        <f t="shared" si="412"/>
        <v>00</v>
      </c>
      <c r="N640" s="2" t="str">
        <f t="shared" si="412"/>
        <v>11</v>
      </c>
      <c r="O640" s="2" t="str">
        <f t="shared" si="412"/>
        <v>11</v>
      </c>
      <c r="P640" s="2" t="str">
        <f t="shared" si="412"/>
        <v>00</v>
      </c>
      <c r="Q640" s="2" t="str">
        <f t="shared" si="412"/>
        <v>01</v>
      </c>
      <c r="R640" s="2" t="str">
        <f t="shared" si="412"/>
        <v>00</v>
      </c>
      <c r="T640" t="str">
        <f t="shared" si="411"/>
        <v>0001001111000100</v>
      </c>
      <c r="V640" s="9" t="str">
        <f t="shared" si="413"/>
        <v>00010011</v>
      </c>
      <c r="W640" s="9" t="str">
        <f t="shared" si="414"/>
        <v>11000100</v>
      </c>
      <c r="X640" s="9" t="str">
        <f t="shared" si="415"/>
        <v>13</v>
      </c>
      <c r="Y640" s="9" t="str">
        <f t="shared" si="416"/>
        <v>C4</v>
      </c>
    </row>
    <row r="641" spans="1:36" x14ac:dyDescent="0.3">
      <c r="B641" s="2">
        <v>0</v>
      </c>
      <c r="C641" s="2">
        <v>0</v>
      </c>
      <c r="D641" s="2">
        <v>0</v>
      </c>
      <c r="E641" s="2">
        <v>1</v>
      </c>
      <c r="F641" s="2">
        <v>1</v>
      </c>
      <c r="G641" s="2">
        <v>0</v>
      </c>
      <c r="H641" s="2">
        <v>0</v>
      </c>
      <c r="I641" s="2">
        <v>0</v>
      </c>
      <c r="K641" s="2" t="str">
        <f t="shared" si="412"/>
        <v>00</v>
      </c>
      <c r="L641" s="2" t="str">
        <f t="shared" si="412"/>
        <v>00</v>
      </c>
      <c r="M641" s="2" t="str">
        <f t="shared" si="412"/>
        <v>00</v>
      </c>
      <c r="N641" s="2" t="str">
        <f t="shared" si="412"/>
        <v>01</v>
      </c>
      <c r="O641" s="2" t="str">
        <f t="shared" si="412"/>
        <v>01</v>
      </c>
      <c r="P641" s="2" t="str">
        <f t="shared" si="412"/>
        <v>00</v>
      </c>
      <c r="Q641" s="2" t="str">
        <f t="shared" si="412"/>
        <v>00</v>
      </c>
      <c r="R641" s="2" t="str">
        <f t="shared" si="412"/>
        <v>00</v>
      </c>
      <c r="T641" t="str">
        <f t="shared" si="411"/>
        <v>0000000101000000</v>
      </c>
      <c r="V641" s="9" t="str">
        <f t="shared" si="413"/>
        <v>00000001</v>
      </c>
      <c r="W641" s="9" t="str">
        <f t="shared" si="414"/>
        <v>01000000</v>
      </c>
      <c r="X641" s="9" t="str">
        <f t="shared" si="415"/>
        <v>01</v>
      </c>
      <c r="Y641" s="9" t="str">
        <f t="shared" si="416"/>
        <v>40</v>
      </c>
    </row>
    <row r="642" spans="1:36" x14ac:dyDescent="0.3">
      <c r="B642" s="2">
        <v>0</v>
      </c>
      <c r="C642" s="2">
        <v>0</v>
      </c>
      <c r="D642" s="2">
        <v>0</v>
      </c>
      <c r="E642" s="2">
        <v>3</v>
      </c>
      <c r="F642" s="2">
        <v>3</v>
      </c>
      <c r="G642" s="2">
        <v>0</v>
      </c>
      <c r="H642" s="2">
        <v>0</v>
      </c>
      <c r="I642" s="2">
        <v>0</v>
      </c>
      <c r="K642" s="2" t="str">
        <f t="shared" si="412"/>
        <v>00</v>
      </c>
      <c r="L642" s="2" t="str">
        <f t="shared" si="412"/>
        <v>00</v>
      </c>
      <c r="M642" s="2" t="str">
        <f t="shared" si="412"/>
        <v>00</v>
      </c>
      <c r="N642" s="2" t="str">
        <f t="shared" si="412"/>
        <v>11</v>
      </c>
      <c r="O642" s="2" t="str">
        <f t="shared" si="412"/>
        <v>11</v>
      </c>
      <c r="P642" s="2" t="str">
        <f t="shared" si="412"/>
        <v>00</v>
      </c>
      <c r="Q642" s="2" t="str">
        <f t="shared" si="412"/>
        <v>00</v>
      </c>
      <c r="R642" s="2" t="str">
        <f t="shared" si="412"/>
        <v>00</v>
      </c>
      <c r="T642" t="str">
        <f t="shared" si="411"/>
        <v>0000001111000000</v>
      </c>
      <c r="V642" s="9" t="str">
        <f t="shared" si="413"/>
        <v>00000011</v>
      </c>
      <c r="W642" s="9" t="str">
        <f t="shared" si="414"/>
        <v>11000000</v>
      </c>
      <c r="X642" s="9" t="str">
        <f t="shared" si="415"/>
        <v>03</v>
      </c>
      <c r="Y642" s="9" t="str">
        <f t="shared" si="416"/>
        <v>C0</v>
      </c>
    </row>
    <row r="643" spans="1:36" x14ac:dyDescent="0.3">
      <c r="B643" s="2">
        <v>0</v>
      </c>
      <c r="C643" s="2">
        <v>0</v>
      </c>
      <c r="D643" s="2">
        <v>3</v>
      </c>
      <c r="E643" s="2">
        <v>1</v>
      </c>
      <c r="F643" s="2">
        <v>1</v>
      </c>
      <c r="G643" s="2">
        <v>3</v>
      </c>
      <c r="H643" s="2">
        <v>0</v>
      </c>
      <c r="I643" s="2">
        <v>0</v>
      </c>
      <c r="K643" s="2" t="str">
        <f t="shared" si="412"/>
        <v>00</v>
      </c>
      <c r="L643" s="2" t="str">
        <f t="shared" si="412"/>
        <v>00</v>
      </c>
      <c r="M643" s="2" t="str">
        <f t="shared" si="412"/>
        <v>11</v>
      </c>
      <c r="N643" s="2" t="str">
        <f t="shared" si="412"/>
        <v>01</v>
      </c>
      <c r="O643" s="2" t="str">
        <f t="shared" si="412"/>
        <v>01</v>
      </c>
      <c r="P643" s="2" t="str">
        <f t="shared" si="412"/>
        <v>11</v>
      </c>
      <c r="Q643" s="2" t="str">
        <f t="shared" si="412"/>
        <v>00</v>
      </c>
      <c r="R643" s="2" t="str">
        <f t="shared" si="412"/>
        <v>00</v>
      </c>
      <c r="T643" t="str">
        <f t="shared" si="411"/>
        <v>0000110101110000</v>
      </c>
      <c r="V643" s="9" t="str">
        <f t="shared" si="413"/>
        <v>00001101</v>
      </c>
      <c r="W643" s="9" t="str">
        <f t="shared" si="414"/>
        <v>01110000</v>
      </c>
      <c r="X643" s="9" t="str">
        <f t="shared" si="415"/>
        <v>0D</v>
      </c>
      <c r="Y643" s="9" t="str">
        <f t="shared" si="416"/>
        <v>70</v>
      </c>
    </row>
    <row r="644" spans="1:36" x14ac:dyDescent="0.3">
      <c r="B644" s="2">
        <v>0</v>
      </c>
      <c r="C644" s="2">
        <v>0</v>
      </c>
      <c r="D644" s="2">
        <v>3</v>
      </c>
      <c r="E644" s="2">
        <v>0</v>
      </c>
      <c r="F644" s="2">
        <v>0</v>
      </c>
      <c r="G644" s="2">
        <v>3</v>
      </c>
      <c r="H644" s="2">
        <v>0</v>
      </c>
      <c r="I644" s="2">
        <v>0</v>
      </c>
      <c r="K644" s="2" t="str">
        <f t="shared" si="412"/>
        <v>00</v>
      </c>
      <c r="L644" s="2" t="str">
        <f t="shared" si="412"/>
        <v>00</v>
      </c>
      <c r="M644" s="2" t="str">
        <f t="shared" si="412"/>
        <v>11</v>
      </c>
      <c r="N644" s="2" t="str">
        <f t="shared" si="412"/>
        <v>00</v>
      </c>
      <c r="O644" s="2" t="str">
        <f t="shared" si="412"/>
        <v>00</v>
      </c>
      <c r="P644" s="2" t="str">
        <f t="shared" si="412"/>
        <v>11</v>
      </c>
      <c r="Q644" s="2" t="str">
        <f t="shared" si="412"/>
        <v>00</v>
      </c>
      <c r="R644" s="2" t="str">
        <f t="shared" si="412"/>
        <v>00</v>
      </c>
      <c r="T644" t="str">
        <f t="shared" si="411"/>
        <v>0000110000110000</v>
      </c>
      <c r="V644" s="9" t="str">
        <f t="shared" si="413"/>
        <v>00001100</v>
      </c>
      <c r="W644" s="9" t="str">
        <f t="shared" si="414"/>
        <v>00110000</v>
      </c>
      <c r="X644" s="9" t="str">
        <f t="shared" si="415"/>
        <v>0C</v>
      </c>
      <c r="Y644" s="9" t="str">
        <f t="shared" si="416"/>
        <v>30</v>
      </c>
    </row>
    <row r="645" spans="1:36" x14ac:dyDescent="0.3">
      <c r="B645" s="2">
        <v>0</v>
      </c>
      <c r="C645" s="2">
        <v>0</v>
      </c>
      <c r="D645" s="2">
        <v>3</v>
      </c>
      <c r="E645" s="2">
        <v>0</v>
      </c>
      <c r="F645" s="2">
        <v>0</v>
      </c>
      <c r="G645" s="2">
        <v>3</v>
      </c>
      <c r="H645" s="2">
        <v>0</v>
      </c>
      <c r="I645" s="2">
        <v>0</v>
      </c>
      <c r="K645" s="2" t="str">
        <f t="shared" si="412"/>
        <v>00</v>
      </c>
      <c r="L645" s="2" t="str">
        <f t="shared" si="412"/>
        <v>00</v>
      </c>
      <c r="M645" s="2" t="str">
        <f t="shared" si="412"/>
        <v>11</v>
      </c>
      <c r="N645" s="2" t="str">
        <f t="shared" si="412"/>
        <v>00</v>
      </c>
      <c r="O645" s="2" t="str">
        <f t="shared" si="412"/>
        <v>00</v>
      </c>
      <c r="P645" s="2" t="str">
        <f t="shared" si="412"/>
        <v>11</v>
      </c>
      <c r="Q645" s="2" t="str">
        <f t="shared" si="412"/>
        <v>00</v>
      </c>
      <c r="R645" s="2" t="str">
        <f t="shared" si="412"/>
        <v>00</v>
      </c>
      <c r="T645" t="str">
        <f t="shared" si="411"/>
        <v>0000110000110000</v>
      </c>
      <c r="V645" s="9" t="str">
        <f t="shared" si="413"/>
        <v>00001100</v>
      </c>
      <c r="W645" s="9" t="str">
        <f t="shared" si="414"/>
        <v>00110000</v>
      </c>
      <c r="X645" s="9" t="str">
        <f t="shared" si="415"/>
        <v>0C</v>
      </c>
      <c r="Y645" s="9" t="str">
        <f t="shared" si="416"/>
        <v>30</v>
      </c>
    </row>
    <row r="646" spans="1:36" x14ac:dyDescent="0.3">
      <c r="B646" s="2">
        <v>0</v>
      </c>
      <c r="C646" s="2">
        <v>1</v>
      </c>
      <c r="D646" s="2">
        <v>1</v>
      </c>
      <c r="E646" s="2">
        <v>0</v>
      </c>
      <c r="F646" s="2">
        <v>0</v>
      </c>
      <c r="G646" s="2">
        <v>1</v>
      </c>
      <c r="H646" s="2">
        <v>1</v>
      </c>
      <c r="I646" s="2">
        <v>0</v>
      </c>
      <c r="K646" s="2" t="str">
        <f t="shared" si="412"/>
        <v>00</v>
      </c>
      <c r="L646" s="2" t="str">
        <f t="shared" si="412"/>
        <v>01</v>
      </c>
      <c r="M646" s="2" t="str">
        <f t="shared" si="412"/>
        <v>01</v>
      </c>
      <c r="N646" s="2" t="str">
        <f t="shared" si="412"/>
        <v>00</v>
      </c>
      <c r="O646" s="2" t="str">
        <f t="shared" si="412"/>
        <v>00</v>
      </c>
      <c r="P646" s="2" t="str">
        <f t="shared" si="412"/>
        <v>01</v>
      </c>
      <c r="Q646" s="2" t="str">
        <f t="shared" si="412"/>
        <v>01</v>
      </c>
      <c r="R646" s="2" t="str">
        <f t="shared" si="412"/>
        <v>00</v>
      </c>
      <c r="T646" t="str">
        <f t="shared" si="411"/>
        <v>0001010000010100</v>
      </c>
      <c r="V646" s="10" t="str">
        <f t="shared" si="413"/>
        <v>00010100</v>
      </c>
      <c r="W646" s="10" t="str">
        <f t="shared" si="414"/>
        <v>00010100</v>
      </c>
      <c r="X646" s="10" t="str">
        <f t="shared" si="415"/>
        <v>14</v>
      </c>
      <c r="Y646" s="10" t="str">
        <f t="shared" si="416"/>
        <v>14</v>
      </c>
    </row>
    <row r="647" spans="1:36" x14ac:dyDescent="0.3">
      <c r="A647" t="s">
        <v>34</v>
      </c>
      <c r="AJ647" t="str">
        <f>";"&amp;PROPER(A647)</f>
        <v>;Rockford 6 (Wait 1)</v>
      </c>
    </row>
    <row r="648" spans="1:36" x14ac:dyDescent="0.3"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K648" s="2" t="str">
        <f t="shared" ref="K648:R663" si="418">DEC2BIN(B648,2)</f>
        <v>00</v>
      </c>
      <c r="L648" s="2" t="str">
        <f t="shared" si="418"/>
        <v>00</v>
      </c>
      <c r="M648" s="2" t="str">
        <f t="shared" si="418"/>
        <v>00</v>
      </c>
      <c r="N648" s="2" t="str">
        <f t="shared" si="418"/>
        <v>00</v>
      </c>
      <c r="O648" s="2" t="str">
        <f t="shared" si="418"/>
        <v>00</v>
      </c>
      <c r="P648" s="2" t="str">
        <f t="shared" si="418"/>
        <v>00</v>
      </c>
      <c r="Q648" s="2" t="str">
        <f t="shared" si="418"/>
        <v>00</v>
      </c>
      <c r="R648" s="2" t="str">
        <f t="shared" si="418"/>
        <v>00</v>
      </c>
      <c r="T648" t="str">
        <f t="shared" si="411"/>
        <v>0000000000000000</v>
      </c>
      <c r="V648" s="8" t="str">
        <f>LEFT(T648,8)</f>
        <v>00000000</v>
      </c>
      <c r="W648" s="8" t="str">
        <f>RIGHT(T648,8)</f>
        <v>00000000</v>
      </c>
      <c r="X648" s="8" t="str">
        <f>BIN2HEX(V648,2)</f>
        <v>00</v>
      </c>
      <c r="Y648" s="8" t="str">
        <f>BIN2HEX(W648,2)</f>
        <v>00</v>
      </c>
      <c r="AA648" t="str" cm="1">
        <f t="array" ref="AA648:AH648">TRANSPOSE(X648:X655)</f>
        <v>00</v>
      </c>
      <c r="AB648" t="str">
        <v>0C</v>
      </c>
      <c r="AC648" t="str">
        <v>0F</v>
      </c>
      <c r="AD648" t="str">
        <v>33</v>
      </c>
      <c r="AE648" t="str">
        <v>33</v>
      </c>
      <c r="AF648" t="str">
        <v>0F</v>
      </c>
      <c r="AG648" t="str">
        <v>03</v>
      </c>
      <c r="AH648" t="str">
        <v>07</v>
      </c>
      <c r="AJ648" t="str">
        <f>LOWER("!byte $"&amp;AA648&amp;", $"&amp;AB648&amp;", $"&amp;AC648&amp;", $"&amp;AD648&amp;", $"&amp;AE648&amp;", $"&amp;AF648&amp;", $"&amp;AG648&amp;", $"&amp;AH648)</f>
        <v>!byte $00, $0c, $0f, $33, $33, $0f, $03, $07</v>
      </c>
    </row>
    <row r="649" spans="1:36" x14ac:dyDescent="0.3">
      <c r="B649" s="2">
        <v>0</v>
      </c>
      <c r="C649" s="2">
        <v>0</v>
      </c>
      <c r="D649" s="2">
        <v>3</v>
      </c>
      <c r="E649" s="2">
        <v>0</v>
      </c>
      <c r="F649" s="2">
        <v>0</v>
      </c>
      <c r="G649" s="2">
        <v>3</v>
      </c>
      <c r="H649" s="2">
        <v>0</v>
      </c>
      <c r="I649" s="2">
        <v>0</v>
      </c>
      <c r="K649" s="2" t="str">
        <f t="shared" si="418"/>
        <v>00</v>
      </c>
      <c r="L649" s="2" t="str">
        <f t="shared" si="418"/>
        <v>00</v>
      </c>
      <c r="M649" s="2" t="str">
        <f t="shared" si="418"/>
        <v>11</v>
      </c>
      <c r="N649" s="2" t="str">
        <f t="shared" si="418"/>
        <v>00</v>
      </c>
      <c r="O649" s="2" t="str">
        <f t="shared" si="418"/>
        <v>00</v>
      </c>
      <c r="P649" s="2" t="str">
        <f t="shared" si="418"/>
        <v>11</v>
      </c>
      <c r="Q649" s="2" t="str">
        <f t="shared" si="418"/>
        <v>00</v>
      </c>
      <c r="R649" s="2" t="str">
        <f t="shared" si="418"/>
        <v>00</v>
      </c>
      <c r="T649" t="str">
        <f t="shared" si="411"/>
        <v>0000110000110000</v>
      </c>
      <c r="V649" s="9" t="str">
        <f t="shared" ref="V649:V663" si="419">LEFT(T649,8)</f>
        <v>00001100</v>
      </c>
      <c r="W649" s="9" t="str">
        <f t="shared" ref="W649:W663" si="420">RIGHT(T649,8)</f>
        <v>00110000</v>
      </c>
      <c r="X649" s="9" t="str">
        <f t="shared" ref="X649:X663" si="421">BIN2HEX(V649,2)</f>
        <v>0C</v>
      </c>
      <c r="Y649" s="9" t="str">
        <f t="shared" ref="Y649:Y663" si="422">BIN2HEX(W649,2)</f>
        <v>30</v>
      </c>
      <c r="AA649" t="str" cm="1">
        <f t="array" ref="AA649:AH649">TRANSPOSE(X656:X663)</f>
        <v>11</v>
      </c>
      <c r="AB649" t="str">
        <v>07</v>
      </c>
      <c r="AC649" t="str">
        <v>01</v>
      </c>
      <c r="AD649" t="str">
        <v>03</v>
      </c>
      <c r="AE649" t="str">
        <v>0D</v>
      </c>
      <c r="AF649" t="str">
        <v>0C</v>
      </c>
      <c r="AG649" t="str">
        <v>0C</v>
      </c>
      <c r="AH649" t="str">
        <v>14</v>
      </c>
      <c r="AJ649" t="str">
        <f t="shared" ref="AJ649:AJ651" si="423">LOWER("!byte $"&amp;AA649&amp;", $"&amp;AB649&amp;", $"&amp;AC649&amp;", $"&amp;AD649&amp;", $"&amp;AE649&amp;", $"&amp;AF649&amp;", $"&amp;AG649&amp;", $"&amp;AH649)</f>
        <v>!byte $11, $07, $01, $03, $0d, $0c, $0c, $14</v>
      </c>
    </row>
    <row r="650" spans="1:36" x14ac:dyDescent="0.3">
      <c r="B650" s="2">
        <v>0</v>
      </c>
      <c r="C650" s="2">
        <v>0</v>
      </c>
      <c r="D650" s="2">
        <v>3</v>
      </c>
      <c r="E650" s="2">
        <v>3</v>
      </c>
      <c r="F650" s="2">
        <v>3</v>
      </c>
      <c r="G650" s="2">
        <v>3</v>
      </c>
      <c r="H650" s="2">
        <v>0</v>
      </c>
      <c r="I650" s="2">
        <v>0</v>
      </c>
      <c r="K650" s="2" t="str">
        <f t="shared" si="418"/>
        <v>00</v>
      </c>
      <c r="L650" s="2" t="str">
        <f t="shared" si="418"/>
        <v>00</v>
      </c>
      <c r="M650" s="2" t="str">
        <f t="shared" si="418"/>
        <v>11</v>
      </c>
      <c r="N650" s="2" t="str">
        <f t="shared" si="418"/>
        <v>11</v>
      </c>
      <c r="O650" s="2" t="str">
        <f t="shared" si="418"/>
        <v>11</v>
      </c>
      <c r="P650" s="2" t="str">
        <f t="shared" si="418"/>
        <v>11</v>
      </c>
      <c r="Q650" s="2" t="str">
        <f t="shared" si="418"/>
        <v>00</v>
      </c>
      <c r="R650" s="2" t="str">
        <f t="shared" si="418"/>
        <v>00</v>
      </c>
      <c r="T650" t="str">
        <f t="shared" si="411"/>
        <v>0000111111110000</v>
      </c>
      <c r="V650" s="9" t="str">
        <f t="shared" si="419"/>
        <v>00001111</v>
      </c>
      <c r="W650" s="9" t="str">
        <f t="shared" si="420"/>
        <v>11110000</v>
      </c>
      <c r="X650" s="9" t="str">
        <f t="shared" si="421"/>
        <v>0F</v>
      </c>
      <c r="Y650" s="9" t="str">
        <f t="shared" si="422"/>
        <v>F0</v>
      </c>
      <c r="AA650" t="str" cm="1">
        <f t="array" ref="AA650:AH650">TRANSPOSE(Y648:Y655)</f>
        <v>00</v>
      </c>
      <c r="AB650" t="str">
        <v>30</v>
      </c>
      <c r="AC650" t="str">
        <v>F0</v>
      </c>
      <c r="AD650" t="str">
        <v>CC</v>
      </c>
      <c r="AE650" t="str">
        <v>CC</v>
      </c>
      <c r="AF650" t="str">
        <v>F0</v>
      </c>
      <c r="AG650" t="str">
        <v>C0</v>
      </c>
      <c r="AH650" t="str">
        <v>D0</v>
      </c>
      <c r="AJ650" t="str">
        <f t="shared" si="423"/>
        <v>!byte $00, $30, $f0, $cc, $cc, $f0, $c0, $d0</v>
      </c>
    </row>
    <row r="651" spans="1:36" x14ac:dyDescent="0.3">
      <c r="B651" s="2">
        <v>0</v>
      </c>
      <c r="C651" s="2">
        <v>3</v>
      </c>
      <c r="D651" s="2">
        <v>0</v>
      </c>
      <c r="E651" s="2">
        <v>3</v>
      </c>
      <c r="F651" s="2">
        <v>3</v>
      </c>
      <c r="G651" s="2">
        <v>0</v>
      </c>
      <c r="H651" s="2">
        <v>3</v>
      </c>
      <c r="I651" s="2">
        <v>0</v>
      </c>
      <c r="K651" s="2" t="str">
        <f t="shared" si="418"/>
        <v>00</v>
      </c>
      <c r="L651" s="2" t="str">
        <f t="shared" si="418"/>
        <v>11</v>
      </c>
      <c r="M651" s="2" t="str">
        <f t="shared" si="418"/>
        <v>00</v>
      </c>
      <c r="N651" s="2" t="str">
        <f t="shared" si="418"/>
        <v>11</v>
      </c>
      <c r="O651" s="2" t="str">
        <f t="shared" si="418"/>
        <v>11</v>
      </c>
      <c r="P651" s="2" t="str">
        <f t="shared" si="418"/>
        <v>00</v>
      </c>
      <c r="Q651" s="2" t="str">
        <f t="shared" si="418"/>
        <v>11</v>
      </c>
      <c r="R651" s="2" t="str">
        <f t="shared" si="418"/>
        <v>00</v>
      </c>
      <c r="T651" t="str">
        <f t="shared" si="411"/>
        <v>0011001111001100</v>
      </c>
      <c r="V651" s="9" t="str">
        <f t="shared" si="419"/>
        <v>00110011</v>
      </c>
      <c r="W651" s="9" t="str">
        <f t="shared" si="420"/>
        <v>11001100</v>
      </c>
      <c r="X651" s="9" t="str">
        <f t="shared" si="421"/>
        <v>33</v>
      </c>
      <c r="Y651" s="9" t="str">
        <f t="shared" si="422"/>
        <v>CC</v>
      </c>
      <c r="AA651" t="str" cm="1">
        <f t="array" ref="AA651:AH651">TRANSPOSE(Y656:Y663)</f>
        <v>44</v>
      </c>
      <c r="AB651" t="str">
        <v>D0</v>
      </c>
      <c r="AC651" t="str">
        <v>40</v>
      </c>
      <c r="AD651" t="str">
        <v>C0</v>
      </c>
      <c r="AE651" t="str">
        <v>70</v>
      </c>
      <c r="AF651" t="str">
        <v>30</v>
      </c>
      <c r="AG651" t="str">
        <v>30</v>
      </c>
      <c r="AH651" t="str">
        <v>14</v>
      </c>
      <c r="AJ651" t="str">
        <f t="shared" si="423"/>
        <v>!byte $44, $d0, $40, $c0, $70, $30, $30, $14</v>
      </c>
    </row>
    <row r="652" spans="1:36" x14ac:dyDescent="0.3">
      <c r="B652" s="2">
        <v>0</v>
      </c>
      <c r="C652" s="2">
        <v>3</v>
      </c>
      <c r="D652" s="2">
        <v>0</v>
      </c>
      <c r="E652" s="2">
        <v>3</v>
      </c>
      <c r="F652" s="2">
        <v>3</v>
      </c>
      <c r="G652" s="2">
        <v>0</v>
      </c>
      <c r="H652" s="2">
        <v>3</v>
      </c>
      <c r="I652" s="2">
        <v>0</v>
      </c>
      <c r="K652" s="2" t="str">
        <f t="shared" si="418"/>
        <v>00</v>
      </c>
      <c r="L652" s="2" t="str">
        <f t="shared" si="418"/>
        <v>11</v>
      </c>
      <c r="M652" s="2" t="str">
        <f t="shared" si="418"/>
        <v>00</v>
      </c>
      <c r="N652" s="2" t="str">
        <f t="shared" si="418"/>
        <v>11</v>
      </c>
      <c r="O652" s="2" t="str">
        <f t="shared" si="418"/>
        <v>11</v>
      </c>
      <c r="P652" s="2" t="str">
        <f t="shared" si="418"/>
        <v>00</v>
      </c>
      <c r="Q652" s="2" t="str">
        <f t="shared" si="418"/>
        <v>11</v>
      </c>
      <c r="R652" s="2" t="str">
        <f t="shared" si="418"/>
        <v>00</v>
      </c>
      <c r="T652" t="str">
        <f t="shared" si="411"/>
        <v>0011001111001100</v>
      </c>
      <c r="V652" s="9" t="str">
        <f t="shared" si="419"/>
        <v>00110011</v>
      </c>
      <c r="W652" s="9" t="str">
        <f t="shared" si="420"/>
        <v>11001100</v>
      </c>
      <c r="X652" s="9" t="str">
        <f t="shared" si="421"/>
        <v>33</v>
      </c>
      <c r="Y652" s="9" t="str">
        <f t="shared" si="422"/>
        <v>CC</v>
      </c>
    </row>
    <row r="653" spans="1:36" x14ac:dyDescent="0.3">
      <c r="B653" s="2">
        <v>0</v>
      </c>
      <c r="C653" s="2">
        <v>0</v>
      </c>
      <c r="D653" s="2">
        <v>3</v>
      </c>
      <c r="E653" s="2">
        <v>3</v>
      </c>
      <c r="F653" s="2">
        <v>3</v>
      </c>
      <c r="G653" s="2">
        <v>3</v>
      </c>
      <c r="H653" s="2">
        <v>0</v>
      </c>
      <c r="I653" s="2">
        <v>0</v>
      </c>
      <c r="K653" s="2" t="str">
        <f t="shared" si="418"/>
        <v>00</v>
      </c>
      <c r="L653" s="2" t="str">
        <f t="shared" si="418"/>
        <v>00</v>
      </c>
      <c r="M653" s="2" t="str">
        <f t="shared" si="418"/>
        <v>11</v>
      </c>
      <c r="N653" s="2" t="str">
        <f t="shared" si="418"/>
        <v>11</v>
      </c>
      <c r="O653" s="2" t="str">
        <f t="shared" si="418"/>
        <v>11</v>
      </c>
      <c r="P653" s="2" t="str">
        <f t="shared" si="418"/>
        <v>11</v>
      </c>
      <c r="Q653" s="2" t="str">
        <f t="shared" si="418"/>
        <v>00</v>
      </c>
      <c r="R653" s="2" t="str">
        <f t="shared" si="418"/>
        <v>00</v>
      </c>
      <c r="T653" t="str">
        <f t="shared" si="411"/>
        <v>0000111111110000</v>
      </c>
      <c r="V653" s="9" t="str">
        <f t="shared" si="419"/>
        <v>00001111</v>
      </c>
      <c r="W653" s="9" t="str">
        <f t="shared" si="420"/>
        <v>11110000</v>
      </c>
      <c r="X653" s="9" t="str">
        <f t="shared" si="421"/>
        <v>0F</v>
      </c>
      <c r="Y653" s="9" t="str">
        <f t="shared" si="422"/>
        <v>F0</v>
      </c>
    </row>
    <row r="654" spans="1:36" x14ac:dyDescent="0.3">
      <c r="B654" s="2">
        <v>0</v>
      </c>
      <c r="C654" s="2">
        <v>0</v>
      </c>
      <c r="D654" s="2">
        <v>0</v>
      </c>
      <c r="E654" s="2">
        <v>3</v>
      </c>
      <c r="F654" s="2">
        <v>3</v>
      </c>
      <c r="G654" s="2">
        <v>0</v>
      </c>
      <c r="H654" s="2">
        <v>0</v>
      </c>
      <c r="I654" s="2">
        <v>0</v>
      </c>
      <c r="K654" s="2" t="str">
        <f t="shared" si="418"/>
        <v>00</v>
      </c>
      <c r="L654" s="2" t="str">
        <f t="shared" si="418"/>
        <v>00</v>
      </c>
      <c r="M654" s="2" t="str">
        <f t="shared" si="418"/>
        <v>00</v>
      </c>
      <c r="N654" s="2" t="str">
        <f t="shared" si="418"/>
        <v>11</v>
      </c>
      <c r="O654" s="2" t="str">
        <f t="shared" si="418"/>
        <v>11</v>
      </c>
      <c r="P654" s="2" t="str">
        <f t="shared" si="418"/>
        <v>00</v>
      </c>
      <c r="Q654" s="2" t="str">
        <f t="shared" si="418"/>
        <v>00</v>
      </c>
      <c r="R654" s="2" t="str">
        <f t="shared" si="418"/>
        <v>00</v>
      </c>
      <c r="T654" t="str">
        <f t="shared" si="411"/>
        <v>0000001111000000</v>
      </c>
      <c r="V654" s="9" t="str">
        <f t="shared" si="419"/>
        <v>00000011</v>
      </c>
      <c r="W654" s="9" t="str">
        <f t="shared" si="420"/>
        <v>11000000</v>
      </c>
      <c r="X654" s="9" t="str">
        <f t="shared" si="421"/>
        <v>03</v>
      </c>
      <c r="Y654" s="9" t="str">
        <f t="shared" si="422"/>
        <v>C0</v>
      </c>
    </row>
    <row r="655" spans="1:36" x14ac:dyDescent="0.3">
      <c r="B655" s="2">
        <v>0</v>
      </c>
      <c r="C655" s="2">
        <v>0</v>
      </c>
      <c r="D655" s="2">
        <v>1</v>
      </c>
      <c r="E655" s="2">
        <v>3</v>
      </c>
      <c r="F655" s="2">
        <v>3</v>
      </c>
      <c r="G655" s="2">
        <v>1</v>
      </c>
      <c r="H655" s="2">
        <v>0</v>
      </c>
      <c r="I655" s="2">
        <v>0</v>
      </c>
      <c r="K655" s="2" t="str">
        <f t="shared" si="418"/>
        <v>00</v>
      </c>
      <c r="L655" s="2" t="str">
        <f t="shared" si="418"/>
        <v>00</v>
      </c>
      <c r="M655" s="2" t="str">
        <f t="shared" si="418"/>
        <v>01</v>
      </c>
      <c r="N655" s="2" t="str">
        <f t="shared" si="418"/>
        <v>11</v>
      </c>
      <c r="O655" s="2" t="str">
        <f t="shared" si="418"/>
        <v>11</v>
      </c>
      <c r="P655" s="2" t="str">
        <f t="shared" si="418"/>
        <v>01</v>
      </c>
      <c r="Q655" s="2" t="str">
        <f t="shared" si="418"/>
        <v>00</v>
      </c>
      <c r="R655" s="2" t="str">
        <f t="shared" si="418"/>
        <v>00</v>
      </c>
      <c r="T655" t="str">
        <f t="shared" si="411"/>
        <v>0000011111010000</v>
      </c>
      <c r="V655" s="10" t="str">
        <f t="shared" si="419"/>
        <v>00000111</v>
      </c>
      <c r="W655" s="10" t="str">
        <f t="shared" si="420"/>
        <v>11010000</v>
      </c>
      <c r="X655" s="10" t="str">
        <f t="shared" si="421"/>
        <v>07</v>
      </c>
      <c r="Y655" s="10" t="str">
        <f t="shared" si="422"/>
        <v>D0</v>
      </c>
    </row>
    <row r="656" spans="1:36" x14ac:dyDescent="0.3">
      <c r="B656" s="2">
        <v>0</v>
      </c>
      <c r="C656" s="2">
        <v>1</v>
      </c>
      <c r="D656" s="2">
        <v>0</v>
      </c>
      <c r="E656" s="2">
        <v>1</v>
      </c>
      <c r="F656" s="2">
        <v>1</v>
      </c>
      <c r="G656" s="2">
        <v>0</v>
      </c>
      <c r="H656" s="2">
        <v>1</v>
      </c>
      <c r="I656" s="2">
        <v>0</v>
      </c>
      <c r="K656" s="2" t="str">
        <f t="shared" si="418"/>
        <v>00</v>
      </c>
      <c r="L656" s="2" t="str">
        <f t="shared" si="418"/>
        <v>01</v>
      </c>
      <c r="M656" s="2" t="str">
        <f t="shared" si="418"/>
        <v>00</v>
      </c>
      <c r="N656" s="2" t="str">
        <f t="shared" si="418"/>
        <v>01</v>
      </c>
      <c r="O656" s="2" t="str">
        <f t="shared" si="418"/>
        <v>01</v>
      </c>
      <c r="P656" s="2" t="str">
        <f t="shared" si="418"/>
        <v>00</v>
      </c>
      <c r="Q656" s="2" t="str">
        <f t="shared" si="418"/>
        <v>01</v>
      </c>
      <c r="R656" s="2" t="str">
        <f t="shared" si="418"/>
        <v>00</v>
      </c>
      <c r="T656" t="str">
        <f t="shared" si="411"/>
        <v>0001000101000100</v>
      </c>
      <c r="V656" s="8" t="str">
        <f t="shared" si="419"/>
        <v>00010001</v>
      </c>
      <c r="W656" s="8" t="str">
        <f t="shared" si="420"/>
        <v>01000100</v>
      </c>
      <c r="X656" s="8" t="str">
        <f t="shared" si="421"/>
        <v>11</v>
      </c>
      <c r="Y656" s="8" t="str">
        <f t="shared" si="422"/>
        <v>44</v>
      </c>
    </row>
    <row r="657" spans="1:36" x14ac:dyDescent="0.3">
      <c r="B657" s="2">
        <v>0</v>
      </c>
      <c r="C657" s="2">
        <v>0</v>
      </c>
      <c r="D657" s="2">
        <v>1</v>
      </c>
      <c r="E657" s="2">
        <v>3</v>
      </c>
      <c r="F657" s="2">
        <v>3</v>
      </c>
      <c r="G657" s="2">
        <v>1</v>
      </c>
      <c r="H657" s="2">
        <v>0</v>
      </c>
      <c r="I657" s="2">
        <v>0</v>
      </c>
      <c r="K657" s="2" t="str">
        <f t="shared" si="418"/>
        <v>00</v>
      </c>
      <c r="L657" s="2" t="str">
        <f t="shared" si="418"/>
        <v>00</v>
      </c>
      <c r="M657" s="2" t="str">
        <f t="shared" si="418"/>
        <v>01</v>
      </c>
      <c r="N657" s="2" t="str">
        <f t="shared" si="418"/>
        <v>11</v>
      </c>
      <c r="O657" s="2" t="str">
        <f t="shared" si="418"/>
        <v>11</v>
      </c>
      <c r="P657" s="2" t="str">
        <f t="shared" si="418"/>
        <v>01</v>
      </c>
      <c r="Q657" s="2" t="str">
        <f t="shared" si="418"/>
        <v>00</v>
      </c>
      <c r="R657" s="2" t="str">
        <f t="shared" si="418"/>
        <v>00</v>
      </c>
      <c r="T657" t="str">
        <f t="shared" si="411"/>
        <v>0000011111010000</v>
      </c>
      <c r="V657" s="9" t="str">
        <f t="shared" si="419"/>
        <v>00000111</v>
      </c>
      <c r="W657" s="9" t="str">
        <f t="shared" si="420"/>
        <v>11010000</v>
      </c>
      <c r="X657" s="9" t="str">
        <f t="shared" si="421"/>
        <v>07</v>
      </c>
      <c r="Y657" s="9" t="str">
        <f t="shared" si="422"/>
        <v>D0</v>
      </c>
    </row>
    <row r="658" spans="1:36" x14ac:dyDescent="0.3">
      <c r="B658" s="2">
        <v>0</v>
      </c>
      <c r="C658" s="2">
        <v>0</v>
      </c>
      <c r="D658" s="2">
        <v>0</v>
      </c>
      <c r="E658" s="2">
        <v>1</v>
      </c>
      <c r="F658" s="2">
        <v>1</v>
      </c>
      <c r="G658" s="2">
        <v>0</v>
      </c>
      <c r="H658" s="2">
        <v>0</v>
      </c>
      <c r="I658" s="2">
        <v>0</v>
      </c>
      <c r="K658" s="2" t="str">
        <f t="shared" si="418"/>
        <v>00</v>
      </c>
      <c r="L658" s="2" t="str">
        <f t="shared" si="418"/>
        <v>00</v>
      </c>
      <c r="M658" s="2" t="str">
        <f t="shared" si="418"/>
        <v>00</v>
      </c>
      <c r="N658" s="2" t="str">
        <f t="shared" si="418"/>
        <v>01</v>
      </c>
      <c r="O658" s="2" t="str">
        <f t="shared" si="418"/>
        <v>01</v>
      </c>
      <c r="P658" s="2" t="str">
        <f t="shared" si="418"/>
        <v>00</v>
      </c>
      <c r="Q658" s="2" t="str">
        <f t="shared" si="418"/>
        <v>00</v>
      </c>
      <c r="R658" s="2" t="str">
        <f t="shared" si="418"/>
        <v>00</v>
      </c>
      <c r="T658" t="str">
        <f t="shared" si="411"/>
        <v>0000000101000000</v>
      </c>
      <c r="V658" s="9" t="str">
        <f t="shared" si="419"/>
        <v>00000001</v>
      </c>
      <c r="W658" s="9" t="str">
        <f t="shared" si="420"/>
        <v>01000000</v>
      </c>
      <c r="X658" s="9" t="str">
        <f t="shared" si="421"/>
        <v>01</v>
      </c>
      <c r="Y658" s="9" t="str">
        <f t="shared" si="422"/>
        <v>40</v>
      </c>
    </row>
    <row r="659" spans="1:36" x14ac:dyDescent="0.3">
      <c r="B659" s="2">
        <v>0</v>
      </c>
      <c r="C659" s="2">
        <v>0</v>
      </c>
      <c r="D659" s="2">
        <v>0</v>
      </c>
      <c r="E659" s="2">
        <v>3</v>
      </c>
      <c r="F659" s="2">
        <v>3</v>
      </c>
      <c r="G659" s="2">
        <v>0</v>
      </c>
      <c r="H659" s="2">
        <v>0</v>
      </c>
      <c r="I659" s="2">
        <v>0</v>
      </c>
      <c r="K659" s="2" t="str">
        <f t="shared" si="418"/>
        <v>00</v>
      </c>
      <c r="L659" s="2" t="str">
        <f t="shared" si="418"/>
        <v>00</v>
      </c>
      <c r="M659" s="2" t="str">
        <f t="shared" si="418"/>
        <v>00</v>
      </c>
      <c r="N659" s="2" t="str">
        <f t="shared" si="418"/>
        <v>11</v>
      </c>
      <c r="O659" s="2" t="str">
        <f t="shared" si="418"/>
        <v>11</v>
      </c>
      <c r="P659" s="2" t="str">
        <f t="shared" si="418"/>
        <v>00</v>
      </c>
      <c r="Q659" s="2" t="str">
        <f t="shared" si="418"/>
        <v>00</v>
      </c>
      <c r="R659" s="2" t="str">
        <f t="shared" si="418"/>
        <v>00</v>
      </c>
      <c r="T659" t="str">
        <f t="shared" si="411"/>
        <v>0000001111000000</v>
      </c>
      <c r="V659" s="9" t="str">
        <f t="shared" si="419"/>
        <v>00000011</v>
      </c>
      <c r="W659" s="9" t="str">
        <f t="shared" si="420"/>
        <v>11000000</v>
      </c>
      <c r="X659" s="9" t="str">
        <f t="shared" si="421"/>
        <v>03</v>
      </c>
      <c r="Y659" s="9" t="str">
        <f t="shared" si="422"/>
        <v>C0</v>
      </c>
    </row>
    <row r="660" spans="1:36" x14ac:dyDescent="0.3">
      <c r="B660" s="2">
        <v>0</v>
      </c>
      <c r="C660" s="2">
        <v>0</v>
      </c>
      <c r="D660" s="2">
        <v>3</v>
      </c>
      <c r="E660" s="2">
        <v>1</v>
      </c>
      <c r="F660" s="2">
        <v>1</v>
      </c>
      <c r="G660" s="2">
        <v>3</v>
      </c>
      <c r="H660" s="2">
        <v>0</v>
      </c>
      <c r="I660" s="2">
        <v>0</v>
      </c>
      <c r="K660" s="2" t="str">
        <f t="shared" si="418"/>
        <v>00</v>
      </c>
      <c r="L660" s="2" t="str">
        <f t="shared" si="418"/>
        <v>00</v>
      </c>
      <c r="M660" s="2" t="str">
        <f t="shared" si="418"/>
        <v>11</v>
      </c>
      <c r="N660" s="2" t="str">
        <f t="shared" si="418"/>
        <v>01</v>
      </c>
      <c r="O660" s="2" t="str">
        <f t="shared" si="418"/>
        <v>01</v>
      </c>
      <c r="P660" s="2" t="str">
        <f t="shared" si="418"/>
        <v>11</v>
      </c>
      <c r="Q660" s="2" t="str">
        <f t="shared" si="418"/>
        <v>00</v>
      </c>
      <c r="R660" s="2" t="str">
        <f t="shared" si="418"/>
        <v>00</v>
      </c>
      <c r="T660" t="str">
        <f t="shared" si="411"/>
        <v>0000110101110000</v>
      </c>
      <c r="V660" s="9" t="str">
        <f t="shared" si="419"/>
        <v>00001101</v>
      </c>
      <c r="W660" s="9" t="str">
        <f t="shared" si="420"/>
        <v>01110000</v>
      </c>
      <c r="X660" s="9" t="str">
        <f t="shared" si="421"/>
        <v>0D</v>
      </c>
      <c r="Y660" s="9" t="str">
        <f t="shared" si="422"/>
        <v>70</v>
      </c>
    </row>
    <row r="661" spans="1:36" x14ac:dyDescent="0.3">
      <c r="B661" s="2">
        <v>0</v>
      </c>
      <c r="C661" s="2">
        <v>0</v>
      </c>
      <c r="D661" s="2">
        <v>3</v>
      </c>
      <c r="E661" s="2">
        <v>0</v>
      </c>
      <c r="F661" s="2">
        <v>0</v>
      </c>
      <c r="G661" s="2">
        <v>3</v>
      </c>
      <c r="H661" s="2">
        <v>0</v>
      </c>
      <c r="I661" s="2">
        <v>0</v>
      </c>
      <c r="K661" s="2" t="str">
        <f t="shared" si="418"/>
        <v>00</v>
      </c>
      <c r="L661" s="2" t="str">
        <f t="shared" si="418"/>
        <v>00</v>
      </c>
      <c r="M661" s="2" t="str">
        <f t="shared" si="418"/>
        <v>11</v>
      </c>
      <c r="N661" s="2" t="str">
        <f t="shared" si="418"/>
        <v>00</v>
      </c>
      <c r="O661" s="2" t="str">
        <f t="shared" si="418"/>
        <v>00</v>
      </c>
      <c r="P661" s="2" t="str">
        <f t="shared" si="418"/>
        <v>11</v>
      </c>
      <c r="Q661" s="2" t="str">
        <f t="shared" si="418"/>
        <v>00</v>
      </c>
      <c r="R661" s="2" t="str">
        <f t="shared" si="418"/>
        <v>00</v>
      </c>
      <c r="T661" t="str">
        <f t="shared" si="411"/>
        <v>0000110000110000</v>
      </c>
      <c r="V661" s="9" t="str">
        <f t="shared" si="419"/>
        <v>00001100</v>
      </c>
      <c r="W661" s="9" t="str">
        <f t="shared" si="420"/>
        <v>00110000</v>
      </c>
      <c r="X661" s="9" t="str">
        <f t="shared" si="421"/>
        <v>0C</v>
      </c>
      <c r="Y661" s="9" t="str">
        <f t="shared" si="422"/>
        <v>30</v>
      </c>
    </row>
    <row r="662" spans="1:36" x14ac:dyDescent="0.3">
      <c r="B662" s="2">
        <v>0</v>
      </c>
      <c r="C662" s="2">
        <v>0</v>
      </c>
      <c r="D662" s="2">
        <v>3</v>
      </c>
      <c r="E662" s="2">
        <v>0</v>
      </c>
      <c r="F662" s="2">
        <v>0</v>
      </c>
      <c r="G662" s="2">
        <v>3</v>
      </c>
      <c r="H662" s="2">
        <v>0</v>
      </c>
      <c r="I662" s="2">
        <v>0</v>
      </c>
      <c r="K662" s="2" t="str">
        <f t="shared" si="418"/>
        <v>00</v>
      </c>
      <c r="L662" s="2" t="str">
        <f t="shared" si="418"/>
        <v>00</v>
      </c>
      <c r="M662" s="2" t="str">
        <f t="shared" si="418"/>
        <v>11</v>
      </c>
      <c r="N662" s="2" t="str">
        <f t="shared" si="418"/>
        <v>00</v>
      </c>
      <c r="O662" s="2" t="str">
        <f t="shared" si="418"/>
        <v>00</v>
      </c>
      <c r="P662" s="2" t="str">
        <f t="shared" si="418"/>
        <v>11</v>
      </c>
      <c r="Q662" s="2" t="str">
        <f t="shared" si="418"/>
        <v>00</v>
      </c>
      <c r="R662" s="2" t="str">
        <f t="shared" si="418"/>
        <v>00</v>
      </c>
      <c r="T662" t="str">
        <f t="shared" si="411"/>
        <v>0000110000110000</v>
      </c>
      <c r="V662" s="9" t="str">
        <f t="shared" si="419"/>
        <v>00001100</v>
      </c>
      <c r="W662" s="9" t="str">
        <f t="shared" si="420"/>
        <v>00110000</v>
      </c>
      <c r="X662" s="9" t="str">
        <f t="shared" si="421"/>
        <v>0C</v>
      </c>
      <c r="Y662" s="9" t="str">
        <f t="shared" si="422"/>
        <v>30</v>
      </c>
    </row>
    <row r="663" spans="1:36" x14ac:dyDescent="0.3">
      <c r="B663" s="2">
        <v>0</v>
      </c>
      <c r="C663" s="2">
        <v>1</v>
      </c>
      <c r="D663" s="2">
        <v>1</v>
      </c>
      <c r="E663" s="2">
        <v>0</v>
      </c>
      <c r="F663" s="2">
        <v>0</v>
      </c>
      <c r="G663" s="2">
        <v>1</v>
      </c>
      <c r="H663" s="2">
        <v>1</v>
      </c>
      <c r="I663" s="2">
        <v>0</v>
      </c>
      <c r="K663" s="2" t="str">
        <f t="shared" si="418"/>
        <v>00</v>
      </c>
      <c r="L663" s="2" t="str">
        <f t="shared" si="418"/>
        <v>01</v>
      </c>
      <c r="M663" s="2" t="str">
        <f t="shared" si="418"/>
        <v>01</v>
      </c>
      <c r="N663" s="2" t="str">
        <f t="shared" si="418"/>
        <v>00</v>
      </c>
      <c r="O663" s="2" t="str">
        <f t="shared" si="418"/>
        <v>00</v>
      </c>
      <c r="P663" s="2" t="str">
        <f t="shared" si="418"/>
        <v>01</v>
      </c>
      <c r="Q663" s="2" t="str">
        <f t="shared" si="418"/>
        <v>01</v>
      </c>
      <c r="R663" s="2" t="str">
        <f t="shared" si="418"/>
        <v>00</v>
      </c>
      <c r="T663" t="str">
        <f t="shared" si="411"/>
        <v>0001010000010100</v>
      </c>
      <c r="V663" s="10" t="str">
        <f t="shared" si="419"/>
        <v>00010100</v>
      </c>
      <c r="W663" s="10" t="str">
        <f t="shared" si="420"/>
        <v>00010100</v>
      </c>
      <c r="X663" s="10" t="str">
        <f t="shared" si="421"/>
        <v>14</v>
      </c>
      <c r="Y663" s="10" t="str">
        <f t="shared" si="422"/>
        <v>14</v>
      </c>
    </row>
    <row r="664" spans="1:36" x14ac:dyDescent="0.3">
      <c r="A664" t="s">
        <v>35</v>
      </c>
      <c r="AJ664" t="str">
        <f>";"&amp;PROPER(A664)</f>
        <v>;Rockford 7 (Wait 2)</v>
      </c>
    </row>
    <row r="665" spans="1:36" x14ac:dyDescent="0.3"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K665" s="2" t="str">
        <f t="shared" ref="K665:R680" si="424">DEC2BIN(B665,2)</f>
        <v>00</v>
      </c>
      <c r="L665" s="2" t="str">
        <f t="shared" si="424"/>
        <v>00</v>
      </c>
      <c r="M665" s="2" t="str">
        <f t="shared" si="424"/>
        <v>00</v>
      </c>
      <c r="N665" s="2" t="str">
        <f t="shared" si="424"/>
        <v>00</v>
      </c>
      <c r="O665" s="2" t="str">
        <f t="shared" si="424"/>
        <v>00</v>
      </c>
      <c r="P665" s="2" t="str">
        <f t="shared" si="424"/>
        <v>00</v>
      </c>
      <c r="Q665" s="2" t="str">
        <f t="shared" si="424"/>
        <v>00</v>
      </c>
      <c r="R665" s="2" t="str">
        <f t="shared" si="424"/>
        <v>00</v>
      </c>
      <c r="T665" t="str">
        <f t="shared" si="411"/>
        <v>0000000000000000</v>
      </c>
      <c r="V665" s="8" t="str">
        <f>LEFT(T665,8)</f>
        <v>00000000</v>
      </c>
      <c r="W665" s="8" t="str">
        <f>RIGHT(T665,8)</f>
        <v>00000000</v>
      </c>
      <c r="X665" s="8" t="str">
        <f>BIN2HEX(V665,2)</f>
        <v>00</v>
      </c>
      <c r="Y665" s="8" t="str">
        <f>BIN2HEX(W665,2)</f>
        <v>00</v>
      </c>
      <c r="AA665" t="str" cm="1">
        <f t="array" ref="AA665:AH665">TRANSPOSE(X665:X672)</f>
        <v>00</v>
      </c>
      <c r="AB665" t="str">
        <v>0C</v>
      </c>
      <c r="AC665" t="str">
        <v>0F</v>
      </c>
      <c r="AD665" t="str">
        <v>33</v>
      </c>
      <c r="AE665" t="str">
        <v>33</v>
      </c>
      <c r="AF665" t="str">
        <v>0F</v>
      </c>
      <c r="AG665" t="str">
        <v>03</v>
      </c>
      <c r="AH665" t="str">
        <v>07</v>
      </c>
      <c r="AJ665" t="str">
        <f>LOWER("!byte $"&amp;AA665&amp;", $"&amp;AB665&amp;", $"&amp;AC665&amp;", $"&amp;AD665&amp;", $"&amp;AE665&amp;", $"&amp;AF665&amp;", $"&amp;AG665&amp;", $"&amp;AH665)</f>
        <v>!byte $00, $0c, $0f, $33, $33, $0f, $03, $07</v>
      </c>
    </row>
    <row r="666" spans="1:36" x14ac:dyDescent="0.3">
      <c r="B666" s="2">
        <v>0</v>
      </c>
      <c r="C666" s="2">
        <v>0</v>
      </c>
      <c r="D666" s="2">
        <v>3</v>
      </c>
      <c r="E666" s="2">
        <v>0</v>
      </c>
      <c r="F666" s="2">
        <v>0</v>
      </c>
      <c r="G666" s="2">
        <v>3</v>
      </c>
      <c r="H666" s="2">
        <v>0</v>
      </c>
      <c r="I666" s="2">
        <v>0</v>
      </c>
      <c r="K666" s="2" t="str">
        <f t="shared" si="424"/>
        <v>00</v>
      </c>
      <c r="L666" s="2" t="str">
        <f t="shared" si="424"/>
        <v>00</v>
      </c>
      <c r="M666" s="2" t="str">
        <f t="shared" si="424"/>
        <v>11</v>
      </c>
      <c r="N666" s="2" t="str">
        <f t="shared" si="424"/>
        <v>00</v>
      </c>
      <c r="O666" s="2" t="str">
        <f t="shared" si="424"/>
        <v>00</v>
      </c>
      <c r="P666" s="2" t="str">
        <f t="shared" si="424"/>
        <v>11</v>
      </c>
      <c r="Q666" s="2" t="str">
        <f t="shared" si="424"/>
        <v>00</v>
      </c>
      <c r="R666" s="2" t="str">
        <f t="shared" si="424"/>
        <v>00</v>
      </c>
      <c r="T666" t="str">
        <f t="shared" si="411"/>
        <v>0000110000110000</v>
      </c>
      <c r="V666" s="9" t="str">
        <f t="shared" ref="V666:V680" si="425">LEFT(T666,8)</f>
        <v>00001100</v>
      </c>
      <c r="W666" s="9" t="str">
        <f t="shared" ref="W666:W680" si="426">RIGHT(T666,8)</f>
        <v>00110000</v>
      </c>
      <c r="X666" s="9" t="str">
        <f t="shared" ref="X666:X680" si="427">BIN2HEX(V666,2)</f>
        <v>0C</v>
      </c>
      <c r="Y666" s="9" t="str">
        <f t="shared" ref="Y666:Y680" si="428">BIN2HEX(W666,2)</f>
        <v>30</v>
      </c>
      <c r="AA666" t="str" cm="1">
        <f t="array" ref="AA666:AH666">TRANSPOSE(X673:X680)</f>
        <v>11</v>
      </c>
      <c r="AB666" t="str">
        <v>07</v>
      </c>
      <c r="AC666" t="str">
        <v>01</v>
      </c>
      <c r="AD666" t="str">
        <v>03</v>
      </c>
      <c r="AE666" t="str">
        <v>0D</v>
      </c>
      <c r="AF666" t="str">
        <v>0C</v>
      </c>
      <c r="AG666" t="str">
        <v>14</v>
      </c>
      <c r="AH666" t="str">
        <v>00</v>
      </c>
      <c r="AJ666" t="str">
        <f t="shared" ref="AJ666:AJ668" si="429">LOWER("!byte $"&amp;AA666&amp;", $"&amp;AB666&amp;", $"&amp;AC666&amp;", $"&amp;AD666&amp;", $"&amp;AE666&amp;", $"&amp;AF666&amp;", $"&amp;AG666&amp;", $"&amp;AH666)</f>
        <v>!byte $11, $07, $01, $03, $0d, $0c, $14, $00</v>
      </c>
    </row>
    <row r="667" spans="1:36" x14ac:dyDescent="0.3">
      <c r="B667" s="2">
        <v>0</v>
      </c>
      <c r="C667" s="2">
        <v>0</v>
      </c>
      <c r="D667" s="2">
        <v>3</v>
      </c>
      <c r="E667" s="2">
        <v>3</v>
      </c>
      <c r="F667" s="2">
        <v>3</v>
      </c>
      <c r="G667" s="2">
        <v>3</v>
      </c>
      <c r="H667" s="2">
        <v>0</v>
      </c>
      <c r="I667" s="2">
        <v>0</v>
      </c>
      <c r="K667" s="2" t="str">
        <f t="shared" si="424"/>
        <v>00</v>
      </c>
      <c r="L667" s="2" t="str">
        <f t="shared" si="424"/>
        <v>00</v>
      </c>
      <c r="M667" s="2" t="str">
        <f t="shared" si="424"/>
        <v>11</v>
      </c>
      <c r="N667" s="2" t="str">
        <f t="shared" si="424"/>
        <v>11</v>
      </c>
      <c r="O667" s="2" t="str">
        <f t="shared" si="424"/>
        <v>11</v>
      </c>
      <c r="P667" s="2" t="str">
        <f t="shared" si="424"/>
        <v>11</v>
      </c>
      <c r="Q667" s="2" t="str">
        <f t="shared" si="424"/>
        <v>00</v>
      </c>
      <c r="R667" s="2" t="str">
        <f t="shared" si="424"/>
        <v>00</v>
      </c>
      <c r="T667" t="str">
        <f t="shared" si="411"/>
        <v>0000111111110000</v>
      </c>
      <c r="V667" s="9" t="str">
        <f t="shared" si="425"/>
        <v>00001111</v>
      </c>
      <c r="W667" s="9" t="str">
        <f t="shared" si="426"/>
        <v>11110000</v>
      </c>
      <c r="X667" s="9" t="str">
        <f t="shared" si="427"/>
        <v>0F</v>
      </c>
      <c r="Y667" s="9" t="str">
        <f t="shared" si="428"/>
        <v>F0</v>
      </c>
      <c r="AA667" t="str" cm="1">
        <f t="array" ref="AA667:AH667">TRANSPOSE(Y665:Y672)</f>
        <v>00</v>
      </c>
      <c r="AB667" t="str">
        <v>30</v>
      </c>
      <c r="AC667" t="str">
        <v>F0</v>
      </c>
      <c r="AD667" t="str">
        <v>CC</v>
      </c>
      <c r="AE667" t="str">
        <v>CC</v>
      </c>
      <c r="AF667" t="str">
        <v>F0</v>
      </c>
      <c r="AG667" t="str">
        <v>C0</v>
      </c>
      <c r="AH667" t="str">
        <v>D0</v>
      </c>
      <c r="AJ667" t="str">
        <f t="shared" si="429"/>
        <v>!byte $00, $30, $f0, $cc, $cc, $f0, $c0, $d0</v>
      </c>
    </row>
    <row r="668" spans="1:36" x14ac:dyDescent="0.3">
      <c r="B668" s="2">
        <v>0</v>
      </c>
      <c r="C668" s="2">
        <v>3</v>
      </c>
      <c r="D668" s="2">
        <v>0</v>
      </c>
      <c r="E668" s="2">
        <v>3</v>
      </c>
      <c r="F668" s="2">
        <v>3</v>
      </c>
      <c r="G668" s="2">
        <v>0</v>
      </c>
      <c r="H668" s="2">
        <v>3</v>
      </c>
      <c r="I668" s="2">
        <v>0</v>
      </c>
      <c r="K668" s="2" t="str">
        <f t="shared" si="424"/>
        <v>00</v>
      </c>
      <c r="L668" s="2" t="str">
        <f t="shared" si="424"/>
        <v>11</v>
      </c>
      <c r="M668" s="2" t="str">
        <f t="shared" si="424"/>
        <v>00</v>
      </c>
      <c r="N668" s="2" t="str">
        <f t="shared" si="424"/>
        <v>11</v>
      </c>
      <c r="O668" s="2" t="str">
        <f t="shared" si="424"/>
        <v>11</v>
      </c>
      <c r="P668" s="2" t="str">
        <f t="shared" si="424"/>
        <v>00</v>
      </c>
      <c r="Q668" s="2" t="str">
        <f t="shared" si="424"/>
        <v>11</v>
      </c>
      <c r="R668" s="2" t="str">
        <f t="shared" si="424"/>
        <v>00</v>
      </c>
      <c r="T668" t="str">
        <f t="shared" si="411"/>
        <v>0011001111001100</v>
      </c>
      <c r="V668" s="9" t="str">
        <f t="shared" si="425"/>
        <v>00110011</v>
      </c>
      <c r="W668" s="9" t="str">
        <f t="shared" si="426"/>
        <v>11001100</v>
      </c>
      <c r="X668" s="9" t="str">
        <f t="shared" si="427"/>
        <v>33</v>
      </c>
      <c r="Y668" s="9" t="str">
        <f t="shared" si="428"/>
        <v>CC</v>
      </c>
      <c r="AA668" t="str" cm="1">
        <f t="array" ref="AA668:AH668">TRANSPOSE(Y673:Y680)</f>
        <v>44</v>
      </c>
      <c r="AB668" t="str">
        <v>D0</v>
      </c>
      <c r="AC668" t="str">
        <v>40</v>
      </c>
      <c r="AD668" t="str">
        <v>C0</v>
      </c>
      <c r="AE668" t="str">
        <v>70</v>
      </c>
      <c r="AF668" t="str">
        <v>30</v>
      </c>
      <c r="AG668" t="str">
        <v>30</v>
      </c>
      <c r="AH668" t="str">
        <v>14</v>
      </c>
      <c r="AJ668" t="str">
        <f t="shared" si="429"/>
        <v>!byte $44, $d0, $40, $c0, $70, $30, $30, $14</v>
      </c>
    </row>
    <row r="669" spans="1:36" x14ac:dyDescent="0.3">
      <c r="B669" s="2">
        <v>0</v>
      </c>
      <c r="C669" s="2">
        <v>3</v>
      </c>
      <c r="D669" s="2">
        <v>0</v>
      </c>
      <c r="E669" s="2">
        <v>3</v>
      </c>
      <c r="F669" s="2">
        <v>3</v>
      </c>
      <c r="G669" s="2">
        <v>0</v>
      </c>
      <c r="H669" s="2">
        <v>3</v>
      </c>
      <c r="I669" s="2">
        <v>0</v>
      </c>
      <c r="K669" s="2" t="str">
        <f t="shared" si="424"/>
        <v>00</v>
      </c>
      <c r="L669" s="2" t="str">
        <f t="shared" si="424"/>
        <v>11</v>
      </c>
      <c r="M669" s="2" t="str">
        <f t="shared" si="424"/>
        <v>00</v>
      </c>
      <c r="N669" s="2" t="str">
        <f t="shared" si="424"/>
        <v>11</v>
      </c>
      <c r="O669" s="2" t="str">
        <f t="shared" si="424"/>
        <v>11</v>
      </c>
      <c r="P669" s="2" t="str">
        <f t="shared" si="424"/>
        <v>00</v>
      </c>
      <c r="Q669" s="2" t="str">
        <f t="shared" si="424"/>
        <v>11</v>
      </c>
      <c r="R669" s="2" t="str">
        <f t="shared" si="424"/>
        <v>00</v>
      </c>
      <c r="T669" t="str">
        <f t="shared" si="411"/>
        <v>0011001111001100</v>
      </c>
      <c r="V669" s="9" t="str">
        <f t="shared" si="425"/>
        <v>00110011</v>
      </c>
      <c r="W669" s="9" t="str">
        <f t="shared" si="426"/>
        <v>11001100</v>
      </c>
      <c r="X669" s="9" t="str">
        <f t="shared" si="427"/>
        <v>33</v>
      </c>
      <c r="Y669" s="9" t="str">
        <f t="shared" si="428"/>
        <v>CC</v>
      </c>
    </row>
    <row r="670" spans="1:36" x14ac:dyDescent="0.3">
      <c r="B670" s="2">
        <v>0</v>
      </c>
      <c r="C670" s="2">
        <v>0</v>
      </c>
      <c r="D670" s="2">
        <v>3</v>
      </c>
      <c r="E670" s="2">
        <v>3</v>
      </c>
      <c r="F670" s="2">
        <v>3</v>
      </c>
      <c r="G670" s="2">
        <v>3</v>
      </c>
      <c r="H670" s="2">
        <v>0</v>
      </c>
      <c r="I670" s="2">
        <v>0</v>
      </c>
      <c r="K670" s="2" t="str">
        <f t="shared" si="424"/>
        <v>00</v>
      </c>
      <c r="L670" s="2" t="str">
        <f t="shared" si="424"/>
        <v>00</v>
      </c>
      <c r="M670" s="2" t="str">
        <f t="shared" si="424"/>
        <v>11</v>
      </c>
      <c r="N670" s="2" t="str">
        <f t="shared" si="424"/>
        <v>11</v>
      </c>
      <c r="O670" s="2" t="str">
        <f t="shared" si="424"/>
        <v>11</v>
      </c>
      <c r="P670" s="2" t="str">
        <f t="shared" si="424"/>
        <v>11</v>
      </c>
      <c r="Q670" s="2" t="str">
        <f t="shared" si="424"/>
        <v>00</v>
      </c>
      <c r="R670" s="2" t="str">
        <f t="shared" si="424"/>
        <v>00</v>
      </c>
      <c r="T670" t="str">
        <f t="shared" si="411"/>
        <v>0000111111110000</v>
      </c>
      <c r="V670" s="9" t="str">
        <f t="shared" si="425"/>
        <v>00001111</v>
      </c>
      <c r="W670" s="9" t="str">
        <f t="shared" si="426"/>
        <v>11110000</v>
      </c>
      <c r="X670" s="9" t="str">
        <f t="shared" si="427"/>
        <v>0F</v>
      </c>
      <c r="Y670" s="9" t="str">
        <f t="shared" si="428"/>
        <v>F0</v>
      </c>
    </row>
    <row r="671" spans="1:36" x14ac:dyDescent="0.3">
      <c r="B671" s="2">
        <v>0</v>
      </c>
      <c r="C671" s="2">
        <v>0</v>
      </c>
      <c r="D671" s="2">
        <v>0</v>
      </c>
      <c r="E671" s="2">
        <v>3</v>
      </c>
      <c r="F671" s="2">
        <v>3</v>
      </c>
      <c r="G671" s="2">
        <v>0</v>
      </c>
      <c r="H671" s="2">
        <v>0</v>
      </c>
      <c r="I671" s="2">
        <v>0</v>
      </c>
      <c r="K671" s="2" t="str">
        <f t="shared" si="424"/>
        <v>00</v>
      </c>
      <c r="L671" s="2" t="str">
        <f t="shared" si="424"/>
        <v>00</v>
      </c>
      <c r="M671" s="2" t="str">
        <f t="shared" si="424"/>
        <v>00</v>
      </c>
      <c r="N671" s="2" t="str">
        <f t="shared" si="424"/>
        <v>11</v>
      </c>
      <c r="O671" s="2" t="str">
        <f t="shared" si="424"/>
        <v>11</v>
      </c>
      <c r="P671" s="2" t="str">
        <f t="shared" si="424"/>
        <v>00</v>
      </c>
      <c r="Q671" s="2" t="str">
        <f t="shared" si="424"/>
        <v>00</v>
      </c>
      <c r="R671" s="2" t="str">
        <f t="shared" si="424"/>
        <v>00</v>
      </c>
      <c r="T671" t="str">
        <f t="shared" si="411"/>
        <v>0000001111000000</v>
      </c>
      <c r="V671" s="9" t="str">
        <f t="shared" si="425"/>
        <v>00000011</v>
      </c>
      <c r="W671" s="9" t="str">
        <f t="shared" si="426"/>
        <v>11000000</v>
      </c>
      <c r="X671" s="9" t="str">
        <f t="shared" si="427"/>
        <v>03</v>
      </c>
      <c r="Y671" s="9" t="str">
        <f t="shared" si="428"/>
        <v>C0</v>
      </c>
    </row>
    <row r="672" spans="1:36" x14ac:dyDescent="0.3">
      <c r="B672" s="2">
        <v>0</v>
      </c>
      <c r="C672" s="2">
        <v>0</v>
      </c>
      <c r="D672" s="2">
        <v>1</v>
      </c>
      <c r="E672" s="2">
        <v>3</v>
      </c>
      <c r="F672" s="2">
        <v>3</v>
      </c>
      <c r="G672" s="2">
        <v>1</v>
      </c>
      <c r="H672" s="2">
        <v>0</v>
      </c>
      <c r="I672" s="2">
        <v>0</v>
      </c>
      <c r="K672" s="2" t="str">
        <f t="shared" si="424"/>
        <v>00</v>
      </c>
      <c r="L672" s="2" t="str">
        <f t="shared" si="424"/>
        <v>00</v>
      </c>
      <c r="M672" s="2" t="str">
        <f t="shared" si="424"/>
        <v>01</v>
      </c>
      <c r="N672" s="2" t="str">
        <f t="shared" si="424"/>
        <v>11</v>
      </c>
      <c r="O672" s="2" t="str">
        <f t="shared" si="424"/>
        <v>11</v>
      </c>
      <c r="P672" s="2" t="str">
        <f t="shared" si="424"/>
        <v>01</v>
      </c>
      <c r="Q672" s="2" t="str">
        <f t="shared" si="424"/>
        <v>00</v>
      </c>
      <c r="R672" s="2" t="str">
        <f t="shared" si="424"/>
        <v>00</v>
      </c>
      <c r="T672" t="str">
        <f t="shared" si="411"/>
        <v>0000011111010000</v>
      </c>
      <c r="V672" s="10" t="str">
        <f t="shared" si="425"/>
        <v>00000111</v>
      </c>
      <c r="W672" s="10" t="str">
        <f t="shared" si="426"/>
        <v>11010000</v>
      </c>
      <c r="X672" s="10" t="str">
        <f t="shared" si="427"/>
        <v>07</v>
      </c>
      <c r="Y672" s="10" t="str">
        <f t="shared" si="428"/>
        <v>D0</v>
      </c>
    </row>
    <row r="673" spans="1:36" x14ac:dyDescent="0.3">
      <c r="B673" s="2">
        <v>0</v>
      </c>
      <c r="C673" s="2">
        <v>1</v>
      </c>
      <c r="D673" s="2">
        <v>0</v>
      </c>
      <c r="E673" s="2">
        <v>1</v>
      </c>
      <c r="F673" s="2">
        <v>1</v>
      </c>
      <c r="G673" s="2">
        <v>0</v>
      </c>
      <c r="H673" s="2">
        <v>1</v>
      </c>
      <c r="I673" s="2">
        <v>0</v>
      </c>
      <c r="K673" s="2" t="str">
        <f t="shared" si="424"/>
        <v>00</v>
      </c>
      <c r="L673" s="2" t="str">
        <f t="shared" si="424"/>
        <v>01</v>
      </c>
      <c r="M673" s="2" t="str">
        <f t="shared" si="424"/>
        <v>00</v>
      </c>
      <c r="N673" s="2" t="str">
        <f t="shared" si="424"/>
        <v>01</v>
      </c>
      <c r="O673" s="2" t="str">
        <f t="shared" si="424"/>
        <v>01</v>
      </c>
      <c r="P673" s="2" t="str">
        <f t="shared" si="424"/>
        <v>00</v>
      </c>
      <c r="Q673" s="2" t="str">
        <f t="shared" si="424"/>
        <v>01</v>
      </c>
      <c r="R673" s="2" t="str">
        <f t="shared" si="424"/>
        <v>00</v>
      </c>
      <c r="T673" t="str">
        <f t="shared" si="411"/>
        <v>0001000101000100</v>
      </c>
      <c r="V673" s="8" t="str">
        <f t="shared" si="425"/>
        <v>00010001</v>
      </c>
      <c r="W673" s="8" t="str">
        <f t="shared" si="426"/>
        <v>01000100</v>
      </c>
      <c r="X673" s="8" t="str">
        <f t="shared" si="427"/>
        <v>11</v>
      </c>
      <c r="Y673" s="8" t="str">
        <f t="shared" si="428"/>
        <v>44</v>
      </c>
    </row>
    <row r="674" spans="1:36" x14ac:dyDescent="0.3">
      <c r="B674" s="2">
        <v>0</v>
      </c>
      <c r="C674" s="2">
        <v>0</v>
      </c>
      <c r="D674" s="2">
        <v>1</v>
      </c>
      <c r="E674" s="2">
        <v>3</v>
      </c>
      <c r="F674" s="2">
        <v>3</v>
      </c>
      <c r="G674" s="2">
        <v>1</v>
      </c>
      <c r="H674" s="2">
        <v>0</v>
      </c>
      <c r="I674" s="2">
        <v>0</v>
      </c>
      <c r="K674" s="2" t="str">
        <f t="shared" si="424"/>
        <v>00</v>
      </c>
      <c r="L674" s="2" t="str">
        <f t="shared" si="424"/>
        <v>00</v>
      </c>
      <c r="M674" s="2" t="str">
        <f t="shared" si="424"/>
        <v>01</v>
      </c>
      <c r="N674" s="2" t="str">
        <f t="shared" si="424"/>
        <v>11</v>
      </c>
      <c r="O674" s="2" t="str">
        <f t="shared" si="424"/>
        <v>11</v>
      </c>
      <c r="P674" s="2" t="str">
        <f t="shared" si="424"/>
        <v>01</v>
      </c>
      <c r="Q674" s="2" t="str">
        <f t="shared" si="424"/>
        <v>00</v>
      </c>
      <c r="R674" s="2" t="str">
        <f t="shared" si="424"/>
        <v>00</v>
      </c>
      <c r="T674" t="str">
        <f t="shared" si="411"/>
        <v>0000011111010000</v>
      </c>
      <c r="V674" s="9" t="str">
        <f t="shared" si="425"/>
        <v>00000111</v>
      </c>
      <c r="W674" s="9" t="str">
        <f t="shared" si="426"/>
        <v>11010000</v>
      </c>
      <c r="X674" s="9" t="str">
        <f t="shared" si="427"/>
        <v>07</v>
      </c>
      <c r="Y674" s="9" t="str">
        <f t="shared" si="428"/>
        <v>D0</v>
      </c>
    </row>
    <row r="675" spans="1:36" x14ac:dyDescent="0.3">
      <c r="B675" s="2">
        <v>0</v>
      </c>
      <c r="C675" s="2">
        <v>0</v>
      </c>
      <c r="D675" s="2">
        <v>0</v>
      </c>
      <c r="E675" s="2">
        <v>1</v>
      </c>
      <c r="F675" s="2">
        <v>1</v>
      </c>
      <c r="G675" s="2">
        <v>0</v>
      </c>
      <c r="H675" s="2">
        <v>0</v>
      </c>
      <c r="I675" s="2">
        <v>0</v>
      </c>
      <c r="K675" s="2" t="str">
        <f t="shared" si="424"/>
        <v>00</v>
      </c>
      <c r="L675" s="2" t="str">
        <f t="shared" si="424"/>
        <v>00</v>
      </c>
      <c r="M675" s="2" t="str">
        <f t="shared" si="424"/>
        <v>00</v>
      </c>
      <c r="N675" s="2" t="str">
        <f t="shared" si="424"/>
        <v>01</v>
      </c>
      <c r="O675" s="2" t="str">
        <f t="shared" si="424"/>
        <v>01</v>
      </c>
      <c r="P675" s="2" t="str">
        <f t="shared" si="424"/>
        <v>00</v>
      </c>
      <c r="Q675" s="2" t="str">
        <f t="shared" si="424"/>
        <v>00</v>
      </c>
      <c r="R675" s="2" t="str">
        <f t="shared" si="424"/>
        <v>00</v>
      </c>
      <c r="T675" t="str">
        <f t="shared" si="411"/>
        <v>0000000101000000</v>
      </c>
      <c r="V675" s="9" t="str">
        <f t="shared" si="425"/>
        <v>00000001</v>
      </c>
      <c r="W675" s="9" t="str">
        <f t="shared" si="426"/>
        <v>01000000</v>
      </c>
      <c r="X675" s="9" t="str">
        <f t="shared" si="427"/>
        <v>01</v>
      </c>
      <c r="Y675" s="9" t="str">
        <f t="shared" si="428"/>
        <v>40</v>
      </c>
    </row>
    <row r="676" spans="1:36" x14ac:dyDescent="0.3">
      <c r="B676" s="2">
        <v>0</v>
      </c>
      <c r="C676" s="2">
        <v>0</v>
      </c>
      <c r="D676" s="2">
        <v>0</v>
      </c>
      <c r="E676" s="2">
        <v>3</v>
      </c>
      <c r="F676" s="2">
        <v>3</v>
      </c>
      <c r="G676" s="2">
        <v>0</v>
      </c>
      <c r="H676" s="2">
        <v>0</v>
      </c>
      <c r="I676" s="2">
        <v>0</v>
      </c>
      <c r="K676" s="2" t="str">
        <f t="shared" si="424"/>
        <v>00</v>
      </c>
      <c r="L676" s="2" t="str">
        <f t="shared" si="424"/>
        <v>00</v>
      </c>
      <c r="M676" s="2" t="str">
        <f t="shared" si="424"/>
        <v>00</v>
      </c>
      <c r="N676" s="2" t="str">
        <f t="shared" si="424"/>
        <v>11</v>
      </c>
      <c r="O676" s="2" t="str">
        <f t="shared" si="424"/>
        <v>11</v>
      </c>
      <c r="P676" s="2" t="str">
        <f t="shared" si="424"/>
        <v>00</v>
      </c>
      <c r="Q676" s="2" t="str">
        <f t="shared" si="424"/>
        <v>00</v>
      </c>
      <c r="R676" s="2" t="str">
        <f t="shared" si="424"/>
        <v>00</v>
      </c>
      <c r="T676" t="str">
        <f t="shared" si="411"/>
        <v>0000001111000000</v>
      </c>
      <c r="V676" s="9" t="str">
        <f t="shared" si="425"/>
        <v>00000011</v>
      </c>
      <c r="W676" s="9" t="str">
        <f t="shared" si="426"/>
        <v>11000000</v>
      </c>
      <c r="X676" s="9" t="str">
        <f t="shared" si="427"/>
        <v>03</v>
      </c>
      <c r="Y676" s="9" t="str">
        <f t="shared" si="428"/>
        <v>C0</v>
      </c>
    </row>
    <row r="677" spans="1:36" x14ac:dyDescent="0.3">
      <c r="B677" s="2">
        <v>0</v>
      </c>
      <c r="C677" s="2">
        <v>0</v>
      </c>
      <c r="D677" s="2">
        <v>3</v>
      </c>
      <c r="E677" s="2">
        <v>1</v>
      </c>
      <c r="F677" s="2">
        <v>1</v>
      </c>
      <c r="G677" s="2">
        <v>3</v>
      </c>
      <c r="H677" s="2">
        <v>0</v>
      </c>
      <c r="I677" s="2">
        <v>0</v>
      </c>
      <c r="K677" s="2" t="str">
        <f t="shared" si="424"/>
        <v>00</v>
      </c>
      <c r="L677" s="2" t="str">
        <f t="shared" si="424"/>
        <v>00</v>
      </c>
      <c r="M677" s="2" t="str">
        <f t="shared" si="424"/>
        <v>11</v>
      </c>
      <c r="N677" s="2" t="str">
        <f t="shared" si="424"/>
        <v>01</v>
      </c>
      <c r="O677" s="2" t="str">
        <f t="shared" si="424"/>
        <v>01</v>
      </c>
      <c r="P677" s="2" t="str">
        <f t="shared" si="424"/>
        <v>11</v>
      </c>
      <c r="Q677" s="2" t="str">
        <f t="shared" si="424"/>
        <v>00</v>
      </c>
      <c r="R677" s="2" t="str">
        <f t="shared" si="424"/>
        <v>00</v>
      </c>
      <c r="T677" t="str">
        <f t="shared" si="411"/>
        <v>0000110101110000</v>
      </c>
      <c r="V677" s="9" t="str">
        <f t="shared" si="425"/>
        <v>00001101</v>
      </c>
      <c r="W677" s="9" t="str">
        <f t="shared" si="426"/>
        <v>01110000</v>
      </c>
      <c r="X677" s="9" t="str">
        <f t="shared" si="427"/>
        <v>0D</v>
      </c>
      <c r="Y677" s="9" t="str">
        <f t="shared" si="428"/>
        <v>70</v>
      </c>
    </row>
    <row r="678" spans="1:36" x14ac:dyDescent="0.3">
      <c r="B678" s="2">
        <v>0</v>
      </c>
      <c r="C678" s="2">
        <v>0</v>
      </c>
      <c r="D678" s="2">
        <v>3</v>
      </c>
      <c r="E678" s="2">
        <v>0</v>
      </c>
      <c r="F678" s="2">
        <v>0</v>
      </c>
      <c r="G678" s="2">
        <v>3</v>
      </c>
      <c r="H678" s="2">
        <v>0</v>
      </c>
      <c r="I678" s="2">
        <v>0</v>
      </c>
      <c r="K678" s="2" t="str">
        <f t="shared" si="424"/>
        <v>00</v>
      </c>
      <c r="L678" s="2" t="str">
        <f t="shared" si="424"/>
        <v>00</v>
      </c>
      <c r="M678" s="2" t="str">
        <f t="shared" si="424"/>
        <v>11</v>
      </c>
      <c r="N678" s="2" t="str">
        <f t="shared" si="424"/>
        <v>00</v>
      </c>
      <c r="O678" s="2" t="str">
        <f t="shared" si="424"/>
        <v>00</v>
      </c>
      <c r="P678" s="2" t="str">
        <f t="shared" si="424"/>
        <v>11</v>
      </c>
      <c r="Q678" s="2" t="str">
        <f t="shared" si="424"/>
        <v>00</v>
      </c>
      <c r="R678" s="2" t="str">
        <f t="shared" si="424"/>
        <v>00</v>
      </c>
      <c r="T678" t="str">
        <f t="shared" si="411"/>
        <v>0000110000110000</v>
      </c>
      <c r="V678" s="9" t="str">
        <f t="shared" si="425"/>
        <v>00001100</v>
      </c>
      <c r="W678" s="9" t="str">
        <f t="shared" si="426"/>
        <v>00110000</v>
      </c>
      <c r="X678" s="9" t="str">
        <f t="shared" si="427"/>
        <v>0C</v>
      </c>
      <c r="Y678" s="9" t="str">
        <f t="shared" si="428"/>
        <v>30</v>
      </c>
    </row>
    <row r="679" spans="1:36" x14ac:dyDescent="0.3">
      <c r="B679" s="2">
        <v>0</v>
      </c>
      <c r="C679" s="2">
        <v>1</v>
      </c>
      <c r="D679" s="2">
        <v>1</v>
      </c>
      <c r="E679" s="2">
        <v>0</v>
      </c>
      <c r="F679" s="2">
        <v>0</v>
      </c>
      <c r="G679" s="2">
        <v>3</v>
      </c>
      <c r="H679" s="2">
        <v>0</v>
      </c>
      <c r="I679" s="2">
        <v>0</v>
      </c>
      <c r="K679" s="2" t="str">
        <f t="shared" si="424"/>
        <v>00</v>
      </c>
      <c r="L679" s="2" t="str">
        <f t="shared" si="424"/>
        <v>01</v>
      </c>
      <c r="M679" s="2" t="str">
        <f t="shared" si="424"/>
        <v>01</v>
      </c>
      <c r="N679" s="2" t="str">
        <f t="shared" si="424"/>
        <v>00</v>
      </c>
      <c r="O679" s="2" t="str">
        <f t="shared" si="424"/>
        <v>00</v>
      </c>
      <c r="P679" s="2" t="str">
        <f t="shared" si="424"/>
        <v>11</v>
      </c>
      <c r="Q679" s="2" t="str">
        <f t="shared" si="424"/>
        <v>00</v>
      </c>
      <c r="R679" s="2" t="str">
        <f t="shared" si="424"/>
        <v>00</v>
      </c>
      <c r="T679" t="str">
        <f t="shared" si="411"/>
        <v>0001010000110000</v>
      </c>
      <c r="V679" s="9" t="str">
        <f t="shared" si="425"/>
        <v>00010100</v>
      </c>
      <c r="W679" s="9" t="str">
        <f t="shared" si="426"/>
        <v>00110000</v>
      </c>
      <c r="X679" s="9" t="str">
        <f t="shared" si="427"/>
        <v>14</v>
      </c>
      <c r="Y679" s="9" t="str">
        <f t="shared" si="428"/>
        <v>30</v>
      </c>
    </row>
    <row r="680" spans="1:36" x14ac:dyDescent="0.3"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1</v>
      </c>
      <c r="H680" s="2">
        <v>1</v>
      </c>
      <c r="I680" s="2">
        <v>0</v>
      </c>
      <c r="K680" s="2" t="str">
        <f t="shared" si="424"/>
        <v>00</v>
      </c>
      <c r="L680" s="2" t="str">
        <f t="shared" si="424"/>
        <v>00</v>
      </c>
      <c r="M680" s="2" t="str">
        <f t="shared" si="424"/>
        <v>00</v>
      </c>
      <c r="N680" s="2" t="str">
        <f t="shared" si="424"/>
        <v>00</v>
      </c>
      <c r="O680" s="2" t="str">
        <f t="shared" si="424"/>
        <v>00</v>
      </c>
      <c r="P680" s="2" t="str">
        <f t="shared" si="424"/>
        <v>01</v>
      </c>
      <c r="Q680" s="2" t="str">
        <f t="shared" si="424"/>
        <v>01</v>
      </c>
      <c r="R680" s="2" t="str">
        <f t="shared" si="424"/>
        <v>00</v>
      </c>
      <c r="T680" t="str">
        <f t="shared" si="411"/>
        <v>0000000000010100</v>
      </c>
      <c r="V680" s="10" t="str">
        <f t="shared" si="425"/>
        <v>00000000</v>
      </c>
      <c r="W680" s="10" t="str">
        <f t="shared" si="426"/>
        <v>00010100</v>
      </c>
      <c r="X680" s="10" t="str">
        <f t="shared" si="427"/>
        <v>00</v>
      </c>
      <c r="Y680" s="10" t="str">
        <f t="shared" si="428"/>
        <v>14</v>
      </c>
    </row>
    <row r="681" spans="1:36" x14ac:dyDescent="0.3">
      <c r="A681" t="s">
        <v>36</v>
      </c>
      <c r="AJ681" t="str">
        <f>";"&amp;PROPER(A681)</f>
        <v>;Rockford 8 (Wait 3)</v>
      </c>
    </row>
    <row r="682" spans="1:36" x14ac:dyDescent="0.3"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K682" s="2" t="str">
        <f t="shared" ref="K682:R697" si="430">DEC2BIN(B682,2)</f>
        <v>00</v>
      </c>
      <c r="L682" s="2" t="str">
        <f t="shared" si="430"/>
        <v>00</v>
      </c>
      <c r="M682" s="2" t="str">
        <f t="shared" si="430"/>
        <v>00</v>
      </c>
      <c r="N682" s="2" t="str">
        <f t="shared" si="430"/>
        <v>00</v>
      </c>
      <c r="O682" s="2" t="str">
        <f t="shared" si="430"/>
        <v>00</v>
      </c>
      <c r="P682" s="2" t="str">
        <f t="shared" si="430"/>
        <v>00</v>
      </c>
      <c r="Q682" s="2" t="str">
        <f t="shared" si="430"/>
        <v>00</v>
      </c>
      <c r="R682" s="2" t="str">
        <f t="shared" si="430"/>
        <v>00</v>
      </c>
      <c r="T682" t="str">
        <f t="shared" si="411"/>
        <v>0000000000000000</v>
      </c>
      <c r="V682" s="8" t="str">
        <f>LEFT(T682,8)</f>
        <v>00000000</v>
      </c>
      <c r="W682" s="8" t="str">
        <f>RIGHT(T682,8)</f>
        <v>00000000</v>
      </c>
      <c r="X682" s="8" t="str">
        <f>BIN2HEX(V682,2)</f>
        <v>00</v>
      </c>
      <c r="Y682" s="8" t="str">
        <f>BIN2HEX(W682,2)</f>
        <v>00</v>
      </c>
      <c r="AA682" t="str" cm="1">
        <f t="array" ref="AA682:AH682">TRANSPOSE(X682:X689)</f>
        <v>00</v>
      </c>
      <c r="AB682" t="str">
        <v>0C</v>
      </c>
      <c r="AC682" t="str">
        <v>0F</v>
      </c>
      <c r="AD682" t="str">
        <v>3F</v>
      </c>
      <c r="AE682" t="str">
        <v>33</v>
      </c>
      <c r="AF682" t="str">
        <v>0F</v>
      </c>
      <c r="AG682" t="str">
        <v>03</v>
      </c>
      <c r="AH682" t="str">
        <v>07</v>
      </c>
      <c r="AJ682" t="str">
        <f>LOWER("!byte $"&amp;AA682&amp;", $"&amp;AB682&amp;", $"&amp;AC682&amp;", $"&amp;AD682&amp;", $"&amp;AE682&amp;", $"&amp;AF682&amp;", $"&amp;AG682&amp;", $"&amp;AH682)</f>
        <v>!byte $00, $0c, $0f, $3f, $33, $0f, $03, $07</v>
      </c>
    </row>
    <row r="683" spans="1:36" x14ac:dyDescent="0.3">
      <c r="B683" s="2">
        <v>0</v>
      </c>
      <c r="C683" s="2">
        <v>0</v>
      </c>
      <c r="D683" s="2">
        <v>3</v>
      </c>
      <c r="E683" s="2">
        <v>0</v>
      </c>
      <c r="F683" s="2">
        <v>0</v>
      </c>
      <c r="G683" s="2">
        <v>3</v>
      </c>
      <c r="H683" s="2">
        <v>0</v>
      </c>
      <c r="I683" s="2">
        <v>0</v>
      </c>
      <c r="K683" s="2" t="str">
        <f t="shared" si="430"/>
        <v>00</v>
      </c>
      <c r="L683" s="2" t="str">
        <f t="shared" si="430"/>
        <v>00</v>
      </c>
      <c r="M683" s="2" t="str">
        <f t="shared" si="430"/>
        <v>11</v>
      </c>
      <c r="N683" s="2" t="str">
        <f t="shared" si="430"/>
        <v>00</v>
      </c>
      <c r="O683" s="2" t="str">
        <f t="shared" si="430"/>
        <v>00</v>
      </c>
      <c r="P683" s="2" t="str">
        <f t="shared" si="430"/>
        <v>11</v>
      </c>
      <c r="Q683" s="2" t="str">
        <f t="shared" si="430"/>
        <v>00</v>
      </c>
      <c r="R683" s="2" t="str">
        <f t="shared" si="430"/>
        <v>00</v>
      </c>
      <c r="T683" t="str">
        <f t="shared" si="411"/>
        <v>0000110000110000</v>
      </c>
      <c r="V683" s="9" t="str">
        <f t="shared" ref="V683:V697" si="431">LEFT(T683,8)</f>
        <v>00001100</v>
      </c>
      <c r="W683" s="9" t="str">
        <f t="shared" ref="W683:W697" si="432">RIGHT(T683,8)</f>
        <v>00110000</v>
      </c>
      <c r="X683" s="9" t="str">
        <f t="shared" ref="X683:X697" si="433">BIN2HEX(V683,2)</f>
        <v>0C</v>
      </c>
      <c r="Y683" s="9" t="str">
        <f t="shared" ref="Y683:Y697" si="434">BIN2HEX(W683,2)</f>
        <v>30</v>
      </c>
      <c r="AA683" t="str" cm="1">
        <f t="array" ref="AA683:AH683">TRANSPOSE(X690:X697)</f>
        <v>11</v>
      </c>
      <c r="AB683" t="str">
        <v>07</v>
      </c>
      <c r="AC683" t="str">
        <v>01</v>
      </c>
      <c r="AD683" t="str">
        <v>03</v>
      </c>
      <c r="AE683" t="str">
        <v>0D</v>
      </c>
      <c r="AF683" t="str">
        <v>0C</v>
      </c>
      <c r="AG683" t="str">
        <v>0C</v>
      </c>
      <c r="AH683" t="str">
        <v>14</v>
      </c>
      <c r="AJ683" t="str">
        <f t="shared" ref="AJ683:AJ685" si="435">LOWER("!byte $"&amp;AA683&amp;", $"&amp;AB683&amp;", $"&amp;AC683&amp;", $"&amp;AD683&amp;", $"&amp;AE683&amp;", $"&amp;AF683&amp;", $"&amp;AG683&amp;", $"&amp;AH683)</f>
        <v>!byte $11, $07, $01, $03, $0d, $0c, $0c, $14</v>
      </c>
    </row>
    <row r="684" spans="1:36" x14ac:dyDescent="0.3">
      <c r="B684" s="2">
        <v>0</v>
      </c>
      <c r="C684" s="2">
        <v>0</v>
      </c>
      <c r="D684" s="2">
        <v>3</v>
      </c>
      <c r="E684" s="2">
        <v>3</v>
      </c>
      <c r="F684" s="2">
        <v>3</v>
      </c>
      <c r="G684" s="2">
        <v>3</v>
      </c>
      <c r="H684" s="2">
        <v>0</v>
      </c>
      <c r="I684" s="2">
        <v>0</v>
      </c>
      <c r="K684" s="2" t="str">
        <f t="shared" si="430"/>
        <v>00</v>
      </c>
      <c r="L684" s="2" t="str">
        <f t="shared" si="430"/>
        <v>00</v>
      </c>
      <c r="M684" s="2" t="str">
        <f t="shared" si="430"/>
        <v>11</v>
      </c>
      <c r="N684" s="2" t="str">
        <f t="shared" si="430"/>
        <v>11</v>
      </c>
      <c r="O684" s="2" t="str">
        <f t="shared" si="430"/>
        <v>11</v>
      </c>
      <c r="P684" s="2" t="str">
        <f t="shared" si="430"/>
        <v>11</v>
      </c>
      <c r="Q684" s="2" t="str">
        <f t="shared" si="430"/>
        <v>00</v>
      </c>
      <c r="R684" s="2" t="str">
        <f t="shared" si="430"/>
        <v>00</v>
      </c>
      <c r="T684" t="str">
        <f t="shared" si="411"/>
        <v>0000111111110000</v>
      </c>
      <c r="V684" s="9" t="str">
        <f t="shared" si="431"/>
        <v>00001111</v>
      </c>
      <c r="W684" s="9" t="str">
        <f t="shared" si="432"/>
        <v>11110000</v>
      </c>
      <c r="X684" s="9" t="str">
        <f t="shared" si="433"/>
        <v>0F</v>
      </c>
      <c r="Y684" s="9" t="str">
        <f t="shared" si="434"/>
        <v>F0</v>
      </c>
      <c r="AA684" t="str" cm="1">
        <f t="array" ref="AA684:AH684">TRANSPOSE(Y682:Y689)</f>
        <v>00</v>
      </c>
      <c r="AB684" t="str">
        <v>30</v>
      </c>
      <c r="AC684" t="str">
        <v>F0</v>
      </c>
      <c r="AD684" t="str">
        <v>FC</v>
      </c>
      <c r="AE684" t="str">
        <v>CC</v>
      </c>
      <c r="AF684" t="str">
        <v>F0</v>
      </c>
      <c r="AG684" t="str">
        <v>C0</v>
      </c>
      <c r="AH684" t="str">
        <v>D0</v>
      </c>
      <c r="AJ684" t="str">
        <f t="shared" si="435"/>
        <v>!byte $00, $30, $f0, $fc, $cc, $f0, $c0, $d0</v>
      </c>
    </row>
    <row r="685" spans="1:36" x14ac:dyDescent="0.3">
      <c r="B685" s="2">
        <v>0</v>
      </c>
      <c r="C685" s="2">
        <v>3</v>
      </c>
      <c r="D685" s="2">
        <v>3</v>
      </c>
      <c r="E685" s="2">
        <v>3</v>
      </c>
      <c r="F685" s="2">
        <v>3</v>
      </c>
      <c r="G685" s="2">
        <v>3</v>
      </c>
      <c r="H685" s="2">
        <v>3</v>
      </c>
      <c r="I685" s="2">
        <v>0</v>
      </c>
      <c r="K685" s="2" t="str">
        <f t="shared" si="430"/>
        <v>00</v>
      </c>
      <c r="L685" s="2" t="str">
        <f t="shared" si="430"/>
        <v>11</v>
      </c>
      <c r="M685" s="2" t="str">
        <f t="shared" si="430"/>
        <v>11</v>
      </c>
      <c r="N685" s="2" t="str">
        <f t="shared" si="430"/>
        <v>11</v>
      </c>
      <c r="O685" s="2" t="str">
        <f t="shared" si="430"/>
        <v>11</v>
      </c>
      <c r="P685" s="2" t="str">
        <f t="shared" si="430"/>
        <v>11</v>
      </c>
      <c r="Q685" s="2" t="str">
        <f t="shared" si="430"/>
        <v>11</v>
      </c>
      <c r="R685" s="2" t="str">
        <f t="shared" si="430"/>
        <v>00</v>
      </c>
      <c r="T685" t="str">
        <f t="shared" si="411"/>
        <v>0011111111111100</v>
      </c>
      <c r="V685" s="9" t="str">
        <f t="shared" si="431"/>
        <v>00111111</v>
      </c>
      <c r="W685" s="9" t="str">
        <f t="shared" si="432"/>
        <v>11111100</v>
      </c>
      <c r="X685" s="9" t="str">
        <f t="shared" si="433"/>
        <v>3F</v>
      </c>
      <c r="Y685" s="9" t="str">
        <f t="shared" si="434"/>
        <v>FC</v>
      </c>
      <c r="AA685" t="str" cm="1">
        <f t="array" ref="AA685:AH685">TRANSPOSE(Y690:Y697)</f>
        <v>44</v>
      </c>
      <c r="AB685" t="str">
        <v>D0</v>
      </c>
      <c r="AC685" t="str">
        <v>40</v>
      </c>
      <c r="AD685" t="str">
        <v>C0</v>
      </c>
      <c r="AE685" t="str">
        <v>70</v>
      </c>
      <c r="AF685" t="str">
        <v>30</v>
      </c>
      <c r="AG685" t="str">
        <v>30</v>
      </c>
      <c r="AH685" t="str">
        <v>14</v>
      </c>
      <c r="AJ685" t="str">
        <f t="shared" si="435"/>
        <v>!byte $44, $d0, $40, $c0, $70, $30, $30, $14</v>
      </c>
    </row>
    <row r="686" spans="1:36" x14ac:dyDescent="0.3">
      <c r="B686" s="2">
        <v>0</v>
      </c>
      <c r="C686" s="2">
        <v>3</v>
      </c>
      <c r="D686" s="2">
        <v>0</v>
      </c>
      <c r="E686" s="2">
        <v>3</v>
      </c>
      <c r="F686" s="2">
        <v>3</v>
      </c>
      <c r="G686" s="2">
        <v>0</v>
      </c>
      <c r="H686" s="2">
        <v>3</v>
      </c>
      <c r="I686" s="2">
        <v>0</v>
      </c>
      <c r="K686" s="2" t="str">
        <f t="shared" si="430"/>
        <v>00</v>
      </c>
      <c r="L686" s="2" t="str">
        <f t="shared" si="430"/>
        <v>11</v>
      </c>
      <c r="M686" s="2" t="str">
        <f t="shared" si="430"/>
        <v>00</v>
      </c>
      <c r="N686" s="2" t="str">
        <f t="shared" si="430"/>
        <v>11</v>
      </c>
      <c r="O686" s="2" t="str">
        <f t="shared" si="430"/>
        <v>11</v>
      </c>
      <c r="P686" s="2" t="str">
        <f t="shared" si="430"/>
        <v>00</v>
      </c>
      <c r="Q686" s="2" t="str">
        <f t="shared" si="430"/>
        <v>11</v>
      </c>
      <c r="R686" s="2" t="str">
        <f t="shared" si="430"/>
        <v>00</v>
      </c>
      <c r="T686" t="str">
        <f t="shared" si="411"/>
        <v>0011001111001100</v>
      </c>
      <c r="V686" s="9" t="str">
        <f t="shared" si="431"/>
        <v>00110011</v>
      </c>
      <c r="W686" s="9" t="str">
        <f t="shared" si="432"/>
        <v>11001100</v>
      </c>
      <c r="X686" s="9" t="str">
        <f t="shared" si="433"/>
        <v>33</v>
      </c>
      <c r="Y686" s="9" t="str">
        <f t="shared" si="434"/>
        <v>CC</v>
      </c>
    </row>
    <row r="687" spans="1:36" x14ac:dyDescent="0.3">
      <c r="B687" s="2">
        <v>0</v>
      </c>
      <c r="C687" s="2">
        <v>0</v>
      </c>
      <c r="D687" s="2">
        <v>3</v>
      </c>
      <c r="E687" s="2">
        <v>3</v>
      </c>
      <c r="F687" s="2">
        <v>3</v>
      </c>
      <c r="G687" s="2">
        <v>3</v>
      </c>
      <c r="H687" s="2">
        <v>0</v>
      </c>
      <c r="I687" s="2">
        <v>0</v>
      </c>
      <c r="K687" s="2" t="str">
        <f t="shared" si="430"/>
        <v>00</v>
      </c>
      <c r="L687" s="2" t="str">
        <f t="shared" si="430"/>
        <v>00</v>
      </c>
      <c r="M687" s="2" t="str">
        <f t="shared" si="430"/>
        <v>11</v>
      </c>
      <c r="N687" s="2" t="str">
        <f t="shared" si="430"/>
        <v>11</v>
      </c>
      <c r="O687" s="2" t="str">
        <f t="shared" si="430"/>
        <v>11</v>
      </c>
      <c r="P687" s="2" t="str">
        <f t="shared" si="430"/>
        <v>11</v>
      </c>
      <c r="Q687" s="2" t="str">
        <f t="shared" si="430"/>
        <v>00</v>
      </c>
      <c r="R687" s="2" t="str">
        <f t="shared" si="430"/>
        <v>00</v>
      </c>
      <c r="T687" t="str">
        <f t="shared" si="411"/>
        <v>0000111111110000</v>
      </c>
      <c r="V687" s="9" t="str">
        <f t="shared" si="431"/>
        <v>00001111</v>
      </c>
      <c r="W687" s="9" t="str">
        <f t="shared" si="432"/>
        <v>11110000</v>
      </c>
      <c r="X687" s="9" t="str">
        <f t="shared" si="433"/>
        <v>0F</v>
      </c>
      <c r="Y687" s="9" t="str">
        <f t="shared" si="434"/>
        <v>F0</v>
      </c>
    </row>
    <row r="688" spans="1:36" x14ac:dyDescent="0.3">
      <c r="B688" s="2">
        <v>0</v>
      </c>
      <c r="C688" s="2">
        <v>0</v>
      </c>
      <c r="D688" s="2">
        <v>0</v>
      </c>
      <c r="E688" s="2">
        <v>3</v>
      </c>
      <c r="F688" s="2">
        <v>3</v>
      </c>
      <c r="G688" s="2">
        <v>0</v>
      </c>
      <c r="H688" s="2">
        <v>0</v>
      </c>
      <c r="I688" s="2">
        <v>0</v>
      </c>
      <c r="K688" s="2" t="str">
        <f t="shared" si="430"/>
        <v>00</v>
      </c>
      <c r="L688" s="2" t="str">
        <f t="shared" si="430"/>
        <v>00</v>
      </c>
      <c r="M688" s="2" t="str">
        <f t="shared" si="430"/>
        <v>00</v>
      </c>
      <c r="N688" s="2" t="str">
        <f t="shared" si="430"/>
        <v>11</v>
      </c>
      <c r="O688" s="2" t="str">
        <f t="shared" si="430"/>
        <v>11</v>
      </c>
      <c r="P688" s="2" t="str">
        <f t="shared" si="430"/>
        <v>00</v>
      </c>
      <c r="Q688" s="2" t="str">
        <f t="shared" si="430"/>
        <v>00</v>
      </c>
      <c r="R688" s="2" t="str">
        <f t="shared" si="430"/>
        <v>00</v>
      </c>
      <c r="T688" t="str">
        <f t="shared" si="411"/>
        <v>0000001111000000</v>
      </c>
      <c r="V688" s="9" t="str">
        <f t="shared" si="431"/>
        <v>00000011</v>
      </c>
      <c r="W688" s="9" t="str">
        <f t="shared" si="432"/>
        <v>11000000</v>
      </c>
      <c r="X688" s="9" t="str">
        <f t="shared" si="433"/>
        <v>03</v>
      </c>
      <c r="Y688" s="9" t="str">
        <f t="shared" si="434"/>
        <v>C0</v>
      </c>
    </row>
    <row r="689" spans="1:36" x14ac:dyDescent="0.3">
      <c r="B689" s="2">
        <v>0</v>
      </c>
      <c r="C689" s="2">
        <v>0</v>
      </c>
      <c r="D689" s="2">
        <v>1</v>
      </c>
      <c r="E689" s="2">
        <v>3</v>
      </c>
      <c r="F689" s="2">
        <v>3</v>
      </c>
      <c r="G689" s="2">
        <v>1</v>
      </c>
      <c r="H689" s="2">
        <v>0</v>
      </c>
      <c r="I689" s="2">
        <v>0</v>
      </c>
      <c r="K689" s="2" t="str">
        <f t="shared" si="430"/>
        <v>00</v>
      </c>
      <c r="L689" s="2" t="str">
        <f t="shared" si="430"/>
        <v>00</v>
      </c>
      <c r="M689" s="2" t="str">
        <f t="shared" si="430"/>
        <v>01</v>
      </c>
      <c r="N689" s="2" t="str">
        <f t="shared" si="430"/>
        <v>11</v>
      </c>
      <c r="O689" s="2" t="str">
        <f t="shared" si="430"/>
        <v>11</v>
      </c>
      <c r="P689" s="2" t="str">
        <f t="shared" si="430"/>
        <v>01</v>
      </c>
      <c r="Q689" s="2" t="str">
        <f t="shared" si="430"/>
        <v>00</v>
      </c>
      <c r="R689" s="2" t="str">
        <f t="shared" si="430"/>
        <v>00</v>
      </c>
      <c r="T689" t="str">
        <f t="shared" si="411"/>
        <v>0000011111010000</v>
      </c>
      <c r="V689" s="10" t="str">
        <f t="shared" si="431"/>
        <v>00000111</v>
      </c>
      <c r="W689" s="10" t="str">
        <f t="shared" si="432"/>
        <v>11010000</v>
      </c>
      <c r="X689" s="10" t="str">
        <f t="shared" si="433"/>
        <v>07</v>
      </c>
      <c r="Y689" s="10" t="str">
        <f t="shared" si="434"/>
        <v>D0</v>
      </c>
    </row>
    <row r="690" spans="1:36" x14ac:dyDescent="0.3">
      <c r="B690" s="2">
        <v>0</v>
      </c>
      <c r="C690" s="2">
        <v>1</v>
      </c>
      <c r="D690" s="2">
        <v>0</v>
      </c>
      <c r="E690" s="2">
        <v>1</v>
      </c>
      <c r="F690" s="2">
        <v>1</v>
      </c>
      <c r="G690" s="2">
        <v>0</v>
      </c>
      <c r="H690" s="2">
        <v>1</v>
      </c>
      <c r="I690" s="2">
        <v>0</v>
      </c>
      <c r="K690" s="2" t="str">
        <f t="shared" si="430"/>
        <v>00</v>
      </c>
      <c r="L690" s="2" t="str">
        <f t="shared" si="430"/>
        <v>01</v>
      </c>
      <c r="M690" s="2" t="str">
        <f t="shared" si="430"/>
        <v>00</v>
      </c>
      <c r="N690" s="2" t="str">
        <f t="shared" si="430"/>
        <v>01</v>
      </c>
      <c r="O690" s="2" t="str">
        <f t="shared" si="430"/>
        <v>01</v>
      </c>
      <c r="P690" s="2" t="str">
        <f t="shared" si="430"/>
        <v>00</v>
      </c>
      <c r="Q690" s="2" t="str">
        <f t="shared" si="430"/>
        <v>01</v>
      </c>
      <c r="R690" s="2" t="str">
        <f t="shared" si="430"/>
        <v>00</v>
      </c>
      <c r="T690" t="str">
        <f t="shared" ref="T690:T753" si="436">_xlfn.CONCAT(K690:R690)</f>
        <v>0001000101000100</v>
      </c>
      <c r="V690" s="8" t="str">
        <f t="shared" si="431"/>
        <v>00010001</v>
      </c>
      <c r="W690" s="8" t="str">
        <f t="shared" si="432"/>
        <v>01000100</v>
      </c>
      <c r="X690" s="8" t="str">
        <f t="shared" si="433"/>
        <v>11</v>
      </c>
      <c r="Y690" s="8" t="str">
        <f t="shared" si="434"/>
        <v>44</v>
      </c>
    </row>
    <row r="691" spans="1:36" x14ac:dyDescent="0.3">
      <c r="B691" s="2">
        <v>0</v>
      </c>
      <c r="C691" s="2">
        <v>0</v>
      </c>
      <c r="D691" s="2">
        <v>1</v>
      </c>
      <c r="E691" s="2">
        <v>3</v>
      </c>
      <c r="F691" s="2">
        <v>3</v>
      </c>
      <c r="G691" s="2">
        <v>1</v>
      </c>
      <c r="H691" s="2">
        <v>0</v>
      </c>
      <c r="I691" s="2">
        <v>0</v>
      </c>
      <c r="K691" s="2" t="str">
        <f t="shared" si="430"/>
        <v>00</v>
      </c>
      <c r="L691" s="2" t="str">
        <f t="shared" si="430"/>
        <v>00</v>
      </c>
      <c r="M691" s="2" t="str">
        <f t="shared" si="430"/>
        <v>01</v>
      </c>
      <c r="N691" s="2" t="str">
        <f t="shared" si="430"/>
        <v>11</v>
      </c>
      <c r="O691" s="2" t="str">
        <f t="shared" si="430"/>
        <v>11</v>
      </c>
      <c r="P691" s="2" t="str">
        <f t="shared" si="430"/>
        <v>01</v>
      </c>
      <c r="Q691" s="2" t="str">
        <f t="shared" si="430"/>
        <v>00</v>
      </c>
      <c r="R691" s="2" t="str">
        <f t="shared" si="430"/>
        <v>00</v>
      </c>
      <c r="T691" t="str">
        <f t="shared" si="436"/>
        <v>0000011111010000</v>
      </c>
      <c r="V691" s="9" t="str">
        <f t="shared" si="431"/>
        <v>00000111</v>
      </c>
      <c r="W691" s="9" t="str">
        <f t="shared" si="432"/>
        <v>11010000</v>
      </c>
      <c r="X691" s="9" t="str">
        <f t="shared" si="433"/>
        <v>07</v>
      </c>
      <c r="Y691" s="9" t="str">
        <f t="shared" si="434"/>
        <v>D0</v>
      </c>
    </row>
    <row r="692" spans="1:36" x14ac:dyDescent="0.3">
      <c r="B692" s="2">
        <v>0</v>
      </c>
      <c r="C692" s="2">
        <v>0</v>
      </c>
      <c r="D692" s="2">
        <v>0</v>
      </c>
      <c r="E692" s="2">
        <v>1</v>
      </c>
      <c r="F692" s="2">
        <v>1</v>
      </c>
      <c r="G692" s="2">
        <v>0</v>
      </c>
      <c r="H692" s="2">
        <v>0</v>
      </c>
      <c r="I692" s="2">
        <v>0</v>
      </c>
      <c r="K692" s="2" t="str">
        <f t="shared" si="430"/>
        <v>00</v>
      </c>
      <c r="L692" s="2" t="str">
        <f t="shared" si="430"/>
        <v>00</v>
      </c>
      <c r="M692" s="2" t="str">
        <f t="shared" si="430"/>
        <v>00</v>
      </c>
      <c r="N692" s="2" t="str">
        <f t="shared" si="430"/>
        <v>01</v>
      </c>
      <c r="O692" s="2" t="str">
        <f t="shared" si="430"/>
        <v>01</v>
      </c>
      <c r="P692" s="2" t="str">
        <f t="shared" si="430"/>
        <v>00</v>
      </c>
      <c r="Q692" s="2" t="str">
        <f t="shared" si="430"/>
        <v>00</v>
      </c>
      <c r="R692" s="2" t="str">
        <f t="shared" si="430"/>
        <v>00</v>
      </c>
      <c r="T692" t="str">
        <f t="shared" si="436"/>
        <v>0000000101000000</v>
      </c>
      <c r="V692" s="9" t="str">
        <f t="shared" si="431"/>
        <v>00000001</v>
      </c>
      <c r="W692" s="9" t="str">
        <f t="shared" si="432"/>
        <v>01000000</v>
      </c>
      <c r="X692" s="9" t="str">
        <f t="shared" si="433"/>
        <v>01</v>
      </c>
      <c r="Y692" s="9" t="str">
        <f t="shared" si="434"/>
        <v>40</v>
      </c>
    </row>
    <row r="693" spans="1:36" x14ac:dyDescent="0.3">
      <c r="B693" s="2">
        <v>0</v>
      </c>
      <c r="C693" s="2">
        <v>0</v>
      </c>
      <c r="D693" s="2">
        <v>0</v>
      </c>
      <c r="E693" s="2">
        <v>3</v>
      </c>
      <c r="F693" s="2">
        <v>3</v>
      </c>
      <c r="G693" s="2">
        <v>0</v>
      </c>
      <c r="H693" s="2">
        <v>0</v>
      </c>
      <c r="I693" s="2">
        <v>0</v>
      </c>
      <c r="K693" s="2" t="str">
        <f t="shared" si="430"/>
        <v>00</v>
      </c>
      <c r="L693" s="2" t="str">
        <f t="shared" si="430"/>
        <v>00</v>
      </c>
      <c r="M693" s="2" t="str">
        <f t="shared" si="430"/>
        <v>00</v>
      </c>
      <c r="N693" s="2" t="str">
        <f t="shared" si="430"/>
        <v>11</v>
      </c>
      <c r="O693" s="2" t="str">
        <f t="shared" si="430"/>
        <v>11</v>
      </c>
      <c r="P693" s="2" t="str">
        <f t="shared" si="430"/>
        <v>00</v>
      </c>
      <c r="Q693" s="2" t="str">
        <f t="shared" si="430"/>
        <v>00</v>
      </c>
      <c r="R693" s="2" t="str">
        <f t="shared" si="430"/>
        <v>00</v>
      </c>
      <c r="T693" t="str">
        <f t="shared" si="436"/>
        <v>0000001111000000</v>
      </c>
      <c r="V693" s="9" t="str">
        <f t="shared" si="431"/>
        <v>00000011</v>
      </c>
      <c r="W693" s="9" t="str">
        <f t="shared" si="432"/>
        <v>11000000</v>
      </c>
      <c r="X693" s="9" t="str">
        <f t="shared" si="433"/>
        <v>03</v>
      </c>
      <c r="Y693" s="9" t="str">
        <f t="shared" si="434"/>
        <v>C0</v>
      </c>
    </row>
    <row r="694" spans="1:36" x14ac:dyDescent="0.3">
      <c r="B694" s="2">
        <v>0</v>
      </c>
      <c r="C694" s="2">
        <v>0</v>
      </c>
      <c r="D694" s="2">
        <v>3</v>
      </c>
      <c r="E694" s="2">
        <v>1</v>
      </c>
      <c r="F694" s="2">
        <v>1</v>
      </c>
      <c r="G694" s="2">
        <v>3</v>
      </c>
      <c r="H694" s="2">
        <v>0</v>
      </c>
      <c r="I694" s="2">
        <v>0</v>
      </c>
      <c r="K694" s="2" t="str">
        <f t="shared" si="430"/>
        <v>00</v>
      </c>
      <c r="L694" s="2" t="str">
        <f t="shared" si="430"/>
        <v>00</v>
      </c>
      <c r="M694" s="2" t="str">
        <f t="shared" si="430"/>
        <v>11</v>
      </c>
      <c r="N694" s="2" t="str">
        <f t="shared" si="430"/>
        <v>01</v>
      </c>
      <c r="O694" s="2" t="str">
        <f t="shared" si="430"/>
        <v>01</v>
      </c>
      <c r="P694" s="2" t="str">
        <f t="shared" si="430"/>
        <v>11</v>
      </c>
      <c r="Q694" s="2" t="str">
        <f t="shared" si="430"/>
        <v>00</v>
      </c>
      <c r="R694" s="2" t="str">
        <f t="shared" si="430"/>
        <v>00</v>
      </c>
      <c r="T694" t="str">
        <f t="shared" si="436"/>
        <v>0000110101110000</v>
      </c>
      <c r="V694" s="9" t="str">
        <f t="shared" si="431"/>
        <v>00001101</v>
      </c>
      <c r="W694" s="9" t="str">
        <f t="shared" si="432"/>
        <v>01110000</v>
      </c>
      <c r="X694" s="9" t="str">
        <f t="shared" si="433"/>
        <v>0D</v>
      </c>
      <c r="Y694" s="9" t="str">
        <f t="shared" si="434"/>
        <v>70</v>
      </c>
    </row>
    <row r="695" spans="1:36" x14ac:dyDescent="0.3">
      <c r="B695" s="2">
        <v>0</v>
      </c>
      <c r="C695" s="2">
        <v>0</v>
      </c>
      <c r="D695" s="2">
        <v>3</v>
      </c>
      <c r="E695" s="2">
        <v>0</v>
      </c>
      <c r="F695" s="2">
        <v>0</v>
      </c>
      <c r="G695" s="2">
        <v>3</v>
      </c>
      <c r="H695" s="2">
        <v>0</v>
      </c>
      <c r="I695" s="2">
        <v>0</v>
      </c>
      <c r="K695" s="2" t="str">
        <f t="shared" si="430"/>
        <v>00</v>
      </c>
      <c r="L695" s="2" t="str">
        <f t="shared" si="430"/>
        <v>00</v>
      </c>
      <c r="M695" s="2" t="str">
        <f t="shared" si="430"/>
        <v>11</v>
      </c>
      <c r="N695" s="2" t="str">
        <f t="shared" si="430"/>
        <v>00</v>
      </c>
      <c r="O695" s="2" t="str">
        <f t="shared" si="430"/>
        <v>00</v>
      </c>
      <c r="P695" s="2" t="str">
        <f t="shared" si="430"/>
        <v>11</v>
      </c>
      <c r="Q695" s="2" t="str">
        <f t="shared" si="430"/>
        <v>00</v>
      </c>
      <c r="R695" s="2" t="str">
        <f t="shared" si="430"/>
        <v>00</v>
      </c>
      <c r="T695" t="str">
        <f t="shared" si="436"/>
        <v>0000110000110000</v>
      </c>
      <c r="V695" s="9" t="str">
        <f t="shared" si="431"/>
        <v>00001100</v>
      </c>
      <c r="W695" s="9" t="str">
        <f t="shared" si="432"/>
        <v>00110000</v>
      </c>
      <c r="X695" s="9" t="str">
        <f t="shared" si="433"/>
        <v>0C</v>
      </c>
      <c r="Y695" s="9" t="str">
        <f t="shared" si="434"/>
        <v>30</v>
      </c>
    </row>
    <row r="696" spans="1:36" x14ac:dyDescent="0.3">
      <c r="B696" s="2">
        <v>0</v>
      </c>
      <c r="C696" s="2">
        <v>0</v>
      </c>
      <c r="D696" s="2">
        <v>3</v>
      </c>
      <c r="E696" s="2">
        <v>0</v>
      </c>
      <c r="F696" s="2">
        <v>0</v>
      </c>
      <c r="G696" s="2">
        <v>3</v>
      </c>
      <c r="H696" s="2">
        <v>0</v>
      </c>
      <c r="I696" s="2">
        <v>0</v>
      </c>
      <c r="K696" s="2" t="str">
        <f t="shared" si="430"/>
        <v>00</v>
      </c>
      <c r="L696" s="2" t="str">
        <f t="shared" si="430"/>
        <v>00</v>
      </c>
      <c r="M696" s="2" t="str">
        <f t="shared" si="430"/>
        <v>11</v>
      </c>
      <c r="N696" s="2" t="str">
        <f t="shared" si="430"/>
        <v>00</v>
      </c>
      <c r="O696" s="2" t="str">
        <f t="shared" si="430"/>
        <v>00</v>
      </c>
      <c r="P696" s="2" t="str">
        <f t="shared" si="430"/>
        <v>11</v>
      </c>
      <c r="Q696" s="2" t="str">
        <f t="shared" si="430"/>
        <v>00</v>
      </c>
      <c r="R696" s="2" t="str">
        <f t="shared" si="430"/>
        <v>00</v>
      </c>
      <c r="T696" t="str">
        <f t="shared" si="436"/>
        <v>0000110000110000</v>
      </c>
      <c r="V696" s="9" t="str">
        <f t="shared" si="431"/>
        <v>00001100</v>
      </c>
      <c r="W696" s="9" t="str">
        <f t="shared" si="432"/>
        <v>00110000</v>
      </c>
      <c r="X696" s="9" t="str">
        <f t="shared" si="433"/>
        <v>0C</v>
      </c>
      <c r="Y696" s="9" t="str">
        <f t="shared" si="434"/>
        <v>30</v>
      </c>
    </row>
    <row r="697" spans="1:36" x14ac:dyDescent="0.3">
      <c r="B697" s="2">
        <v>0</v>
      </c>
      <c r="C697" s="2">
        <v>1</v>
      </c>
      <c r="D697" s="2">
        <v>1</v>
      </c>
      <c r="E697" s="2">
        <v>0</v>
      </c>
      <c r="F697" s="2">
        <v>0</v>
      </c>
      <c r="G697" s="2">
        <v>1</v>
      </c>
      <c r="H697" s="2">
        <v>1</v>
      </c>
      <c r="I697" s="2">
        <v>0</v>
      </c>
      <c r="K697" s="2" t="str">
        <f t="shared" si="430"/>
        <v>00</v>
      </c>
      <c r="L697" s="2" t="str">
        <f t="shared" si="430"/>
        <v>01</v>
      </c>
      <c r="M697" s="2" t="str">
        <f t="shared" si="430"/>
        <v>01</v>
      </c>
      <c r="N697" s="2" t="str">
        <f t="shared" si="430"/>
        <v>00</v>
      </c>
      <c r="O697" s="2" t="str">
        <f t="shared" si="430"/>
        <v>00</v>
      </c>
      <c r="P697" s="2" t="str">
        <f t="shared" si="430"/>
        <v>01</v>
      </c>
      <c r="Q697" s="2" t="str">
        <f t="shared" si="430"/>
        <v>01</v>
      </c>
      <c r="R697" s="2" t="str">
        <f t="shared" si="430"/>
        <v>00</v>
      </c>
      <c r="T697" t="str">
        <f t="shared" si="436"/>
        <v>0001010000010100</v>
      </c>
      <c r="V697" s="10" t="str">
        <f t="shared" si="431"/>
        <v>00010100</v>
      </c>
      <c r="W697" s="10" t="str">
        <f t="shared" si="432"/>
        <v>00010100</v>
      </c>
      <c r="X697" s="10" t="str">
        <f t="shared" si="433"/>
        <v>14</v>
      </c>
      <c r="Y697" s="10" t="str">
        <f t="shared" si="434"/>
        <v>14</v>
      </c>
    </row>
    <row r="698" spans="1:36" x14ac:dyDescent="0.3">
      <c r="A698" t="s">
        <v>37</v>
      </c>
      <c r="AJ698" t="str">
        <f>";"&amp;PROPER(A698)</f>
        <v>;Rockford 9 (Wait 4)</v>
      </c>
    </row>
    <row r="699" spans="1:36" x14ac:dyDescent="0.3"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K699" s="2" t="str">
        <f t="shared" ref="K699:R714" si="437">DEC2BIN(B699,2)</f>
        <v>00</v>
      </c>
      <c r="L699" s="2" t="str">
        <f t="shared" si="437"/>
        <v>00</v>
      </c>
      <c r="M699" s="2" t="str">
        <f t="shared" si="437"/>
        <v>00</v>
      </c>
      <c r="N699" s="2" t="str">
        <f t="shared" si="437"/>
        <v>00</v>
      </c>
      <c r="O699" s="2" t="str">
        <f t="shared" si="437"/>
        <v>00</v>
      </c>
      <c r="P699" s="2" t="str">
        <f t="shared" si="437"/>
        <v>00</v>
      </c>
      <c r="Q699" s="2" t="str">
        <f t="shared" si="437"/>
        <v>00</v>
      </c>
      <c r="R699" s="2" t="str">
        <f t="shared" si="437"/>
        <v>00</v>
      </c>
      <c r="T699" t="str">
        <f t="shared" si="436"/>
        <v>0000000000000000</v>
      </c>
      <c r="V699" s="8" t="str">
        <f>LEFT(T699,8)</f>
        <v>00000000</v>
      </c>
      <c r="W699" s="8" t="str">
        <f>RIGHT(T699,8)</f>
        <v>00000000</v>
      </c>
      <c r="X699" s="8" t="str">
        <f>BIN2HEX(V699,2)</f>
        <v>00</v>
      </c>
      <c r="Y699" s="8" t="str">
        <f>BIN2HEX(W699,2)</f>
        <v>00</v>
      </c>
      <c r="AA699" t="str" cm="1">
        <f t="array" ref="AA699:AH699">TRANSPOSE(X699:X706)</f>
        <v>00</v>
      </c>
      <c r="AB699" t="str">
        <v>0C</v>
      </c>
      <c r="AC699" t="str">
        <v>0F</v>
      </c>
      <c r="AD699" t="str">
        <v>3F</v>
      </c>
      <c r="AE699" t="str">
        <v>3F</v>
      </c>
      <c r="AF699" t="str">
        <v>0F</v>
      </c>
      <c r="AG699" t="str">
        <v>03</v>
      </c>
      <c r="AH699" t="str">
        <v>07</v>
      </c>
      <c r="AJ699" t="str">
        <f>LOWER("!byte $"&amp;AA699&amp;", $"&amp;AB699&amp;", $"&amp;AC699&amp;", $"&amp;AD699&amp;", $"&amp;AE699&amp;", $"&amp;AF699&amp;", $"&amp;AG699&amp;", $"&amp;AH699)</f>
        <v>!byte $00, $0c, $0f, $3f, $3f, $0f, $03, $07</v>
      </c>
    </row>
    <row r="700" spans="1:36" x14ac:dyDescent="0.3">
      <c r="B700" s="2">
        <v>0</v>
      </c>
      <c r="C700" s="2">
        <v>0</v>
      </c>
      <c r="D700" s="2">
        <v>3</v>
      </c>
      <c r="E700" s="2">
        <v>0</v>
      </c>
      <c r="F700" s="2">
        <v>0</v>
      </c>
      <c r="G700" s="2">
        <v>3</v>
      </c>
      <c r="H700" s="2">
        <v>0</v>
      </c>
      <c r="I700" s="2">
        <v>0</v>
      </c>
      <c r="K700" s="2" t="str">
        <f t="shared" si="437"/>
        <v>00</v>
      </c>
      <c r="L700" s="2" t="str">
        <f t="shared" si="437"/>
        <v>00</v>
      </c>
      <c r="M700" s="2" t="str">
        <f t="shared" si="437"/>
        <v>11</v>
      </c>
      <c r="N700" s="2" t="str">
        <f t="shared" si="437"/>
        <v>00</v>
      </c>
      <c r="O700" s="2" t="str">
        <f t="shared" si="437"/>
        <v>00</v>
      </c>
      <c r="P700" s="2" t="str">
        <f t="shared" si="437"/>
        <v>11</v>
      </c>
      <c r="Q700" s="2" t="str">
        <f t="shared" si="437"/>
        <v>00</v>
      </c>
      <c r="R700" s="2" t="str">
        <f t="shared" si="437"/>
        <v>00</v>
      </c>
      <c r="T700" t="str">
        <f t="shared" si="436"/>
        <v>0000110000110000</v>
      </c>
      <c r="V700" s="9" t="str">
        <f t="shared" ref="V700:V714" si="438">LEFT(T700,8)</f>
        <v>00001100</v>
      </c>
      <c r="W700" s="9" t="str">
        <f t="shared" ref="W700:W714" si="439">RIGHT(T700,8)</f>
        <v>00110000</v>
      </c>
      <c r="X700" s="9" t="str">
        <f t="shared" ref="X700:X714" si="440">BIN2HEX(V700,2)</f>
        <v>0C</v>
      </c>
      <c r="Y700" s="9" t="str">
        <f t="shared" ref="Y700:Y714" si="441">BIN2HEX(W700,2)</f>
        <v>30</v>
      </c>
      <c r="AA700" t="str" cm="1">
        <f t="array" ref="AA700:AH700">TRANSPOSE(X707:X714)</f>
        <v>11</v>
      </c>
      <c r="AB700" t="str">
        <v>07</v>
      </c>
      <c r="AC700" t="str">
        <v>01</v>
      </c>
      <c r="AD700" t="str">
        <v>03</v>
      </c>
      <c r="AE700" t="str">
        <v>0D</v>
      </c>
      <c r="AF700" t="str">
        <v>0C</v>
      </c>
      <c r="AG700" t="str">
        <v>14</v>
      </c>
      <c r="AH700" t="str">
        <v>00</v>
      </c>
      <c r="AJ700" t="str">
        <f t="shared" ref="AJ700:AJ702" si="442">LOWER("!byte $"&amp;AA700&amp;", $"&amp;AB700&amp;", $"&amp;AC700&amp;", $"&amp;AD700&amp;", $"&amp;AE700&amp;", $"&amp;AF700&amp;", $"&amp;AG700&amp;", $"&amp;AH700)</f>
        <v>!byte $11, $07, $01, $03, $0d, $0c, $14, $00</v>
      </c>
    </row>
    <row r="701" spans="1:36" x14ac:dyDescent="0.3">
      <c r="B701" s="2">
        <v>0</v>
      </c>
      <c r="C701" s="2">
        <v>0</v>
      </c>
      <c r="D701" s="2">
        <v>3</v>
      </c>
      <c r="E701" s="2">
        <v>3</v>
      </c>
      <c r="F701" s="2">
        <v>3</v>
      </c>
      <c r="G701" s="2">
        <v>3</v>
      </c>
      <c r="H701" s="2">
        <v>0</v>
      </c>
      <c r="I701" s="2">
        <v>0</v>
      </c>
      <c r="K701" s="2" t="str">
        <f t="shared" si="437"/>
        <v>00</v>
      </c>
      <c r="L701" s="2" t="str">
        <f t="shared" si="437"/>
        <v>00</v>
      </c>
      <c r="M701" s="2" t="str">
        <f t="shared" si="437"/>
        <v>11</v>
      </c>
      <c r="N701" s="2" t="str">
        <f t="shared" si="437"/>
        <v>11</v>
      </c>
      <c r="O701" s="2" t="str">
        <f t="shared" si="437"/>
        <v>11</v>
      </c>
      <c r="P701" s="2" t="str">
        <f t="shared" si="437"/>
        <v>11</v>
      </c>
      <c r="Q701" s="2" t="str">
        <f t="shared" si="437"/>
        <v>00</v>
      </c>
      <c r="R701" s="2" t="str">
        <f t="shared" si="437"/>
        <v>00</v>
      </c>
      <c r="T701" t="str">
        <f t="shared" si="436"/>
        <v>0000111111110000</v>
      </c>
      <c r="V701" s="9" t="str">
        <f t="shared" si="438"/>
        <v>00001111</v>
      </c>
      <c r="W701" s="9" t="str">
        <f t="shared" si="439"/>
        <v>11110000</v>
      </c>
      <c r="X701" s="9" t="str">
        <f t="shared" si="440"/>
        <v>0F</v>
      </c>
      <c r="Y701" s="9" t="str">
        <f t="shared" si="441"/>
        <v>F0</v>
      </c>
      <c r="AA701" t="str" cm="1">
        <f t="array" ref="AA701:AH701">TRANSPOSE(Y699:Y706)</f>
        <v>00</v>
      </c>
      <c r="AB701" t="str">
        <v>30</v>
      </c>
      <c r="AC701" t="str">
        <v>F0</v>
      </c>
      <c r="AD701" t="str">
        <v>FC</v>
      </c>
      <c r="AE701" t="str">
        <v>FC</v>
      </c>
      <c r="AF701" t="str">
        <v>F0</v>
      </c>
      <c r="AG701" t="str">
        <v>C0</v>
      </c>
      <c r="AH701" t="str">
        <v>D0</v>
      </c>
      <c r="AJ701" t="str">
        <f t="shared" si="442"/>
        <v>!byte $00, $30, $f0, $fc, $fc, $f0, $c0, $d0</v>
      </c>
    </row>
    <row r="702" spans="1:36" x14ac:dyDescent="0.3">
      <c r="B702" s="2">
        <v>0</v>
      </c>
      <c r="C702" s="2">
        <v>3</v>
      </c>
      <c r="D702" s="2">
        <v>3</v>
      </c>
      <c r="E702" s="2">
        <v>3</v>
      </c>
      <c r="F702" s="2">
        <v>3</v>
      </c>
      <c r="G702" s="2">
        <v>3</v>
      </c>
      <c r="H702" s="2">
        <v>3</v>
      </c>
      <c r="I702" s="2">
        <v>0</v>
      </c>
      <c r="K702" s="2" t="str">
        <f t="shared" si="437"/>
        <v>00</v>
      </c>
      <c r="L702" s="2" t="str">
        <f t="shared" si="437"/>
        <v>11</v>
      </c>
      <c r="M702" s="2" t="str">
        <f t="shared" si="437"/>
        <v>11</v>
      </c>
      <c r="N702" s="2" t="str">
        <f t="shared" si="437"/>
        <v>11</v>
      </c>
      <c r="O702" s="2" t="str">
        <f t="shared" si="437"/>
        <v>11</v>
      </c>
      <c r="P702" s="2" t="str">
        <f t="shared" si="437"/>
        <v>11</v>
      </c>
      <c r="Q702" s="2" t="str">
        <f t="shared" si="437"/>
        <v>11</v>
      </c>
      <c r="R702" s="2" t="str">
        <f t="shared" si="437"/>
        <v>00</v>
      </c>
      <c r="T702" t="str">
        <f t="shared" si="436"/>
        <v>0011111111111100</v>
      </c>
      <c r="V702" s="9" t="str">
        <f t="shared" si="438"/>
        <v>00111111</v>
      </c>
      <c r="W702" s="9" t="str">
        <f t="shared" si="439"/>
        <v>11111100</v>
      </c>
      <c r="X702" s="9" t="str">
        <f t="shared" si="440"/>
        <v>3F</v>
      </c>
      <c r="Y702" s="9" t="str">
        <f t="shared" si="441"/>
        <v>FC</v>
      </c>
      <c r="AA702" t="str" cm="1">
        <f t="array" ref="AA702:AH702">TRANSPOSE(Y707:Y714)</f>
        <v>44</v>
      </c>
      <c r="AB702" t="str">
        <v>D0</v>
      </c>
      <c r="AC702" t="str">
        <v>40</v>
      </c>
      <c r="AD702" t="str">
        <v>C0</v>
      </c>
      <c r="AE702" t="str">
        <v>70</v>
      </c>
      <c r="AF702" t="str">
        <v>30</v>
      </c>
      <c r="AG702" t="str">
        <v>30</v>
      </c>
      <c r="AH702" t="str">
        <v>14</v>
      </c>
      <c r="AJ702" t="str">
        <f t="shared" si="442"/>
        <v>!byte $44, $d0, $40, $c0, $70, $30, $30, $14</v>
      </c>
    </row>
    <row r="703" spans="1:36" x14ac:dyDescent="0.3">
      <c r="B703" s="2">
        <v>0</v>
      </c>
      <c r="C703" s="2">
        <v>3</v>
      </c>
      <c r="D703" s="2">
        <v>3</v>
      </c>
      <c r="E703" s="2">
        <v>3</v>
      </c>
      <c r="F703" s="2">
        <v>3</v>
      </c>
      <c r="G703" s="2">
        <v>3</v>
      </c>
      <c r="H703" s="2">
        <v>3</v>
      </c>
      <c r="I703" s="2">
        <v>0</v>
      </c>
      <c r="K703" s="2" t="str">
        <f t="shared" si="437"/>
        <v>00</v>
      </c>
      <c r="L703" s="2" t="str">
        <f t="shared" si="437"/>
        <v>11</v>
      </c>
      <c r="M703" s="2" t="str">
        <f t="shared" si="437"/>
        <v>11</v>
      </c>
      <c r="N703" s="2" t="str">
        <f t="shared" si="437"/>
        <v>11</v>
      </c>
      <c r="O703" s="2" t="str">
        <f t="shared" si="437"/>
        <v>11</v>
      </c>
      <c r="P703" s="2" t="str">
        <f t="shared" si="437"/>
        <v>11</v>
      </c>
      <c r="Q703" s="2" t="str">
        <f t="shared" si="437"/>
        <v>11</v>
      </c>
      <c r="R703" s="2" t="str">
        <f t="shared" si="437"/>
        <v>00</v>
      </c>
      <c r="T703" t="str">
        <f t="shared" si="436"/>
        <v>0011111111111100</v>
      </c>
      <c r="V703" s="9" t="str">
        <f t="shared" si="438"/>
        <v>00111111</v>
      </c>
      <c r="W703" s="9" t="str">
        <f t="shared" si="439"/>
        <v>11111100</v>
      </c>
      <c r="X703" s="9" t="str">
        <f t="shared" si="440"/>
        <v>3F</v>
      </c>
      <c r="Y703" s="9" t="str">
        <f t="shared" si="441"/>
        <v>FC</v>
      </c>
    </row>
    <row r="704" spans="1:36" x14ac:dyDescent="0.3">
      <c r="B704" s="2">
        <v>0</v>
      </c>
      <c r="C704" s="2">
        <v>0</v>
      </c>
      <c r="D704" s="2">
        <v>3</v>
      </c>
      <c r="E704" s="2">
        <v>3</v>
      </c>
      <c r="F704" s="2">
        <v>3</v>
      </c>
      <c r="G704" s="2">
        <v>3</v>
      </c>
      <c r="H704" s="2">
        <v>0</v>
      </c>
      <c r="I704" s="2">
        <v>0</v>
      </c>
      <c r="K704" s="2" t="str">
        <f t="shared" si="437"/>
        <v>00</v>
      </c>
      <c r="L704" s="2" t="str">
        <f t="shared" si="437"/>
        <v>00</v>
      </c>
      <c r="M704" s="2" t="str">
        <f t="shared" si="437"/>
        <v>11</v>
      </c>
      <c r="N704" s="2" t="str">
        <f t="shared" si="437"/>
        <v>11</v>
      </c>
      <c r="O704" s="2" t="str">
        <f t="shared" si="437"/>
        <v>11</v>
      </c>
      <c r="P704" s="2" t="str">
        <f t="shared" si="437"/>
        <v>11</v>
      </c>
      <c r="Q704" s="2" t="str">
        <f t="shared" si="437"/>
        <v>00</v>
      </c>
      <c r="R704" s="2" t="str">
        <f t="shared" si="437"/>
        <v>00</v>
      </c>
      <c r="T704" t="str">
        <f t="shared" si="436"/>
        <v>0000111111110000</v>
      </c>
      <c r="V704" s="9" t="str">
        <f t="shared" si="438"/>
        <v>00001111</v>
      </c>
      <c r="W704" s="9" t="str">
        <f t="shared" si="439"/>
        <v>11110000</v>
      </c>
      <c r="X704" s="9" t="str">
        <f t="shared" si="440"/>
        <v>0F</v>
      </c>
      <c r="Y704" s="9" t="str">
        <f t="shared" si="441"/>
        <v>F0</v>
      </c>
    </row>
    <row r="705" spans="1:36" x14ac:dyDescent="0.3">
      <c r="B705" s="2">
        <v>0</v>
      </c>
      <c r="C705" s="2">
        <v>0</v>
      </c>
      <c r="D705" s="2">
        <v>0</v>
      </c>
      <c r="E705" s="2">
        <v>3</v>
      </c>
      <c r="F705" s="2">
        <v>3</v>
      </c>
      <c r="G705" s="2">
        <v>0</v>
      </c>
      <c r="H705" s="2">
        <v>0</v>
      </c>
      <c r="I705" s="2">
        <v>0</v>
      </c>
      <c r="K705" s="2" t="str">
        <f t="shared" si="437"/>
        <v>00</v>
      </c>
      <c r="L705" s="2" t="str">
        <f t="shared" si="437"/>
        <v>00</v>
      </c>
      <c r="M705" s="2" t="str">
        <f t="shared" si="437"/>
        <v>00</v>
      </c>
      <c r="N705" s="2" t="str">
        <f t="shared" si="437"/>
        <v>11</v>
      </c>
      <c r="O705" s="2" t="str">
        <f t="shared" si="437"/>
        <v>11</v>
      </c>
      <c r="P705" s="2" t="str">
        <f t="shared" si="437"/>
        <v>00</v>
      </c>
      <c r="Q705" s="2" t="str">
        <f t="shared" si="437"/>
        <v>00</v>
      </c>
      <c r="R705" s="2" t="str">
        <f t="shared" si="437"/>
        <v>00</v>
      </c>
      <c r="T705" t="str">
        <f t="shared" si="436"/>
        <v>0000001111000000</v>
      </c>
      <c r="V705" s="9" t="str">
        <f t="shared" si="438"/>
        <v>00000011</v>
      </c>
      <c r="W705" s="9" t="str">
        <f t="shared" si="439"/>
        <v>11000000</v>
      </c>
      <c r="X705" s="9" t="str">
        <f t="shared" si="440"/>
        <v>03</v>
      </c>
      <c r="Y705" s="9" t="str">
        <f t="shared" si="441"/>
        <v>C0</v>
      </c>
    </row>
    <row r="706" spans="1:36" x14ac:dyDescent="0.3">
      <c r="B706" s="2">
        <v>0</v>
      </c>
      <c r="C706" s="2">
        <v>0</v>
      </c>
      <c r="D706" s="2">
        <v>1</v>
      </c>
      <c r="E706" s="2">
        <v>3</v>
      </c>
      <c r="F706" s="2">
        <v>3</v>
      </c>
      <c r="G706" s="2">
        <v>1</v>
      </c>
      <c r="H706" s="2">
        <v>0</v>
      </c>
      <c r="I706" s="2">
        <v>0</v>
      </c>
      <c r="K706" s="2" t="str">
        <f t="shared" si="437"/>
        <v>00</v>
      </c>
      <c r="L706" s="2" t="str">
        <f t="shared" si="437"/>
        <v>00</v>
      </c>
      <c r="M706" s="2" t="str">
        <f t="shared" si="437"/>
        <v>01</v>
      </c>
      <c r="N706" s="2" t="str">
        <f t="shared" si="437"/>
        <v>11</v>
      </c>
      <c r="O706" s="2" t="str">
        <f t="shared" si="437"/>
        <v>11</v>
      </c>
      <c r="P706" s="2" t="str">
        <f t="shared" si="437"/>
        <v>01</v>
      </c>
      <c r="Q706" s="2" t="str">
        <f t="shared" si="437"/>
        <v>00</v>
      </c>
      <c r="R706" s="2" t="str">
        <f t="shared" si="437"/>
        <v>00</v>
      </c>
      <c r="T706" t="str">
        <f t="shared" si="436"/>
        <v>0000011111010000</v>
      </c>
      <c r="V706" s="10" t="str">
        <f t="shared" si="438"/>
        <v>00000111</v>
      </c>
      <c r="W706" s="10" t="str">
        <f t="shared" si="439"/>
        <v>11010000</v>
      </c>
      <c r="X706" s="10" t="str">
        <f t="shared" si="440"/>
        <v>07</v>
      </c>
      <c r="Y706" s="10" t="str">
        <f t="shared" si="441"/>
        <v>D0</v>
      </c>
    </row>
    <row r="707" spans="1:36" x14ac:dyDescent="0.3">
      <c r="B707" s="2">
        <v>0</v>
      </c>
      <c r="C707" s="2">
        <v>1</v>
      </c>
      <c r="D707" s="2">
        <v>0</v>
      </c>
      <c r="E707" s="2">
        <v>1</v>
      </c>
      <c r="F707" s="2">
        <v>1</v>
      </c>
      <c r="G707" s="2">
        <v>0</v>
      </c>
      <c r="H707" s="2">
        <v>1</v>
      </c>
      <c r="I707" s="2">
        <v>0</v>
      </c>
      <c r="K707" s="2" t="str">
        <f t="shared" si="437"/>
        <v>00</v>
      </c>
      <c r="L707" s="2" t="str">
        <f t="shared" si="437"/>
        <v>01</v>
      </c>
      <c r="M707" s="2" t="str">
        <f t="shared" si="437"/>
        <v>00</v>
      </c>
      <c r="N707" s="2" t="str">
        <f t="shared" si="437"/>
        <v>01</v>
      </c>
      <c r="O707" s="2" t="str">
        <f t="shared" si="437"/>
        <v>01</v>
      </c>
      <c r="P707" s="2" t="str">
        <f t="shared" si="437"/>
        <v>00</v>
      </c>
      <c r="Q707" s="2" t="str">
        <f t="shared" si="437"/>
        <v>01</v>
      </c>
      <c r="R707" s="2" t="str">
        <f t="shared" si="437"/>
        <v>00</v>
      </c>
      <c r="T707" t="str">
        <f t="shared" si="436"/>
        <v>0001000101000100</v>
      </c>
      <c r="V707" s="8" t="str">
        <f t="shared" si="438"/>
        <v>00010001</v>
      </c>
      <c r="W707" s="8" t="str">
        <f t="shared" si="439"/>
        <v>01000100</v>
      </c>
      <c r="X707" s="8" t="str">
        <f t="shared" si="440"/>
        <v>11</v>
      </c>
      <c r="Y707" s="8" t="str">
        <f t="shared" si="441"/>
        <v>44</v>
      </c>
    </row>
    <row r="708" spans="1:36" x14ac:dyDescent="0.3">
      <c r="B708" s="2">
        <v>0</v>
      </c>
      <c r="C708" s="2">
        <v>0</v>
      </c>
      <c r="D708" s="2">
        <v>1</v>
      </c>
      <c r="E708" s="2">
        <v>3</v>
      </c>
      <c r="F708" s="2">
        <v>3</v>
      </c>
      <c r="G708" s="2">
        <v>1</v>
      </c>
      <c r="H708" s="2">
        <v>0</v>
      </c>
      <c r="I708" s="2">
        <v>0</v>
      </c>
      <c r="K708" s="2" t="str">
        <f t="shared" si="437"/>
        <v>00</v>
      </c>
      <c r="L708" s="2" t="str">
        <f t="shared" si="437"/>
        <v>00</v>
      </c>
      <c r="M708" s="2" t="str">
        <f t="shared" si="437"/>
        <v>01</v>
      </c>
      <c r="N708" s="2" t="str">
        <f t="shared" si="437"/>
        <v>11</v>
      </c>
      <c r="O708" s="2" t="str">
        <f t="shared" si="437"/>
        <v>11</v>
      </c>
      <c r="P708" s="2" t="str">
        <f t="shared" si="437"/>
        <v>01</v>
      </c>
      <c r="Q708" s="2" t="str">
        <f t="shared" si="437"/>
        <v>00</v>
      </c>
      <c r="R708" s="2" t="str">
        <f t="shared" si="437"/>
        <v>00</v>
      </c>
      <c r="T708" t="str">
        <f t="shared" si="436"/>
        <v>0000011111010000</v>
      </c>
      <c r="V708" s="9" t="str">
        <f t="shared" si="438"/>
        <v>00000111</v>
      </c>
      <c r="W708" s="9" t="str">
        <f t="shared" si="439"/>
        <v>11010000</v>
      </c>
      <c r="X708" s="9" t="str">
        <f t="shared" si="440"/>
        <v>07</v>
      </c>
      <c r="Y708" s="9" t="str">
        <f t="shared" si="441"/>
        <v>D0</v>
      </c>
    </row>
    <row r="709" spans="1:36" x14ac:dyDescent="0.3">
      <c r="B709" s="2">
        <v>0</v>
      </c>
      <c r="C709" s="2">
        <v>0</v>
      </c>
      <c r="D709" s="2">
        <v>0</v>
      </c>
      <c r="E709" s="2">
        <v>1</v>
      </c>
      <c r="F709" s="2">
        <v>1</v>
      </c>
      <c r="G709" s="2">
        <v>0</v>
      </c>
      <c r="H709" s="2">
        <v>0</v>
      </c>
      <c r="I709" s="2">
        <v>0</v>
      </c>
      <c r="K709" s="2" t="str">
        <f t="shared" si="437"/>
        <v>00</v>
      </c>
      <c r="L709" s="2" t="str">
        <f t="shared" si="437"/>
        <v>00</v>
      </c>
      <c r="M709" s="2" t="str">
        <f t="shared" si="437"/>
        <v>00</v>
      </c>
      <c r="N709" s="2" t="str">
        <f t="shared" si="437"/>
        <v>01</v>
      </c>
      <c r="O709" s="2" t="str">
        <f t="shared" si="437"/>
        <v>01</v>
      </c>
      <c r="P709" s="2" t="str">
        <f t="shared" si="437"/>
        <v>00</v>
      </c>
      <c r="Q709" s="2" t="str">
        <f t="shared" si="437"/>
        <v>00</v>
      </c>
      <c r="R709" s="2" t="str">
        <f t="shared" si="437"/>
        <v>00</v>
      </c>
      <c r="T709" t="str">
        <f t="shared" si="436"/>
        <v>0000000101000000</v>
      </c>
      <c r="V709" s="9" t="str">
        <f t="shared" si="438"/>
        <v>00000001</v>
      </c>
      <c r="W709" s="9" t="str">
        <f t="shared" si="439"/>
        <v>01000000</v>
      </c>
      <c r="X709" s="9" t="str">
        <f t="shared" si="440"/>
        <v>01</v>
      </c>
      <c r="Y709" s="9" t="str">
        <f t="shared" si="441"/>
        <v>40</v>
      </c>
    </row>
    <row r="710" spans="1:36" x14ac:dyDescent="0.3">
      <c r="B710" s="2">
        <v>0</v>
      </c>
      <c r="C710" s="2">
        <v>0</v>
      </c>
      <c r="D710" s="2">
        <v>0</v>
      </c>
      <c r="E710" s="2">
        <v>3</v>
      </c>
      <c r="F710" s="2">
        <v>3</v>
      </c>
      <c r="G710" s="2">
        <v>0</v>
      </c>
      <c r="H710" s="2">
        <v>0</v>
      </c>
      <c r="I710" s="2">
        <v>0</v>
      </c>
      <c r="K710" s="2" t="str">
        <f t="shared" si="437"/>
        <v>00</v>
      </c>
      <c r="L710" s="2" t="str">
        <f t="shared" si="437"/>
        <v>00</v>
      </c>
      <c r="M710" s="2" t="str">
        <f t="shared" si="437"/>
        <v>00</v>
      </c>
      <c r="N710" s="2" t="str">
        <f t="shared" si="437"/>
        <v>11</v>
      </c>
      <c r="O710" s="2" t="str">
        <f t="shared" si="437"/>
        <v>11</v>
      </c>
      <c r="P710" s="2" t="str">
        <f t="shared" si="437"/>
        <v>00</v>
      </c>
      <c r="Q710" s="2" t="str">
        <f t="shared" si="437"/>
        <v>00</v>
      </c>
      <c r="R710" s="2" t="str">
        <f t="shared" si="437"/>
        <v>00</v>
      </c>
      <c r="T710" t="str">
        <f t="shared" si="436"/>
        <v>0000001111000000</v>
      </c>
      <c r="V710" s="9" t="str">
        <f t="shared" si="438"/>
        <v>00000011</v>
      </c>
      <c r="W710" s="9" t="str">
        <f t="shared" si="439"/>
        <v>11000000</v>
      </c>
      <c r="X710" s="9" t="str">
        <f t="shared" si="440"/>
        <v>03</v>
      </c>
      <c r="Y710" s="9" t="str">
        <f t="shared" si="441"/>
        <v>C0</v>
      </c>
    </row>
    <row r="711" spans="1:36" x14ac:dyDescent="0.3">
      <c r="B711" s="2">
        <v>0</v>
      </c>
      <c r="C711" s="2">
        <v>0</v>
      </c>
      <c r="D711" s="2">
        <v>3</v>
      </c>
      <c r="E711" s="2">
        <v>1</v>
      </c>
      <c r="F711" s="2">
        <v>1</v>
      </c>
      <c r="G711" s="2">
        <v>3</v>
      </c>
      <c r="H711" s="2">
        <v>0</v>
      </c>
      <c r="I711" s="2">
        <v>0</v>
      </c>
      <c r="K711" s="2" t="str">
        <f t="shared" si="437"/>
        <v>00</v>
      </c>
      <c r="L711" s="2" t="str">
        <f t="shared" si="437"/>
        <v>00</v>
      </c>
      <c r="M711" s="2" t="str">
        <f t="shared" si="437"/>
        <v>11</v>
      </c>
      <c r="N711" s="2" t="str">
        <f t="shared" si="437"/>
        <v>01</v>
      </c>
      <c r="O711" s="2" t="str">
        <f t="shared" si="437"/>
        <v>01</v>
      </c>
      <c r="P711" s="2" t="str">
        <f t="shared" si="437"/>
        <v>11</v>
      </c>
      <c r="Q711" s="2" t="str">
        <f t="shared" si="437"/>
        <v>00</v>
      </c>
      <c r="R711" s="2" t="str">
        <f t="shared" si="437"/>
        <v>00</v>
      </c>
      <c r="T711" t="str">
        <f t="shared" si="436"/>
        <v>0000110101110000</v>
      </c>
      <c r="V711" s="9" t="str">
        <f t="shared" si="438"/>
        <v>00001101</v>
      </c>
      <c r="W711" s="9" t="str">
        <f t="shared" si="439"/>
        <v>01110000</v>
      </c>
      <c r="X711" s="9" t="str">
        <f t="shared" si="440"/>
        <v>0D</v>
      </c>
      <c r="Y711" s="9" t="str">
        <f t="shared" si="441"/>
        <v>70</v>
      </c>
    </row>
    <row r="712" spans="1:36" x14ac:dyDescent="0.3">
      <c r="B712" s="2">
        <v>0</v>
      </c>
      <c r="C712" s="2">
        <v>0</v>
      </c>
      <c r="D712" s="2">
        <v>3</v>
      </c>
      <c r="E712" s="2">
        <v>0</v>
      </c>
      <c r="F712" s="2">
        <v>0</v>
      </c>
      <c r="G712" s="2">
        <v>3</v>
      </c>
      <c r="H712" s="2">
        <v>0</v>
      </c>
      <c r="I712" s="2">
        <v>0</v>
      </c>
      <c r="K712" s="2" t="str">
        <f t="shared" si="437"/>
        <v>00</v>
      </c>
      <c r="L712" s="2" t="str">
        <f t="shared" si="437"/>
        <v>00</v>
      </c>
      <c r="M712" s="2" t="str">
        <f t="shared" si="437"/>
        <v>11</v>
      </c>
      <c r="N712" s="2" t="str">
        <f t="shared" si="437"/>
        <v>00</v>
      </c>
      <c r="O712" s="2" t="str">
        <f t="shared" si="437"/>
        <v>00</v>
      </c>
      <c r="P712" s="2" t="str">
        <f t="shared" si="437"/>
        <v>11</v>
      </c>
      <c r="Q712" s="2" t="str">
        <f t="shared" si="437"/>
        <v>00</v>
      </c>
      <c r="R712" s="2" t="str">
        <f t="shared" si="437"/>
        <v>00</v>
      </c>
      <c r="T712" t="str">
        <f t="shared" si="436"/>
        <v>0000110000110000</v>
      </c>
      <c r="V712" s="9" t="str">
        <f t="shared" si="438"/>
        <v>00001100</v>
      </c>
      <c r="W712" s="9" t="str">
        <f t="shared" si="439"/>
        <v>00110000</v>
      </c>
      <c r="X712" s="9" t="str">
        <f t="shared" si="440"/>
        <v>0C</v>
      </c>
      <c r="Y712" s="9" t="str">
        <f t="shared" si="441"/>
        <v>30</v>
      </c>
    </row>
    <row r="713" spans="1:36" x14ac:dyDescent="0.3">
      <c r="B713" s="2">
        <v>0</v>
      </c>
      <c r="C713" s="2">
        <v>1</v>
      </c>
      <c r="D713" s="2">
        <v>1</v>
      </c>
      <c r="E713" s="2">
        <v>0</v>
      </c>
      <c r="F713" s="2">
        <v>0</v>
      </c>
      <c r="G713" s="2">
        <v>3</v>
      </c>
      <c r="H713" s="2">
        <v>0</v>
      </c>
      <c r="I713" s="2">
        <v>0</v>
      </c>
      <c r="K713" s="2" t="str">
        <f t="shared" si="437"/>
        <v>00</v>
      </c>
      <c r="L713" s="2" t="str">
        <f t="shared" si="437"/>
        <v>01</v>
      </c>
      <c r="M713" s="2" t="str">
        <f t="shared" si="437"/>
        <v>01</v>
      </c>
      <c r="N713" s="2" t="str">
        <f t="shared" si="437"/>
        <v>00</v>
      </c>
      <c r="O713" s="2" t="str">
        <f t="shared" si="437"/>
        <v>00</v>
      </c>
      <c r="P713" s="2" t="str">
        <f t="shared" si="437"/>
        <v>11</v>
      </c>
      <c r="Q713" s="2" t="str">
        <f t="shared" si="437"/>
        <v>00</v>
      </c>
      <c r="R713" s="2" t="str">
        <f t="shared" si="437"/>
        <v>00</v>
      </c>
      <c r="T713" t="str">
        <f t="shared" si="436"/>
        <v>0001010000110000</v>
      </c>
      <c r="V713" s="9" t="str">
        <f t="shared" si="438"/>
        <v>00010100</v>
      </c>
      <c r="W713" s="9" t="str">
        <f t="shared" si="439"/>
        <v>00110000</v>
      </c>
      <c r="X713" s="9" t="str">
        <f t="shared" si="440"/>
        <v>14</v>
      </c>
      <c r="Y713" s="9" t="str">
        <f t="shared" si="441"/>
        <v>30</v>
      </c>
    </row>
    <row r="714" spans="1:36" x14ac:dyDescent="0.3"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1</v>
      </c>
      <c r="H714" s="2">
        <v>1</v>
      </c>
      <c r="I714" s="2">
        <v>0</v>
      </c>
      <c r="K714" s="2" t="str">
        <f t="shared" si="437"/>
        <v>00</v>
      </c>
      <c r="L714" s="2" t="str">
        <f t="shared" si="437"/>
        <v>00</v>
      </c>
      <c r="M714" s="2" t="str">
        <f t="shared" si="437"/>
        <v>00</v>
      </c>
      <c r="N714" s="2" t="str">
        <f t="shared" si="437"/>
        <v>00</v>
      </c>
      <c r="O714" s="2" t="str">
        <f t="shared" si="437"/>
        <v>00</v>
      </c>
      <c r="P714" s="2" t="str">
        <f t="shared" si="437"/>
        <v>01</v>
      </c>
      <c r="Q714" s="2" t="str">
        <f t="shared" si="437"/>
        <v>01</v>
      </c>
      <c r="R714" s="2" t="str">
        <f t="shared" si="437"/>
        <v>00</v>
      </c>
      <c r="T714" t="str">
        <f t="shared" si="436"/>
        <v>0000000000010100</v>
      </c>
      <c r="V714" s="10" t="str">
        <f t="shared" si="438"/>
        <v>00000000</v>
      </c>
      <c r="W714" s="10" t="str">
        <f t="shared" si="439"/>
        <v>00010100</v>
      </c>
      <c r="X714" s="10" t="str">
        <f t="shared" si="440"/>
        <v>00</v>
      </c>
      <c r="Y714" s="10" t="str">
        <f t="shared" si="441"/>
        <v>14</v>
      </c>
    </row>
    <row r="715" spans="1:36" x14ac:dyDescent="0.3">
      <c r="A715" t="s">
        <v>38</v>
      </c>
      <c r="AJ715" t="str">
        <f>";"&amp;PROPER(A715)</f>
        <v>;Rockford 10 (Wait 5)</v>
      </c>
    </row>
    <row r="716" spans="1:36" x14ac:dyDescent="0.3"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K716" s="2" t="str">
        <f t="shared" ref="K716:R731" si="443">DEC2BIN(B716,2)</f>
        <v>00</v>
      </c>
      <c r="L716" s="2" t="str">
        <f t="shared" si="443"/>
        <v>00</v>
      </c>
      <c r="M716" s="2" t="str">
        <f t="shared" si="443"/>
        <v>00</v>
      </c>
      <c r="N716" s="2" t="str">
        <f t="shared" si="443"/>
        <v>00</v>
      </c>
      <c r="O716" s="2" t="str">
        <f t="shared" si="443"/>
        <v>00</v>
      </c>
      <c r="P716" s="2" t="str">
        <f t="shared" si="443"/>
        <v>00</v>
      </c>
      <c r="Q716" s="2" t="str">
        <f t="shared" si="443"/>
        <v>00</v>
      </c>
      <c r="R716" s="2" t="str">
        <f t="shared" si="443"/>
        <v>00</v>
      </c>
      <c r="T716" t="str">
        <f t="shared" si="436"/>
        <v>0000000000000000</v>
      </c>
      <c r="V716" s="8" t="str">
        <f>LEFT(T716,8)</f>
        <v>00000000</v>
      </c>
      <c r="W716" s="8" t="str">
        <f>RIGHT(T716,8)</f>
        <v>00000000</v>
      </c>
      <c r="X716" s="8" t="str">
        <f>BIN2HEX(V716,2)</f>
        <v>00</v>
      </c>
      <c r="Y716" s="8" t="str">
        <f>BIN2HEX(W716,2)</f>
        <v>00</v>
      </c>
      <c r="AA716" t="str" cm="1">
        <f t="array" ref="AA716:AH716">TRANSPOSE(X716:X723)</f>
        <v>00</v>
      </c>
      <c r="AB716" t="str">
        <v>0C</v>
      </c>
      <c r="AC716" t="str">
        <v>0F</v>
      </c>
      <c r="AD716" t="str">
        <v>3F</v>
      </c>
      <c r="AE716" t="str">
        <v>3F</v>
      </c>
      <c r="AF716" t="str">
        <v>0F</v>
      </c>
      <c r="AG716" t="str">
        <v>03</v>
      </c>
      <c r="AH716" t="str">
        <v>07</v>
      </c>
      <c r="AJ716" t="str">
        <f>LOWER("!byte $"&amp;AA716&amp;", $"&amp;AB716&amp;", $"&amp;AC716&amp;", $"&amp;AD716&amp;", $"&amp;AE716&amp;", $"&amp;AF716&amp;", $"&amp;AG716&amp;", $"&amp;AH716)</f>
        <v>!byte $00, $0c, $0f, $3f, $3f, $0f, $03, $07</v>
      </c>
    </row>
    <row r="717" spans="1:36" x14ac:dyDescent="0.3">
      <c r="B717" s="2">
        <v>0</v>
      </c>
      <c r="C717" s="2">
        <v>0</v>
      </c>
      <c r="D717" s="2">
        <v>3</v>
      </c>
      <c r="E717" s="2">
        <v>0</v>
      </c>
      <c r="F717" s="2">
        <v>0</v>
      </c>
      <c r="G717" s="2">
        <v>3</v>
      </c>
      <c r="H717" s="2">
        <v>0</v>
      </c>
      <c r="I717" s="2">
        <v>0</v>
      </c>
      <c r="K717" s="2" t="str">
        <f t="shared" si="443"/>
        <v>00</v>
      </c>
      <c r="L717" s="2" t="str">
        <f t="shared" si="443"/>
        <v>00</v>
      </c>
      <c r="M717" s="2" t="str">
        <f t="shared" si="443"/>
        <v>11</v>
      </c>
      <c r="N717" s="2" t="str">
        <f t="shared" si="443"/>
        <v>00</v>
      </c>
      <c r="O717" s="2" t="str">
        <f t="shared" si="443"/>
        <v>00</v>
      </c>
      <c r="P717" s="2" t="str">
        <f t="shared" si="443"/>
        <v>11</v>
      </c>
      <c r="Q717" s="2" t="str">
        <f t="shared" si="443"/>
        <v>00</v>
      </c>
      <c r="R717" s="2" t="str">
        <f t="shared" si="443"/>
        <v>00</v>
      </c>
      <c r="T717" t="str">
        <f t="shared" si="436"/>
        <v>0000110000110000</v>
      </c>
      <c r="V717" s="9" t="str">
        <f t="shared" ref="V717:V731" si="444">LEFT(T717,8)</f>
        <v>00001100</v>
      </c>
      <c r="W717" s="9" t="str">
        <f t="shared" ref="W717:W731" si="445">RIGHT(T717,8)</f>
        <v>00110000</v>
      </c>
      <c r="X717" s="9" t="str">
        <f t="shared" ref="X717:X731" si="446">BIN2HEX(V717,2)</f>
        <v>0C</v>
      </c>
      <c r="Y717" s="9" t="str">
        <f t="shared" ref="Y717:Y731" si="447">BIN2HEX(W717,2)</f>
        <v>30</v>
      </c>
      <c r="AA717" t="str" cm="1">
        <f t="array" ref="AA717:AH717">TRANSPOSE(X724:X731)</f>
        <v>11</v>
      </c>
      <c r="AB717" t="str">
        <v>07</v>
      </c>
      <c r="AC717" t="str">
        <v>01</v>
      </c>
      <c r="AD717" t="str">
        <v>03</v>
      </c>
      <c r="AE717" t="str">
        <v>0D</v>
      </c>
      <c r="AF717" t="str">
        <v>0C</v>
      </c>
      <c r="AG717" t="str">
        <v>0C</v>
      </c>
      <c r="AH717" t="str">
        <v>14</v>
      </c>
      <c r="AJ717" t="str">
        <f t="shared" ref="AJ717:AJ719" si="448">LOWER("!byte $"&amp;AA717&amp;", $"&amp;AB717&amp;", $"&amp;AC717&amp;", $"&amp;AD717&amp;", $"&amp;AE717&amp;", $"&amp;AF717&amp;", $"&amp;AG717&amp;", $"&amp;AH717)</f>
        <v>!byte $11, $07, $01, $03, $0d, $0c, $0c, $14</v>
      </c>
    </row>
    <row r="718" spans="1:36" x14ac:dyDescent="0.3">
      <c r="B718" s="2">
        <v>0</v>
      </c>
      <c r="C718" s="2">
        <v>0</v>
      </c>
      <c r="D718" s="2">
        <v>3</v>
      </c>
      <c r="E718" s="2">
        <v>3</v>
      </c>
      <c r="F718" s="2">
        <v>3</v>
      </c>
      <c r="G718" s="2">
        <v>3</v>
      </c>
      <c r="H718" s="2">
        <v>0</v>
      </c>
      <c r="I718" s="2">
        <v>0</v>
      </c>
      <c r="K718" s="2" t="str">
        <f t="shared" si="443"/>
        <v>00</v>
      </c>
      <c r="L718" s="2" t="str">
        <f t="shared" si="443"/>
        <v>00</v>
      </c>
      <c r="M718" s="2" t="str">
        <f t="shared" si="443"/>
        <v>11</v>
      </c>
      <c r="N718" s="2" t="str">
        <f t="shared" si="443"/>
        <v>11</v>
      </c>
      <c r="O718" s="2" t="str">
        <f t="shared" si="443"/>
        <v>11</v>
      </c>
      <c r="P718" s="2" t="str">
        <f t="shared" si="443"/>
        <v>11</v>
      </c>
      <c r="Q718" s="2" t="str">
        <f t="shared" si="443"/>
        <v>00</v>
      </c>
      <c r="R718" s="2" t="str">
        <f t="shared" si="443"/>
        <v>00</v>
      </c>
      <c r="T718" t="str">
        <f t="shared" si="436"/>
        <v>0000111111110000</v>
      </c>
      <c r="V718" s="9" t="str">
        <f t="shared" si="444"/>
        <v>00001111</v>
      </c>
      <c r="W718" s="9" t="str">
        <f t="shared" si="445"/>
        <v>11110000</v>
      </c>
      <c r="X718" s="9" t="str">
        <f t="shared" si="446"/>
        <v>0F</v>
      </c>
      <c r="Y718" s="9" t="str">
        <f t="shared" si="447"/>
        <v>F0</v>
      </c>
      <c r="AA718" t="str" cm="1">
        <f t="array" ref="AA718:AH718">TRANSPOSE(Y716:Y723)</f>
        <v>00</v>
      </c>
      <c r="AB718" t="str">
        <v>30</v>
      </c>
      <c r="AC718" t="str">
        <v>F0</v>
      </c>
      <c r="AD718" t="str">
        <v>FC</v>
      </c>
      <c r="AE718" t="str">
        <v>FC</v>
      </c>
      <c r="AF718" t="str">
        <v>F0</v>
      </c>
      <c r="AG718" t="str">
        <v>C0</v>
      </c>
      <c r="AH718" t="str">
        <v>D0</v>
      </c>
      <c r="AJ718" t="str">
        <f t="shared" si="448"/>
        <v>!byte $00, $30, $f0, $fc, $fc, $f0, $c0, $d0</v>
      </c>
    </row>
    <row r="719" spans="1:36" x14ac:dyDescent="0.3">
      <c r="B719" s="2">
        <v>0</v>
      </c>
      <c r="C719" s="2">
        <v>3</v>
      </c>
      <c r="D719" s="2">
        <v>3</v>
      </c>
      <c r="E719" s="2">
        <v>3</v>
      </c>
      <c r="F719" s="2">
        <v>3</v>
      </c>
      <c r="G719" s="2">
        <v>3</v>
      </c>
      <c r="H719" s="2">
        <v>3</v>
      </c>
      <c r="I719" s="2">
        <v>0</v>
      </c>
      <c r="K719" s="2" t="str">
        <f t="shared" si="443"/>
        <v>00</v>
      </c>
      <c r="L719" s="2" t="str">
        <f t="shared" si="443"/>
        <v>11</v>
      </c>
      <c r="M719" s="2" t="str">
        <f t="shared" si="443"/>
        <v>11</v>
      </c>
      <c r="N719" s="2" t="str">
        <f t="shared" si="443"/>
        <v>11</v>
      </c>
      <c r="O719" s="2" t="str">
        <f t="shared" si="443"/>
        <v>11</v>
      </c>
      <c r="P719" s="2" t="str">
        <f t="shared" si="443"/>
        <v>11</v>
      </c>
      <c r="Q719" s="2" t="str">
        <f t="shared" si="443"/>
        <v>11</v>
      </c>
      <c r="R719" s="2" t="str">
        <f t="shared" si="443"/>
        <v>00</v>
      </c>
      <c r="T719" t="str">
        <f t="shared" si="436"/>
        <v>0011111111111100</v>
      </c>
      <c r="V719" s="9" t="str">
        <f t="shared" si="444"/>
        <v>00111111</v>
      </c>
      <c r="W719" s="9" t="str">
        <f t="shared" si="445"/>
        <v>11111100</v>
      </c>
      <c r="X719" s="9" t="str">
        <f t="shared" si="446"/>
        <v>3F</v>
      </c>
      <c r="Y719" s="9" t="str">
        <f t="shared" si="447"/>
        <v>FC</v>
      </c>
      <c r="AA719" t="str" cm="1">
        <f t="array" ref="AA719:AH719">TRANSPOSE(Y724:Y731)</f>
        <v>44</v>
      </c>
      <c r="AB719" t="str">
        <v>D0</v>
      </c>
      <c r="AC719" t="str">
        <v>40</v>
      </c>
      <c r="AD719" t="str">
        <v>C0</v>
      </c>
      <c r="AE719" t="str">
        <v>70</v>
      </c>
      <c r="AF719" t="str">
        <v>30</v>
      </c>
      <c r="AG719" t="str">
        <v>30</v>
      </c>
      <c r="AH719" t="str">
        <v>14</v>
      </c>
      <c r="AJ719" t="str">
        <f t="shared" si="448"/>
        <v>!byte $44, $d0, $40, $c0, $70, $30, $30, $14</v>
      </c>
    </row>
    <row r="720" spans="1:36" x14ac:dyDescent="0.3">
      <c r="B720" s="2">
        <v>0</v>
      </c>
      <c r="C720" s="2">
        <v>3</v>
      </c>
      <c r="D720" s="2">
        <v>3</v>
      </c>
      <c r="E720" s="2">
        <v>3</v>
      </c>
      <c r="F720" s="2">
        <v>3</v>
      </c>
      <c r="G720" s="2">
        <v>3</v>
      </c>
      <c r="H720" s="2">
        <v>3</v>
      </c>
      <c r="I720" s="2">
        <v>0</v>
      </c>
      <c r="K720" s="2" t="str">
        <f t="shared" si="443"/>
        <v>00</v>
      </c>
      <c r="L720" s="2" t="str">
        <f t="shared" si="443"/>
        <v>11</v>
      </c>
      <c r="M720" s="2" t="str">
        <f t="shared" si="443"/>
        <v>11</v>
      </c>
      <c r="N720" s="2" t="str">
        <f t="shared" si="443"/>
        <v>11</v>
      </c>
      <c r="O720" s="2" t="str">
        <f t="shared" si="443"/>
        <v>11</v>
      </c>
      <c r="P720" s="2" t="str">
        <f t="shared" si="443"/>
        <v>11</v>
      </c>
      <c r="Q720" s="2" t="str">
        <f t="shared" si="443"/>
        <v>11</v>
      </c>
      <c r="R720" s="2" t="str">
        <f t="shared" si="443"/>
        <v>00</v>
      </c>
      <c r="T720" t="str">
        <f t="shared" si="436"/>
        <v>0011111111111100</v>
      </c>
      <c r="V720" s="9" t="str">
        <f t="shared" si="444"/>
        <v>00111111</v>
      </c>
      <c r="W720" s="9" t="str">
        <f t="shared" si="445"/>
        <v>11111100</v>
      </c>
      <c r="X720" s="9" t="str">
        <f t="shared" si="446"/>
        <v>3F</v>
      </c>
      <c r="Y720" s="9" t="str">
        <f t="shared" si="447"/>
        <v>FC</v>
      </c>
    </row>
    <row r="721" spans="1:36" x14ac:dyDescent="0.3">
      <c r="B721" s="2">
        <v>0</v>
      </c>
      <c r="C721" s="2">
        <v>0</v>
      </c>
      <c r="D721" s="2">
        <v>3</v>
      </c>
      <c r="E721" s="2">
        <v>3</v>
      </c>
      <c r="F721" s="2">
        <v>3</v>
      </c>
      <c r="G721" s="2">
        <v>3</v>
      </c>
      <c r="H721" s="2">
        <v>0</v>
      </c>
      <c r="I721" s="2">
        <v>0</v>
      </c>
      <c r="K721" s="2" t="str">
        <f t="shared" si="443"/>
        <v>00</v>
      </c>
      <c r="L721" s="2" t="str">
        <f t="shared" si="443"/>
        <v>00</v>
      </c>
      <c r="M721" s="2" t="str">
        <f t="shared" si="443"/>
        <v>11</v>
      </c>
      <c r="N721" s="2" t="str">
        <f t="shared" si="443"/>
        <v>11</v>
      </c>
      <c r="O721" s="2" t="str">
        <f t="shared" si="443"/>
        <v>11</v>
      </c>
      <c r="P721" s="2" t="str">
        <f t="shared" si="443"/>
        <v>11</v>
      </c>
      <c r="Q721" s="2" t="str">
        <f t="shared" si="443"/>
        <v>00</v>
      </c>
      <c r="R721" s="2" t="str">
        <f t="shared" si="443"/>
        <v>00</v>
      </c>
      <c r="T721" t="str">
        <f t="shared" si="436"/>
        <v>0000111111110000</v>
      </c>
      <c r="V721" s="9" t="str">
        <f t="shared" si="444"/>
        <v>00001111</v>
      </c>
      <c r="W721" s="9" t="str">
        <f t="shared" si="445"/>
        <v>11110000</v>
      </c>
      <c r="X721" s="9" t="str">
        <f t="shared" si="446"/>
        <v>0F</v>
      </c>
      <c r="Y721" s="9" t="str">
        <f t="shared" si="447"/>
        <v>F0</v>
      </c>
    </row>
    <row r="722" spans="1:36" x14ac:dyDescent="0.3">
      <c r="B722" s="2">
        <v>0</v>
      </c>
      <c r="C722" s="2">
        <v>0</v>
      </c>
      <c r="D722" s="2">
        <v>0</v>
      </c>
      <c r="E722" s="2">
        <v>3</v>
      </c>
      <c r="F722" s="2">
        <v>3</v>
      </c>
      <c r="G722" s="2">
        <v>0</v>
      </c>
      <c r="H722" s="2">
        <v>0</v>
      </c>
      <c r="I722" s="2">
        <v>0</v>
      </c>
      <c r="K722" s="2" t="str">
        <f t="shared" si="443"/>
        <v>00</v>
      </c>
      <c r="L722" s="2" t="str">
        <f t="shared" si="443"/>
        <v>00</v>
      </c>
      <c r="M722" s="2" t="str">
        <f t="shared" si="443"/>
        <v>00</v>
      </c>
      <c r="N722" s="2" t="str">
        <f t="shared" si="443"/>
        <v>11</v>
      </c>
      <c r="O722" s="2" t="str">
        <f t="shared" si="443"/>
        <v>11</v>
      </c>
      <c r="P722" s="2" t="str">
        <f t="shared" si="443"/>
        <v>00</v>
      </c>
      <c r="Q722" s="2" t="str">
        <f t="shared" si="443"/>
        <v>00</v>
      </c>
      <c r="R722" s="2" t="str">
        <f t="shared" si="443"/>
        <v>00</v>
      </c>
      <c r="T722" t="str">
        <f t="shared" si="436"/>
        <v>0000001111000000</v>
      </c>
      <c r="V722" s="9" t="str">
        <f t="shared" si="444"/>
        <v>00000011</v>
      </c>
      <c r="W722" s="9" t="str">
        <f t="shared" si="445"/>
        <v>11000000</v>
      </c>
      <c r="X722" s="9" t="str">
        <f t="shared" si="446"/>
        <v>03</v>
      </c>
      <c r="Y722" s="9" t="str">
        <f t="shared" si="447"/>
        <v>C0</v>
      </c>
    </row>
    <row r="723" spans="1:36" x14ac:dyDescent="0.3">
      <c r="B723" s="2">
        <v>0</v>
      </c>
      <c r="C723" s="2">
        <v>0</v>
      </c>
      <c r="D723" s="2">
        <v>1</v>
      </c>
      <c r="E723" s="2">
        <v>3</v>
      </c>
      <c r="F723" s="2">
        <v>3</v>
      </c>
      <c r="G723" s="2">
        <v>1</v>
      </c>
      <c r="H723" s="2">
        <v>0</v>
      </c>
      <c r="I723" s="2">
        <v>0</v>
      </c>
      <c r="K723" s="2" t="str">
        <f t="shared" si="443"/>
        <v>00</v>
      </c>
      <c r="L723" s="2" t="str">
        <f t="shared" si="443"/>
        <v>00</v>
      </c>
      <c r="M723" s="2" t="str">
        <f t="shared" si="443"/>
        <v>01</v>
      </c>
      <c r="N723" s="2" t="str">
        <f t="shared" si="443"/>
        <v>11</v>
      </c>
      <c r="O723" s="2" t="str">
        <f t="shared" si="443"/>
        <v>11</v>
      </c>
      <c r="P723" s="2" t="str">
        <f t="shared" si="443"/>
        <v>01</v>
      </c>
      <c r="Q723" s="2" t="str">
        <f t="shared" si="443"/>
        <v>00</v>
      </c>
      <c r="R723" s="2" t="str">
        <f t="shared" si="443"/>
        <v>00</v>
      </c>
      <c r="T723" t="str">
        <f t="shared" si="436"/>
        <v>0000011111010000</v>
      </c>
      <c r="V723" s="10" t="str">
        <f t="shared" si="444"/>
        <v>00000111</v>
      </c>
      <c r="W723" s="10" t="str">
        <f t="shared" si="445"/>
        <v>11010000</v>
      </c>
      <c r="X723" s="10" t="str">
        <f t="shared" si="446"/>
        <v>07</v>
      </c>
      <c r="Y723" s="10" t="str">
        <f t="shared" si="447"/>
        <v>D0</v>
      </c>
    </row>
    <row r="724" spans="1:36" x14ac:dyDescent="0.3">
      <c r="B724" s="2">
        <v>0</v>
      </c>
      <c r="C724" s="2">
        <v>1</v>
      </c>
      <c r="D724" s="2">
        <v>0</v>
      </c>
      <c r="E724" s="2">
        <v>1</v>
      </c>
      <c r="F724" s="2">
        <v>1</v>
      </c>
      <c r="G724" s="2">
        <v>0</v>
      </c>
      <c r="H724" s="2">
        <v>1</v>
      </c>
      <c r="I724" s="2">
        <v>0</v>
      </c>
      <c r="K724" s="2" t="str">
        <f t="shared" si="443"/>
        <v>00</v>
      </c>
      <c r="L724" s="2" t="str">
        <f t="shared" si="443"/>
        <v>01</v>
      </c>
      <c r="M724" s="2" t="str">
        <f t="shared" si="443"/>
        <v>00</v>
      </c>
      <c r="N724" s="2" t="str">
        <f t="shared" si="443"/>
        <v>01</v>
      </c>
      <c r="O724" s="2" t="str">
        <f t="shared" si="443"/>
        <v>01</v>
      </c>
      <c r="P724" s="2" t="str">
        <f t="shared" si="443"/>
        <v>00</v>
      </c>
      <c r="Q724" s="2" t="str">
        <f t="shared" si="443"/>
        <v>01</v>
      </c>
      <c r="R724" s="2" t="str">
        <f t="shared" si="443"/>
        <v>00</v>
      </c>
      <c r="T724" t="str">
        <f t="shared" si="436"/>
        <v>0001000101000100</v>
      </c>
      <c r="V724" s="8" t="str">
        <f t="shared" si="444"/>
        <v>00010001</v>
      </c>
      <c r="W724" s="8" t="str">
        <f t="shared" si="445"/>
        <v>01000100</v>
      </c>
      <c r="X724" s="8" t="str">
        <f t="shared" si="446"/>
        <v>11</v>
      </c>
      <c r="Y724" s="8" t="str">
        <f t="shared" si="447"/>
        <v>44</v>
      </c>
    </row>
    <row r="725" spans="1:36" x14ac:dyDescent="0.3">
      <c r="B725" s="2">
        <v>0</v>
      </c>
      <c r="C725" s="2">
        <v>0</v>
      </c>
      <c r="D725" s="2">
        <v>1</v>
      </c>
      <c r="E725" s="2">
        <v>3</v>
      </c>
      <c r="F725" s="2">
        <v>3</v>
      </c>
      <c r="G725" s="2">
        <v>1</v>
      </c>
      <c r="H725" s="2">
        <v>0</v>
      </c>
      <c r="I725" s="2">
        <v>0</v>
      </c>
      <c r="K725" s="2" t="str">
        <f t="shared" si="443"/>
        <v>00</v>
      </c>
      <c r="L725" s="2" t="str">
        <f t="shared" si="443"/>
        <v>00</v>
      </c>
      <c r="M725" s="2" t="str">
        <f t="shared" si="443"/>
        <v>01</v>
      </c>
      <c r="N725" s="2" t="str">
        <f t="shared" si="443"/>
        <v>11</v>
      </c>
      <c r="O725" s="2" t="str">
        <f t="shared" si="443"/>
        <v>11</v>
      </c>
      <c r="P725" s="2" t="str">
        <f t="shared" si="443"/>
        <v>01</v>
      </c>
      <c r="Q725" s="2" t="str">
        <f t="shared" si="443"/>
        <v>00</v>
      </c>
      <c r="R725" s="2" t="str">
        <f t="shared" si="443"/>
        <v>00</v>
      </c>
      <c r="T725" t="str">
        <f t="shared" si="436"/>
        <v>0000011111010000</v>
      </c>
      <c r="V725" s="9" t="str">
        <f t="shared" si="444"/>
        <v>00000111</v>
      </c>
      <c r="W725" s="9" t="str">
        <f t="shared" si="445"/>
        <v>11010000</v>
      </c>
      <c r="X725" s="9" t="str">
        <f t="shared" si="446"/>
        <v>07</v>
      </c>
      <c r="Y725" s="9" t="str">
        <f t="shared" si="447"/>
        <v>D0</v>
      </c>
    </row>
    <row r="726" spans="1:36" x14ac:dyDescent="0.3">
      <c r="B726" s="2">
        <v>0</v>
      </c>
      <c r="C726" s="2">
        <v>0</v>
      </c>
      <c r="D726" s="2">
        <v>0</v>
      </c>
      <c r="E726" s="2">
        <v>1</v>
      </c>
      <c r="F726" s="2">
        <v>1</v>
      </c>
      <c r="G726" s="2">
        <v>0</v>
      </c>
      <c r="H726" s="2">
        <v>0</v>
      </c>
      <c r="I726" s="2">
        <v>0</v>
      </c>
      <c r="K726" s="2" t="str">
        <f t="shared" si="443"/>
        <v>00</v>
      </c>
      <c r="L726" s="2" t="str">
        <f t="shared" si="443"/>
        <v>00</v>
      </c>
      <c r="M726" s="2" t="str">
        <f t="shared" si="443"/>
        <v>00</v>
      </c>
      <c r="N726" s="2" t="str">
        <f t="shared" si="443"/>
        <v>01</v>
      </c>
      <c r="O726" s="2" t="str">
        <f t="shared" si="443"/>
        <v>01</v>
      </c>
      <c r="P726" s="2" t="str">
        <f t="shared" si="443"/>
        <v>00</v>
      </c>
      <c r="Q726" s="2" t="str">
        <f t="shared" si="443"/>
        <v>00</v>
      </c>
      <c r="R726" s="2" t="str">
        <f t="shared" si="443"/>
        <v>00</v>
      </c>
      <c r="T726" t="str">
        <f t="shared" si="436"/>
        <v>0000000101000000</v>
      </c>
      <c r="V726" s="9" t="str">
        <f t="shared" si="444"/>
        <v>00000001</v>
      </c>
      <c r="W726" s="9" t="str">
        <f t="shared" si="445"/>
        <v>01000000</v>
      </c>
      <c r="X726" s="9" t="str">
        <f t="shared" si="446"/>
        <v>01</v>
      </c>
      <c r="Y726" s="9" t="str">
        <f t="shared" si="447"/>
        <v>40</v>
      </c>
    </row>
    <row r="727" spans="1:36" x14ac:dyDescent="0.3">
      <c r="B727" s="2">
        <v>0</v>
      </c>
      <c r="C727" s="2">
        <v>0</v>
      </c>
      <c r="D727" s="2">
        <v>0</v>
      </c>
      <c r="E727" s="2">
        <v>3</v>
      </c>
      <c r="F727" s="2">
        <v>3</v>
      </c>
      <c r="G727" s="2">
        <v>0</v>
      </c>
      <c r="H727" s="2">
        <v>0</v>
      </c>
      <c r="I727" s="2">
        <v>0</v>
      </c>
      <c r="K727" s="2" t="str">
        <f t="shared" si="443"/>
        <v>00</v>
      </c>
      <c r="L727" s="2" t="str">
        <f t="shared" si="443"/>
        <v>00</v>
      </c>
      <c r="M727" s="2" t="str">
        <f t="shared" si="443"/>
        <v>00</v>
      </c>
      <c r="N727" s="2" t="str">
        <f t="shared" si="443"/>
        <v>11</v>
      </c>
      <c r="O727" s="2" t="str">
        <f t="shared" si="443"/>
        <v>11</v>
      </c>
      <c r="P727" s="2" t="str">
        <f t="shared" si="443"/>
        <v>00</v>
      </c>
      <c r="Q727" s="2" t="str">
        <f t="shared" si="443"/>
        <v>00</v>
      </c>
      <c r="R727" s="2" t="str">
        <f t="shared" si="443"/>
        <v>00</v>
      </c>
      <c r="T727" t="str">
        <f t="shared" si="436"/>
        <v>0000001111000000</v>
      </c>
      <c r="V727" s="9" t="str">
        <f t="shared" si="444"/>
        <v>00000011</v>
      </c>
      <c r="W727" s="9" t="str">
        <f t="shared" si="445"/>
        <v>11000000</v>
      </c>
      <c r="X727" s="9" t="str">
        <f t="shared" si="446"/>
        <v>03</v>
      </c>
      <c r="Y727" s="9" t="str">
        <f t="shared" si="447"/>
        <v>C0</v>
      </c>
    </row>
    <row r="728" spans="1:36" x14ac:dyDescent="0.3">
      <c r="B728" s="2">
        <v>0</v>
      </c>
      <c r="C728" s="2">
        <v>0</v>
      </c>
      <c r="D728" s="2">
        <v>3</v>
      </c>
      <c r="E728" s="2">
        <v>1</v>
      </c>
      <c r="F728" s="2">
        <v>1</v>
      </c>
      <c r="G728" s="2">
        <v>3</v>
      </c>
      <c r="H728" s="2">
        <v>0</v>
      </c>
      <c r="I728" s="2">
        <v>0</v>
      </c>
      <c r="K728" s="2" t="str">
        <f t="shared" si="443"/>
        <v>00</v>
      </c>
      <c r="L728" s="2" t="str">
        <f t="shared" si="443"/>
        <v>00</v>
      </c>
      <c r="M728" s="2" t="str">
        <f t="shared" si="443"/>
        <v>11</v>
      </c>
      <c r="N728" s="2" t="str">
        <f t="shared" si="443"/>
        <v>01</v>
      </c>
      <c r="O728" s="2" t="str">
        <f t="shared" si="443"/>
        <v>01</v>
      </c>
      <c r="P728" s="2" t="str">
        <f t="shared" si="443"/>
        <v>11</v>
      </c>
      <c r="Q728" s="2" t="str">
        <f t="shared" si="443"/>
        <v>00</v>
      </c>
      <c r="R728" s="2" t="str">
        <f t="shared" si="443"/>
        <v>00</v>
      </c>
      <c r="T728" t="str">
        <f t="shared" si="436"/>
        <v>0000110101110000</v>
      </c>
      <c r="V728" s="9" t="str">
        <f t="shared" si="444"/>
        <v>00001101</v>
      </c>
      <c r="W728" s="9" t="str">
        <f t="shared" si="445"/>
        <v>01110000</v>
      </c>
      <c r="X728" s="9" t="str">
        <f t="shared" si="446"/>
        <v>0D</v>
      </c>
      <c r="Y728" s="9" t="str">
        <f t="shared" si="447"/>
        <v>70</v>
      </c>
    </row>
    <row r="729" spans="1:36" x14ac:dyDescent="0.3">
      <c r="B729" s="2">
        <v>0</v>
      </c>
      <c r="C729" s="2">
        <v>0</v>
      </c>
      <c r="D729" s="2">
        <v>3</v>
      </c>
      <c r="E729" s="2">
        <v>0</v>
      </c>
      <c r="F729" s="2">
        <v>0</v>
      </c>
      <c r="G729" s="2">
        <v>3</v>
      </c>
      <c r="H729" s="2">
        <v>0</v>
      </c>
      <c r="I729" s="2">
        <v>0</v>
      </c>
      <c r="K729" s="2" t="str">
        <f t="shared" si="443"/>
        <v>00</v>
      </c>
      <c r="L729" s="2" t="str">
        <f t="shared" si="443"/>
        <v>00</v>
      </c>
      <c r="M729" s="2" t="str">
        <f t="shared" si="443"/>
        <v>11</v>
      </c>
      <c r="N729" s="2" t="str">
        <f t="shared" si="443"/>
        <v>00</v>
      </c>
      <c r="O729" s="2" t="str">
        <f t="shared" si="443"/>
        <v>00</v>
      </c>
      <c r="P729" s="2" t="str">
        <f t="shared" si="443"/>
        <v>11</v>
      </c>
      <c r="Q729" s="2" t="str">
        <f t="shared" si="443"/>
        <v>00</v>
      </c>
      <c r="R729" s="2" t="str">
        <f t="shared" si="443"/>
        <v>00</v>
      </c>
      <c r="T729" t="str">
        <f t="shared" si="436"/>
        <v>0000110000110000</v>
      </c>
      <c r="V729" s="9" t="str">
        <f t="shared" si="444"/>
        <v>00001100</v>
      </c>
      <c r="W729" s="9" t="str">
        <f t="shared" si="445"/>
        <v>00110000</v>
      </c>
      <c r="X729" s="9" t="str">
        <f t="shared" si="446"/>
        <v>0C</v>
      </c>
      <c r="Y729" s="9" t="str">
        <f t="shared" si="447"/>
        <v>30</v>
      </c>
    </row>
    <row r="730" spans="1:36" x14ac:dyDescent="0.3">
      <c r="B730" s="2">
        <v>0</v>
      </c>
      <c r="C730" s="2">
        <v>0</v>
      </c>
      <c r="D730" s="2">
        <v>3</v>
      </c>
      <c r="E730" s="2">
        <v>0</v>
      </c>
      <c r="F730" s="2">
        <v>0</v>
      </c>
      <c r="G730" s="2">
        <v>3</v>
      </c>
      <c r="H730" s="2">
        <v>0</v>
      </c>
      <c r="I730" s="2">
        <v>0</v>
      </c>
      <c r="K730" s="2" t="str">
        <f t="shared" si="443"/>
        <v>00</v>
      </c>
      <c r="L730" s="2" t="str">
        <f t="shared" si="443"/>
        <v>00</v>
      </c>
      <c r="M730" s="2" t="str">
        <f t="shared" si="443"/>
        <v>11</v>
      </c>
      <c r="N730" s="2" t="str">
        <f t="shared" si="443"/>
        <v>00</v>
      </c>
      <c r="O730" s="2" t="str">
        <f t="shared" si="443"/>
        <v>00</v>
      </c>
      <c r="P730" s="2" t="str">
        <f t="shared" si="443"/>
        <v>11</v>
      </c>
      <c r="Q730" s="2" t="str">
        <f t="shared" si="443"/>
        <v>00</v>
      </c>
      <c r="R730" s="2" t="str">
        <f t="shared" si="443"/>
        <v>00</v>
      </c>
      <c r="T730" t="str">
        <f t="shared" si="436"/>
        <v>0000110000110000</v>
      </c>
      <c r="V730" s="9" t="str">
        <f t="shared" si="444"/>
        <v>00001100</v>
      </c>
      <c r="W730" s="9" t="str">
        <f t="shared" si="445"/>
        <v>00110000</v>
      </c>
      <c r="X730" s="9" t="str">
        <f t="shared" si="446"/>
        <v>0C</v>
      </c>
      <c r="Y730" s="9" t="str">
        <f t="shared" si="447"/>
        <v>30</v>
      </c>
    </row>
    <row r="731" spans="1:36" x14ac:dyDescent="0.3">
      <c r="B731" s="2">
        <v>0</v>
      </c>
      <c r="C731" s="2">
        <v>1</v>
      </c>
      <c r="D731" s="2">
        <v>1</v>
      </c>
      <c r="E731" s="2">
        <v>0</v>
      </c>
      <c r="F731" s="2">
        <v>0</v>
      </c>
      <c r="G731" s="2">
        <v>1</v>
      </c>
      <c r="H731" s="2">
        <v>1</v>
      </c>
      <c r="I731" s="2">
        <v>0</v>
      </c>
      <c r="K731" s="2" t="str">
        <f t="shared" si="443"/>
        <v>00</v>
      </c>
      <c r="L731" s="2" t="str">
        <f t="shared" si="443"/>
        <v>01</v>
      </c>
      <c r="M731" s="2" t="str">
        <f t="shared" si="443"/>
        <v>01</v>
      </c>
      <c r="N731" s="2" t="str">
        <f t="shared" si="443"/>
        <v>00</v>
      </c>
      <c r="O731" s="2" t="str">
        <f t="shared" si="443"/>
        <v>00</v>
      </c>
      <c r="P731" s="2" t="str">
        <f t="shared" si="443"/>
        <v>01</v>
      </c>
      <c r="Q731" s="2" t="str">
        <f t="shared" si="443"/>
        <v>01</v>
      </c>
      <c r="R731" s="2" t="str">
        <f t="shared" si="443"/>
        <v>00</v>
      </c>
      <c r="T731" t="str">
        <f t="shared" si="436"/>
        <v>0001010000010100</v>
      </c>
      <c r="V731" s="10" t="str">
        <f t="shared" si="444"/>
        <v>00010100</v>
      </c>
      <c r="W731" s="10" t="str">
        <f t="shared" si="445"/>
        <v>00010100</v>
      </c>
      <c r="X731" s="10" t="str">
        <f t="shared" si="446"/>
        <v>14</v>
      </c>
      <c r="Y731" s="10" t="str">
        <f t="shared" si="447"/>
        <v>14</v>
      </c>
    </row>
    <row r="732" spans="1:36" x14ac:dyDescent="0.3">
      <c r="A732" t="s">
        <v>39</v>
      </c>
      <c r="AJ732" t="str">
        <f>";"&amp;PROPER(A732)</f>
        <v>;Rockford 11 (Left 1)</v>
      </c>
    </row>
    <row r="733" spans="1:36" x14ac:dyDescent="0.3">
      <c r="B733" s="2">
        <v>0</v>
      </c>
      <c r="C733" s="2">
        <v>0</v>
      </c>
      <c r="D733" s="2">
        <v>0</v>
      </c>
      <c r="E733" s="2">
        <v>3</v>
      </c>
      <c r="F733" s="2">
        <v>3</v>
      </c>
      <c r="G733" s="2">
        <v>0</v>
      </c>
      <c r="H733" s="2">
        <v>0</v>
      </c>
      <c r="I733" s="2">
        <v>0</v>
      </c>
      <c r="K733" s="2" t="str">
        <f t="shared" ref="K733:R748" si="449">DEC2BIN(B733,2)</f>
        <v>00</v>
      </c>
      <c r="L733" s="2" t="str">
        <f t="shared" si="449"/>
        <v>00</v>
      </c>
      <c r="M733" s="2" t="str">
        <f t="shared" si="449"/>
        <v>00</v>
      </c>
      <c r="N733" s="2" t="str">
        <f t="shared" si="449"/>
        <v>11</v>
      </c>
      <c r="O733" s="2" t="str">
        <f t="shared" si="449"/>
        <v>11</v>
      </c>
      <c r="P733" s="2" t="str">
        <f t="shared" si="449"/>
        <v>00</v>
      </c>
      <c r="Q733" s="2" t="str">
        <f t="shared" si="449"/>
        <v>00</v>
      </c>
      <c r="R733" s="2" t="str">
        <f t="shared" si="449"/>
        <v>00</v>
      </c>
      <c r="T733" t="str">
        <f t="shared" si="436"/>
        <v>0000001111000000</v>
      </c>
      <c r="V733" s="8" t="str">
        <f>LEFT(T733,8)</f>
        <v>00000011</v>
      </c>
      <c r="W733" s="8" t="str">
        <f>RIGHT(T733,8)</f>
        <v>11000000</v>
      </c>
      <c r="X733" s="8" t="str">
        <f>BIN2HEX(V733,2)</f>
        <v>03</v>
      </c>
      <c r="Y733" s="8" t="str">
        <f>BIN2HEX(W733,2)</f>
        <v>C0</v>
      </c>
      <c r="AA733" t="str" cm="1">
        <f t="array" ref="AA733:AH733">TRANSPOSE(X733:X740)</f>
        <v>03</v>
      </c>
      <c r="AB733" t="str">
        <v>0F</v>
      </c>
      <c r="AC733" t="str">
        <v>33</v>
      </c>
      <c r="AD733" t="str">
        <v>33</v>
      </c>
      <c r="AE733" t="str">
        <v>0F</v>
      </c>
      <c r="AF733" t="str">
        <v>03</v>
      </c>
      <c r="AG733" t="str">
        <v>03</v>
      </c>
      <c r="AH733" t="str">
        <v>07</v>
      </c>
      <c r="AJ733" t="str">
        <f>LOWER("!byte $"&amp;AA733&amp;", $"&amp;AB733&amp;", $"&amp;AC733&amp;", $"&amp;AD733&amp;", $"&amp;AE733&amp;", $"&amp;AF733&amp;", $"&amp;AG733&amp;", $"&amp;AH733)</f>
        <v>!byte $03, $0f, $33, $33, $0f, $03, $03, $07</v>
      </c>
    </row>
    <row r="734" spans="1:36" x14ac:dyDescent="0.3">
      <c r="B734" s="2">
        <v>0</v>
      </c>
      <c r="C734" s="2">
        <v>0</v>
      </c>
      <c r="D734" s="2">
        <v>3</v>
      </c>
      <c r="E734" s="2">
        <v>3</v>
      </c>
      <c r="F734" s="2">
        <v>3</v>
      </c>
      <c r="G734" s="2">
        <v>3</v>
      </c>
      <c r="H734" s="2">
        <v>0</v>
      </c>
      <c r="I734" s="2">
        <v>0</v>
      </c>
      <c r="K734" s="2" t="str">
        <f t="shared" si="449"/>
        <v>00</v>
      </c>
      <c r="L734" s="2" t="str">
        <f t="shared" si="449"/>
        <v>00</v>
      </c>
      <c r="M734" s="2" t="str">
        <f t="shared" si="449"/>
        <v>11</v>
      </c>
      <c r="N734" s="2" t="str">
        <f t="shared" si="449"/>
        <v>11</v>
      </c>
      <c r="O734" s="2" t="str">
        <f t="shared" si="449"/>
        <v>11</v>
      </c>
      <c r="P734" s="2" t="str">
        <f t="shared" si="449"/>
        <v>11</v>
      </c>
      <c r="Q734" s="2" t="str">
        <f t="shared" si="449"/>
        <v>00</v>
      </c>
      <c r="R734" s="2" t="str">
        <f t="shared" si="449"/>
        <v>00</v>
      </c>
      <c r="T734" t="str">
        <f t="shared" si="436"/>
        <v>0000111111110000</v>
      </c>
      <c r="V734" s="9" t="str">
        <f t="shared" ref="V734:V748" si="450">LEFT(T734,8)</f>
        <v>00001111</v>
      </c>
      <c r="W734" s="9" t="str">
        <f t="shared" ref="W734:W748" si="451">RIGHT(T734,8)</f>
        <v>11110000</v>
      </c>
      <c r="X734" s="9" t="str">
        <f t="shared" ref="X734:X748" si="452">BIN2HEX(V734,2)</f>
        <v>0F</v>
      </c>
      <c r="Y734" s="9" t="str">
        <f t="shared" ref="Y734:Y748" si="453">BIN2HEX(W734,2)</f>
        <v>F0</v>
      </c>
      <c r="AA734" t="str" cm="1">
        <f t="array" ref="AA734:AH734">TRANSPOSE(X741:X748)</f>
        <v>01</v>
      </c>
      <c r="AB734" t="str">
        <v>03</v>
      </c>
      <c r="AC734" t="str">
        <v>01</v>
      </c>
      <c r="AD734" t="str">
        <v>03</v>
      </c>
      <c r="AE734" t="str">
        <v>0D</v>
      </c>
      <c r="AF734" t="str">
        <v>30</v>
      </c>
      <c r="AG734" t="str">
        <v>30</v>
      </c>
      <c r="AH734" t="str">
        <v>50</v>
      </c>
      <c r="AJ734" t="str">
        <f t="shared" ref="AJ734:AJ736" si="454">LOWER("!byte $"&amp;AA734&amp;", $"&amp;AB734&amp;", $"&amp;AC734&amp;", $"&amp;AD734&amp;", $"&amp;AE734&amp;", $"&amp;AF734&amp;", $"&amp;AG734&amp;", $"&amp;AH734)</f>
        <v>!byte $01, $03, $01, $03, $0d, $30, $30, $50</v>
      </c>
    </row>
    <row r="735" spans="1:36" x14ac:dyDescent="0.3">
      <c r="B735" s="2">
        <v>0</v>
      </c>
      <c r="C735" s="2">
        <v>3</v>
      </c>
      <c r="D735" s="2">
        <v>0</v>
      </c>
      <c r="E735" s="2">
        <v>3</v>
      </c>
      <c r="F735" s="2">
        <v>3</v>
      </c>
      <c r="G735" s="2">
        <v>3</v>
      </c>
      <c r="H735" s="2">
        <v>0</v>
      </c>
      <c r="I735" s="2">
        <v>0</v>
      </c>
      <c r="K735" s="2" t="str">
        <f t="shared" si="449"/>
        <v>00</v>
      </c>
      <c r="L735" s="2" t="str">
        <f t="shared" si="449"/>
        <v>11</v>
      </c>
      <c r="M735" s="2" t="str">
        <f t="shared" si="449"/>
        <v>00</v>
      </c>
      <c r="N735" s="2" t="str">
        <f t="shared" si="449"/>
        <v>11</v>
      </c>
      <c r="O735" s="2" t="str">
        <f t="shared" si="449"/>
        <v>11</v>
      </c>
      <c r="P735" s="2" t="str">
        <f t="shared" si="449"/>
        <v>11</v>
      </c>
      <c r="Q735" s="2" t="str">
        <f t="shared" si="449"/>
        <v>00</v>
      </c>
      <c r="R735" s="2" t="str">
        <f t="shared" si="449"/>
        <v>00</v>
      </c>
      <c r="T735" t="str">
        <f t="shared" si="436"/>
        <v>0011001111110000</v>
      </c>
      <c r="V735" s="9" t="str">
        <f t="shared" si="450"/>
        <v>00110011</v>
      </c>
      <c r="W735" s="9" t="str">
        <f t="shared" si="451"/>
        <v>11110000</v>
      </c>
      <c r="X735" s="9" t="str">
        <f t="shared" si="452"/>
        <v>33</v>
      </c>
      <c r="Y735" s="9" t="str">
        <f t="shared" si="453"/>
        <v>F0</v>
      </c>
      <c r="AA735" t="str" cm="1">
        <f t="array" ref="AA735:AH735">TRANSPOSE(Y733:Y740)</f>
        <v>C0</v>
      </c>
      <c r="AB735" t="str">
        <v>F0</v>
      </c>
      <c r="AC735" t="str">
        <v>F0</v>
      </c>
      <c r="AD735" t="str">
        <v>F0</v>
      </c>
      <c r="AE735" t="str">
        <v>F0</v>
      </c>
      <c r="AF735" t="str">
        <v>C0</v>
      </c>
      <c r="AG735" t="str">
        <v>C0</v>
      </c>
      <c r="AH735" t="str">
        <v>C0</v>
      </c>
      <c r="AJ735" t="str">
        <f t="shared" si="454"/>
        <v>!byte $c0, $f0, $f0, $f0, $f0, $c0, $c0, $c0</v>
      </c>
    </row>
    <row r="736" spans="1:36" x14ac:dyDescent="0.3">
      <c r="B736" s="2">
        <v>0</v>
      </c>
      <c r="C736" s="2">
        <v>3</v>
      </c>
      <c r="D736" s="2">
        <v>0</v>
      </c>
      <c r="E736" s="2">
        <v>3</v>
      </c>
      <c r="F736" s="2">
        <v>3</v>
      </c>
      <c r="G736" s="2">
        <v>3</v>
      </c>
      <c r="H736" s="2">
        <v>0</v>
      </c>
      <c r="I736" s="2">
        <v>0</v>
      </c>
      <c r="K736" s="2" t="str">
        <f t="shared" si="449"/>
        <v>00</v>
      </c>
      <c r="L736" s="2" t="str">
        <f t="shared" si="449"/>
        <v>11</v>
      </c>
      <c r="M736" s="2" t="str">
        <f t="shared" si="449"/>
        <v>00</v>
      </c>
      <c r="N736" s="2" t="str">
        <f t="shared" si="449"/>
        <v>11</v>
      </c>
      <c r="O736" s="2" t="str">
        <f t="shared" si="449"/>
        <v>11</v>
      </c>
      <c r="P736" s="2" t="str">
        <f t="shared" si="449"/>
        <v>11</v>
      </c>
      <c r="Q736" s="2" t="str">
        <f t="shared" si="449"/>
        <v>00</v>
      </c>
      <c r="R736" s="2" t="str">
        <f t="shared" si="449"/>
        <v>00</v>
      </c>
      <c r="T736" t="str">
        <f t="shared" si="436"/>
        <v>0011001111110000</v>
      </c>
      <c r="V736" s="9" t="str">
        <f t="shared" si="450"/>
        <v>00110011</v>
      </c>
      <c r="W736" s="9" t="str">
        <f t="shared" si="451"/>
        <v>11110000</v>
      </c>
      <c r="X736" s="9" t="str">
        <f t="shared" si="452"/>
        <v>33</v>
      </c>
      <c r="Y736" s="9" t="str">
        <f t="shared" si="453"/>
        <v>F0</v>
      </c>
      <c r="AA736" t="str" cm="1">
        <f t="array" ref="AA736:AH736">TRANSPOSE(Y741:Y748)</f>
        <v>40</v>
      </c>
      <c r="AB736" t="str">
        <v>C0</v>
      </c>
      <c r="AC736" t="str">
        <v>40</v>
      </c>
      <c r="AD736" t="str">
        <v>C0</v>
      </c>
      <c r="AE736" t="str">
        <v>7C</v>
      </c>
      <c r="AF736" t="str">
        <v>01</v>
      </c>
      <c r="AG736" t="str">
        <v>01</v>
      </c>
      <c r="AH736" t="str">
        <v>00</v>
      </c>
      <c r="AJ736" t="str">
        <f t="shared" si="454"/>
        <v>!byte $40, $c0, $40, $c0, $7c, $01, $01, $00</v>
      </c>
    </row>
    <row r="737" spans="1:36" x14ac:dyDescent="0.3">
      <c r="B737" s="2">
        <v>0</v>
      </c>
      <c r="C737" s="2">
        <v>0</v>
      </c>
      <c r="D737" s="2">
        <v>3</v>
      </c>
      <c r="E737" s="2">
        <v>3</v>
      </c>
      <c r="F737" s="2">
        <v>3</v>
      </c>
      <c r="G737" s="2">
        <v>3</v>
      </c>
      <c r="H737" s="2">
        <v>0</v>
      </c>
      <c r="I737" s="2">
        <v>0</v>
      </c>
      <c r="K737" s="2" t="str">
        <f t="shared" si="449"/>
        <v>00</v>
      </c>
      <c r="L737" s="2" t="str">
        <f t="shared" si="449"/>
        <v>00</v>
      </c>
      <c r="M737" s="2" t="str">
        <f t="shared" si="449"/>
        <v>11</v>
      </c>
      <c r="N737" s="2" t="str">
        <f t="shared" si="449"/>
        <v>11</v>
      </c>
      <c r="O737" s="2" t="str">
        <f t="shared" si="449"/>
        <v>11</v>
      </c>
      <c r="P737" s="2" t="str">
        <f t="shared" si="449"/>
        <v>11</v>
      </c>
      <c r="Q737" s="2" t="str">
        <f t="shared" si="449"/>
        <v>00</v>
      </c>
      <c r="R737" s="2" t="str">
        <f t="shared" si="449"/>
        <v>00</v>
      </c>
      <c r="T737" t="str">
        <f t="shared" si="436"/>
        <v>0000111111110000</v>
      </c>
      <c r="V737" s="9" t="str">
        <f t="shared" si="450"/>
        <v>00001111</v>
      </c>
      <c r="W737" s="9" t="str">
        <f t="shared" si="451"/>
        <v>11110000</v>
      </c>
      <c r="X737" s="9" t="str">
        <f t="shared" si="452"/>
        <v>0F</v>
      </c>
      <c r="Y737" s="9" t="str">
        <f t="shared" si="453"/>
        <v>F0</v>
      </c>
    </row>
    <row r="738" spans="1:36" x14ac:dyDescent="0.3">
      <c r="B738" s="2">
        <v>0</v>
      </c>
      <c r="C738" s="2">
        <v>0</v>
      </c>
      <c r="D738" s="2">
        <v>0</v>
      </c>
      <c r="E738" s="2">
        <v>3</v>
      </c>
      <c r="F738" s="2">
        <v>3</v>
      </c>
      <c r="G738" s="2">
        <v>0</v>
      </c>
      <c r="H738" s="2">
        <v>0</v>
      </c>
      <c r="I738" s="2">
        <v>0</v>
      </c>
      <c r="K738" s="2" t="str">
        <f t="shared" si="449"/>
        <v>00</v>
      </c>
      <c r="L738" s="2" t="str">
        <f t="shared" si="449"/>
        <v>00</v>
      </c>
      <c r="M738" s="2" t="str">
        <f t="shared" si="449"/>
        <v>00</v>
      </c>
      <c r="N738" s="2" t="str">
        <f t="shared" si="449"/>
        <v>11</v>
      </c>
      <c r="O738" s="2" t="str">
        <f t="shared" si="449"/>
        <v>11</v>
      </c>
      <c r="P738" s="2" t="str">
        <f t="shared" si="449"/>
        <v>00</v>
      </c>
      <c r="Q738" s="2" t="str">
        <f t="shared" si="449"/>
        <v>00</v>
      </c>
      <c r="R738" s="2" t="str">
        <f t="shared" si="449"/>
        <v>00</v>
      </c>
      <c r="T738" t="str">
        <f t="shared" si="436"/>
        <v>0000001111000000</v>
      </c>
      <c r="V738" s="9" t="str">
        <f t="shared" si="450"/>
        <v>00000011</v>
      </c>
      <c r="W738" s="9" t="str">
        <f t="shared" si="451"/>
        <v>11000000</v>
      </c>
      <c r="X738" s="9" t="str">
        <f t="shared" si="452"/>
        <v>03</v>
      </c>
      <c r="Y738" s="9" t="str">
        <f t="shared" si="453"/>
        <v>C0</v>
      </c>
    </row>
    <row r="739" spans="1:36" x14ac:dyDescent="0.3">
      <c r="B739" s="2">
        <v>0</v>
      </c>
      <c r="C739" s="2">
        <v>0</v>
      </c>
      <c r="D739" s="2">
        <v>0</v>
      </c>
      <c r="E739" s="2">
        <v>3</v>
      </c>
      <c r="F739" s="2">
        <v>3</v>
      </c>
      <c r="G739" s="2">
        <v>0</v>
      </c>
      <c r="H739" s="2">
        <v>0</v>
      </c>
      <c r="I739" s="2">
        <v>0</v>
      </c>
      <c r="K739" s="2" t="str">
        <f t="shared" si="449"/>
        <v>00</v>
      </c>
      <c r="L739" s="2" t="str">
        <f t="shared" si="449"/>
        <v>00</v>
      </c>
      <c r="M739" s="2" t="str">
        <f t="shared" si="449"/>
        <v>00</v>
      </c>
      <c r="N739" s="2" t="str">
        <f t="shared" si="449"/>
        <v>11</v>
      </c>
      <c r="O739" s="2" t="str">
        <f t="shared" si="449"/>
        <v>11</v>
      </c>
      <c r="P739" s="2" t="str">
        <f t="shared" si="449"/>
        <v>00</v>
      </c>
      <c r="Q739" s="2" t="str">
        <f t="shared" si="449"/>
        <v>00</v>
      </c>
      <c r="R739" s="2" t="str">
        <f t="shared" si="449"/>
        <v>00</v>
      </c>
      <c r="T739" t="str">
        <f t="shared" si="436"/>
        <v>0000001111000000</v>
      </c>
      <c r="V739" s="9" t="str">
        <f t="shared" si="450"/>
        <v>00000011</v>
      </c>
      <c r="W739" s="9" t="str">
        <f t="shared" si="451"/>
        <v>11000000</v>
      </c>
      <c r="X739" s="9" t="str">
        <f t="shared" si="452"/>
        <v>03</v>
      </c>
      <c r="Y739" s="9" t="str">
        <f t="shared" si="453"/>
        <v>C0</v>
      </c>
    </row>
    <row r="740" spans="1:36" x14ac:dyDescent="0.3">
      <c r="B740" s="2">
        <v>0</v>
      </c>
      <c r="C740" s="2">
        <v>0</v>
      </c>
      <c r="D740" s="2">
        <v>1</v>
      </c>
      <c r="E740" s="2">
        <v>3</v>
      </c>
      <c r="F740" s="2">
        <v>3</v>
      </c>
      <c r="G740" s="2">
        <v>0</v>
      </c>
      <c r="H740" s="2">
        <v>0</v>
      </c>
      <c r="I740" s="2">
        <v>0</v>
      </c>
      <c r="K740" s="2" t="str">
        <f t="shared" si="449"/>
        <v>00</v>
      </c>
      <c r="L740" s="2" t="str">
        <f t="shared" si="449"/>
        <v>00</v>
      </c>
      <c r="M740" s="2" t="str">
        <f t="shared" si="449"/>
        <v>01</v>
      </c>
      <c r="N740" s="2" t="str">
        <f t="shared" si="449"/>
        <v>11</v>
      </c>
      <c r="O740" s="2" t="str">
        <f t="shared" si="449"/>
        <v>11</v>
      </c>
      <c r="P740" s="2" t="str">
        <f t="shared" si="449"/>
        <v>00</v>
      </c>
      <c r="Q740" s="2" t="str">
        <f t="shared" si="449"/>
        <v>00</v>
      </c>
      <c r="R740" s="2" t="str">
        <f t="shared" si="449"/>
        <v>00</v>
      </c>
      <c r="T740" t="str">
        <f t="shared" si="436"/>
        <v>0000011111000000</v>
      </c>
      <c r="V740" s="10" t="str">
        <f t="shared" si="450"/>
        <v>00000111</v>
      </c>
      <c r="W740" s="10" t="str">
        <f t="shared" si="451"/>
        <v>11000000</v>
      </c>
      <c r="X740" s="10" t="str">
        <f t="shared" si="452"/>
        <v>07</v>
      </c>
      <c r="Y740" s="10" t="str">
        <f t="shared" si="453"/>
        <v>C0</v>
      </c>
    </row>
    <row r="741" spans="1:36" x14ac:dyDescent="0.3">
      <c r="B741" s="2">
        <v>0</v>
      </c>
      <c r="C741" s="2">
        <v>0</v>
      </c>
      <c r="D741" s="2">
        <v>0</v>
      </c>
      <c r="E741" s="2">
        <v>1</v>
      </c>
      <c r="F741" s="2">
        <v>1</v>
      </c>
      <c r="G741" s="2">
        <v>0</v>
      </c>
      <c r="H741" s="2">
        <v>0</v>
      </c>
      <c r="I741" s="2">
        <v>0</v>
      </c>
      <c r="K741" s="2" t="str">
        <f t="shared" si="449"/>
        <v>00</v>
      </c>
      <c r="L741" s="2" t="str">
        <f t="shared" si="449"/>
        <v>00</v>
      </c>
      <c r="M741" s="2" t="str">
        <f t="shared" si="449"/>
        <v>00</v>
      </c>
      <c r="N741" s="2" t="str">
        <f t="shared" si="449"/>
        <v>01</v>
      </c>
      <c r="O741" s="2" t="str">
        <f t="shared" si="449"/>
        <v>01</v>
      </c>
      <c r="P741" s="2" t="str">
        <f t="shared" si="449"/>
        <v>00</v>
      </c>
      <c r="Q741" s="2" t="str">
        <f t="shared" si="449"/>
        <v>00</v>
      </c>
      <c r="R741" s="2" t="str">
        <f t="shared" si="449"/>
        <v>00</v>
      </c>
      <c r="T741" t="str">
        <f t="shared" si="436"/>
        <v>0000000101000000</v>
      </c>
      <c r="V741" s="8" t="str">
        <f t="shared" si="450"/>
        <v>00000001</v>
      </c>
      <c r="W741" s="8" t="str">
        <f t="shared" si="451"/>
        <v>01000000</v>
      </c>
      <c r="X741" s="8" t="str">
        <f t="shared" si="452"/>
        <v>01</v>
      </c>
      <c r="Y741" s="8" t="str">
        <f t="shared" si="453"/>
        <v>40</v>
      </c>
    </row>
    <row r="742" spans="1:36" x14ac:dyDescent="0.3">
      <c r="B742" s="2">
        <v>0</v>
      </c>
      <c r="C742" s="2">
        <v>0</v>
      </c>
      <c r="D742" s="2">
        <v>0</v>
      </c>
      <c r="E742" s="2">
        <v>3</v>
      </c>
      <c r="F742" s="2">
        <v>3</v>
      </c>
      <c r="G742" s="2">
        <v>0</v>
      </c>
      <c r="H742" s="2">
        <v>0</v>
      </c>
      <c r="I742" s="2">
        <v>0</v>
      </c>
      <c r="K742" s="2" t="str">
        <f t="shared" si="449"/>
        <v>00</v>
      </c>
      <c r="L742" s="2" t="str">
        <f t="shared" si="449"/>
        <v>00</v>
      </c>
      <c r="M742" s="2" t="str">
        <f t="shared" si="449"/>
        <v>00</v>
      </c>
      <c r="N742" s="2" t="str">
        <f t="shared" si="449"/>
        <v>11</v>
      </c>
      <c r="O742" s="2" t="str">
        <f t="shared" si="449"/>
        <v>11</v>
      </c>
      <c r="P742" s="2" t="str">
        <f t="shared" si="449"/>
        <v>00</v>
      </c>
      <c r="Q742" s="2" t="str">
        <f t="shared" si="449"/>
        <v>00</v>
      </c>
      <c r="R742" s="2" t="str">
        <f t="shared" si="449"/>
        <v>00</v>
      </c>
      <c r="T742" t="str">
        <f t="shared" si="436"/>
        <v>0000001111000000</v>
      </c>
      <c r="V742" s="9" t="str">
        <f t="shared" si="450"/>
        <v>00000011</v>
      </c>
      <c r="W742" s="9" t="str">
        <f t="shared" si="451"/>
        <v>11000000</v>
      </c>
      <c r="X742" s="9" t="str">
        <f t="shared" si="452"/>
        <v>03</v>
      </c>
      <c r="Y742" s="9" t="str">
        <f t="shared" si="453"/>
        <v>C0</v>
      </c>
    </row>
    <row r="743" spans="1:36" x14ac:dyDescent="0.3">
      <c r="B743" s="2">
        <v>0</v>
      </c>
      <c r="C743" s="2">
        <v>0</v>
      </c>
      <c r="D743" s="2">
        <v>0</v>
      </c>
      <c r="E743" s="2">
        <v>1</v>
      </c>
      <c r="F743" s="2">
        <v>1</v>
      </c>
      <c r="G743" s="2">
        <v>0</v>
      </c>
      <c r="H743" s="2">
        <v>0</v>
      </c>
      <c r="I743" s="2">
        <v>0</v>
      </c>
      <c r="K743" s="2" t="str">
        <f t="shared" si="449"/>
        <v>00</v>
      </c>
      <c r="L743" s="2" t="str">
        <f t="shared" si="449"/>
        <v>00</v>
      </c>
      <c r="M743" s="2" t="str">
        <f t="shared" si="449"/>
        <v>00</v>
      </c>
      <c r="N743" s="2" t="str">
        <f t="shared" si="449"/>
        <v>01</v>
      </c>
      <c r="O743" s="2" t="str">
        <f t="shared" si="449"/>
        <v>01</v>
      </c>
      <c r="P743" s="2" t="str">
        <f t="shared" si="449"/>
        <v>00</v>
      </c>
      <c r="Q743" s="2" t="str">
        <f t="shared" si="449"/>
        <v>00</v>
      </c>
      <c r="R743" s="2" t="str">
        <f t="shared" si="449"/>
        <v>00</v>
      </c>
      <c r="T743" t="str">
        <f t="shared" si="436"/>
        <v>0000000101000000</v>
      </c>
      <c r="V743" s="9" t="str">
        <f t="shared" si="450"/>
        <v>00000001</v>
      </c>
      <c r="W743" s="9" t="str">
        <f t="shared" si="451"/>
        <v>01000000</v>
      </c>
      <c r="X743" s="9" t="str">
        <f t="shared" si="452"/>
        <v>01</v>
      </c>
      <c r="Y743" s="9" t="str">
        <f t="shared" si="453"/>
        <v>40</v>
      </c>
    </row>
    <row r="744" spans="1:36" x14ac:dyDescent="0.3">
      <c r="B744" s="2">
        <v>0</v>
      </c>
      <c r="C744" s="2">
        <v>0</v>
      </c>
      <c r="D744" s="2">
        <v>0</v>
      </c>
      <c r="E744" s="2">
        <v>3</v>
      </c>
      <c r="F744" s="2">
        <v>3</v>
      </c>
      <c r="G744" s="2">
        <v>0</v>
      </c>
      <c r="H744" s="2">
        <v>0</v>
      </c>
      <c r="I744" s="2">
        <v>0</v>
      </c>
      <c r="K744" s="2" t="str">
        <f t="shared" si="449"/>
        <v>00</v>
      </c>
      <c r="L744" s="2" t="str">
        <f t="shared" si="449"/>
        <v>00</v>
      </c>
      <c r="M744" s="2" t="str">
        <f t="shared" si="449"/>
        <v>00</v>
      </c>
      <c r="N744" s="2" t="str">
        <f t="shared" si="449"/>
        <v>11</v>
      </c>
      <c r="O744" s="2" t="str">
        <f t="shared" si="449"/>
        <v>11</v>
      </c>
      <c r="P744" s="2" t="str">
        <f t="shared" si="449"/>
        <v>00</v>
      </c>
      <c r="Q744" s="2" t="str">
        <f t="shared" si="449"/>
        <v>00</v>
      </c>
      <c r="R744" s="2" t="str">
        <f t="shared" si="449"/>
        <v>00</v>
      </c>
      <c r="T744" t="str">
        <f t="shared" si="436"/>
        <v>0000001111000000</v>
      </c>
      <c r="V744" s="9" t="str">
        <f t="shared" si="450"/>
        <v>00000011</v>
      </c>
      <c r="W744" s="9" t="str">
        <f t="shared" si="451"/>
        <v>11000000</v>
      </c>
      <c r="X744" s="9" t="str">
        <f t="shared" si="452"/>
        <v>03</v>
      </c>
      <c r="Y744" s="9" t="str">
        <f t="shared" si="453"/>
        <v>C0</v>
      </c>
    </row>
    <row r="745" spans="1:36" x14ac:dyDescent="0.3">
      <c r="B745" s="2">
        <v>0</v>
      </c>
      <c r="C745" s="2">
        <v>0</v>
      </c>
      <c r="D745" s="2">
        <v>3</v>
      </c>
      <c r="E745" s="2">
        <v>1</v>
      </c>
      <c r="F745" s="2">
        <v>1</v>
      </c>
      <c r="G745" s="2">
        <v>3</v>
      </c>
      <c r="H745" s="2">
        <v>3</v>
      </c>
      <c r="I745" s="2">
        <v>0</v>
      </c>
      <c r="K745" s="2" t="str">
        <f t="shared" si="449"/>
        <v>00</v>
      </c>
      <c r="L745" s="2" t="str">
        <f t="shared" si="449"/>
        <v>00</v>
      </c>
      <c r="M745" s="2" t="str">
        <f t="shared" si="449"/>
        <v>11</v>
      </c>
      <c r="N745" s="2" t="str">
        <f t="shared" si="449"/>
        <v>01</v>
      </c>
      <c r="O745" s="2" t="str">
        <f t="shared" si="449"/>
        <v>01</v>
      </c>
      <c r="P745" s="2" t="str">
        <f t="shared" si="449"/>
        <v>11</v>
      </c>
      <c r="Q745" s="2" t="str">
        <f t="shared" si="449"/>
        <v>11</v>
      </c>
      <c r="R745" s="2" t="str">
        <f t="shared" si="449"/>
        <v>00</v>
      </c>
      <c r="T745" t="str">
        <f t="shared" si="436"/>
        <v>0000110101111100</v>
      </c>
      <c r="V745" s="9" t="str">
        <f t="shared" si="450"/>
        <v>00001101</v>
      </c>
      <c r="W745" s="9" t="str">
        <f t="shared" si="451"/>
        <v>01111100</v>
      </c>
      <c r="X745" s="9" t="str">
        <f t="shared" si="452"/>
        <v>0D</v>
      </c>
      <c r="Y745" s="9" t="str">
        <f t="shared" si="453"/>
        <v>7C</v>
      </c>
    </row>
    <row r="746" spans="1:36" x14ac:dyDescent="0.3">
      <c r="B746" s="2">
        <v>0</v>
      </c>
      <c r="C746" s="2">
        <v>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1</v>
      </c>
      <c r="K746" s="2" t="str">
        <f t="shared" si="449"/>
        <v>00</v>
      </c>
      <c r="L746" s="2" t="str">
        <f t="shared" si="449"/>
        <v>11</v>
      </c>
      <c r="M746" s="2" t="str">
        <f t="shared" si="449"/>
        <v>00</v>
      </c>
      <c r="N746" s="2" t="str">
        <f t="shared" si="449"/>
        <v>00</v>
      </c>
      <c r="O746" s="2" t="str">
        <f t="shared" si="449"/>
        <v>00</v>
      </c>
      <c r="P746" s="2" t="str">
        <f t="shared" si="449"/>
        <v>00</v>
      </c>
      <c r="Q746" s="2" t="str">
        <f t="shared" si="449"/>
        <v>00</v>
      </c>
      <c r="R746" s="2" t="str">
        <f t="shared" si="449"/>
        <v>01</v>
      </c>
      <c r="T746" t="str">
        <f t="shared" si="436"/>
        <v>0011000000000001</v>
      </c>
      <c r="V746" s="9" t="str">
        <f t="shared" si="450"/>
        <v>00110000</v>
      </c>
      <c r="W746" s="9" t="str">
        <f t="shared" si="451"/>
        <v>00000001</v>
      </c>
      <c r="X746" s="9" t="str">
        <f t="shared" si="452"/>
        <v>30</v>
      </c>
      <c r="Y746" s="9" t="str">
        <f t="shared" si="453"/>
        <v>01</v>
      </c>
    </row>
    <row r="747" spans="1:36" x14ac:dyDescent="0.3">
      <c r="B747" s="2">
        <v>0</v>
      </c>
      <c r="C747" s="2">
        <v>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1</v>
      </c>
      <c r="K747" s="2" t="str">
        <f t="shared" si="449"/>
        <v>00</v>
      </c>
      <c r="L747" s="2" t="str">
        <f t="shared" si="449"/>
        <v>11</v>
      </c>
      <c r="M747" s="2" t="str">
        <f t="shared" si="449"/>
        <v>00</v>
      </c>
      <c r="N747" s="2" t="str">
        <f t="shared" si="449"/>
        <v>00</v>
      </c>
      <c r="O747" s="2" t="str">
        <f t="shared" si="449"/>
        <v>00</v>
      </c>
      <c r="P747" s="2" t="str">
        <f t="shared" si="449"/>
        <v>00</v>
      </c>
      <c r="Q747" s="2" t="str">
        <f t="shared" si="449"/>
        <v>00</v>
      </c>
      <c r="R747" s="2" t="str">
        <f t="shared" si="449"/>
        <v>01</v>
      </c>
      <c r="T747" t="str">
        <f t="shared" si="436"/>
        <v>0011000000000001</v>
      </c>
      <c r="V747" s="9" t="str">
        <f t="shared" si="450"/>
        <v>00110000</v>
      </c>
      <c r="W747" s="9" t="str">
        <f t="shared" si="451"/>
        <v>00000001</v>
      </c>
      <c r="X747" s="9" t="str">
        <f t="shared" si="452"/>
        <v>30</v>
      </c>
      <c r="Y747" s="9" t="str">
        <f t="shared" si="453"/>
        <v>01</v>
      </c>
    </row>
    <row r="748" spans="1:36" x14ac:dyDescent="0.3">
      <c r="B748" s="2">
        <v>1</v>
      </c>
      <c r="C748" s="2">
        <v>1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K748" s="2" t="str">
        <f t="shared" si="449"/>
        <v>01</v>
      </c>
      <c r="L748" s="2" t="str">
        <f t="shared" si="449"/>
        <v>01</v>
      </c>
      <c r="M748" s="2" t="str">
        <f t="shared" si="449"/>
        <v>00</v>
      </c>
      <c r="N748" s="2" t="str">
        <f t="shared" si="449"/>
        <v>00</v>
      </c>
      <c r="O748" s="2" t="str">
        <f t="shared" si="449"/>
        <v>00</v>
      </c>
      <c r="P748" s="2" t="str">
        <f t="shared" si="449"/>
        <v>00</v>
      </c>
      <c r="Q748" s="2" t="str">
        <f t="shared" si="449"/>
        <v>00</v>
      </c>
      <c r="R748" s="2" t="str">
        <f t="shared" si="449"/>
        <v>00</v>
      </c>
      <c r="T748" t="str">
        <f t="shared" si="436"/>
        <v>0101000000000000</v>
      </c>
      <c r="V748" s="10" t="str">
        <f t="shared" si="450"/>
        <v>01010000</v>
      </c>
      <c r="W748" s="10" t="str">
        <f t="shared" si="451"/>
        <v>00000000</v>
      </c>
      <c r="X748" s="10" t="str">
        <f t="shared" si="452"/>
        <v>50</v>
      </c>
      <c r="Y748" s="10" t="str">
        <f t="shared" si="453"/>
        <v>00</v>
      </c>
    </row>
    <row r="749" spans="1:36" x14ac:dyDescent="0.3">
      <c r="A749" t="s">
        <v>40</v>
      </c>
      <c r="AJ749" t="str">
        <f>";"&amp;PROPER(A749)</f>
        <v>;Rockford 12 (Left 2)</v>
      </c>
    </row>
    <row r="750" spans="1:36" x14ac:dyDescent="0.3">
      <c r="B750" s="2">
        <v>0</v>
      </c>
      <c r="C750" s="2">
        <v>0</v>
      </c>
      <c r="D750" s="2">
        <v>0</v>
      </c>
      <c r="E750" s="2">
        <v>3</v>
      </c>
      <c r="F750" s="2">
        <v>3</v>
      </c>
      <c r="G750" s="2">
        <v>0</v>
      </c>
      <c r="H750" s="2">
        <v>0</v>
      </c>
      <c r="I750" s="2">
        <v>0</v>
      </c>
      <c r="K750" s="2" t="str">
        <f t="shared" ref="K750:R765" si="455">DEC2BIN(B750,2)</f>
        <v>00</v>
      </c>
      <c r="L750" s="2" t="str">
        <f t="shared" si="455"/>
        <v>00</v>
      </c>
      <c r="M750" s="2" t="str">
        <f t="shared" si="455"/>
        <v>00</v>
      </c>
      <c r="N750" s="2" t="str">
        <f t="shared" si="455"/>
        <v>11</v>
      </c>
      <c r="O750" s="2" t="str">
        <f t="shared" si="455"/>
        <v>11</v>
      </c>
      <c r="P750" s="2" t="str">
        <f t="shared" si="455"/>
        <v>00</v>
      </c>
      <c r="Q750" s="2" t="str">
        <f t="shared" si="455"/>
        <v>00</v>
      </c>
      <c r="R750" s="2" t="str">
        <f t="shared" si="455"/>
        <v>00</v>
      </c>
      <c r="T750" t="str">
        <f t="shared" si="436"/>
        <v>0000001111000000</v>
      </c>
      <c r="V750" s="8" t="str">
        <f>LEFT(T750,8)</f>
        <v>00000011</v>
      </c>
      <c r="W750" s="8" t="str">
        <f>RIGHT(T750,8)</f>
        <v>11000000</v>
      </c>
      <c r="X750" s="8" t="str">
        <f>BIN2HEX(V750,2)</f>
        <v>03</v>
      </c>
      <c r="Y750" s="8" t="str">
        <f>BIN2HEX(W750,2)</f>
        <v>C0</v>
      </c>
      <c r="AA750" t="str" cm="1">
        <f t="array" ref="AA750:AH750">TRANSPOSE(X750:X757)</f>
        <v>03</v>
      </c>
      <c r="AB750" t="str">
        <v>0F</v>
      </c>
      <c r="AC750" t="str">
        <v>33</v>
      </c>
      <c r="AD750" t="str">
        <v>33</v>
      </c>
      <c r="AE750" t="str">
        <v>0F</v>
      </c>
      <c r="AF750" t="str">
        <v>03</v>
      </c>
      <c r="AG750" t="str">
        <v>03</v>
      </c>
      <c r="AH750" t="str">
        <v>07</v>
      </c>
      <c r="AJ750" t="str">
        <f>LOWER("!byte $"&amp;AA750&amp;", $"&amp;AB750&amp;", $"&amp;AC750&amp;", $"&amp;AD750&amp;", $"&amp;AE750&amp;", $"&amp;AF750&amp;", $"&amp;AG750&amp;", $"&amp;AH750)</f>
        <v>!byte $03, $0f, $33, $33, $0f, $03, $03, $07</v>
      </c>
    </row>
    <row r="751" spans="1:36" x14ac:dyDescent="0.3">
      <c r="B751" s="2">
        <v>0</v>
      </c>
      <c r="C751" s="2">
        <v>0</v>
      </c>
      <c r="D751" s="2">
        <v>3</v>
      </c>
      <c r="E751" s="2">
        <v>3</v>
      </c>
      <c r="F751" s="2">
        <v>3</v>
      </c>
      <c r="G751" s="2">
        <v>3</v>
      </c>
      <c r="H751" s="2">
        <v>0</v>
      </c>
      <c r="I751" s="2">
        <v>0</v>
      </c>
      <c r="K751" s="2" t="str">
        <f t="shared" si="455"/>
        <v>00</v>
      </c>
      <c r="L751" s="2" t="str">
        <f t="shared" si="455"/>
        <v>00</v>
      </c>
      <c r="M751" s="2" t="str">
        <f t="shared" si="455"/>
        <v>11</v>
      </c>
      <c r="N751" s="2" t="str">
        <f t="shared" si="455"/>
        <v>11</v>
      </c>
      <c r="O751" s="2" t="str">
        <f t="shared" si="455"/>
        <v>11</v>
      </c>
      <c r="P751" s="2" t="str">
        <f t="shared" si="455"/>
        <v>11</v>
      </c>
      <c r="Q751" s="2" t="str">
        <f t="shared" si="455"/>
        <v>00</v>
      </c>
      <c r="R751" s="2" t="str">
        <f t="shared" si="455"/>
        <v>00</v>
      </c>
      <c r="T751" t="str">
        <f t="shared" si="436"/>
        <v>0000111111110000</v>
      </c>
      <c r="V751" s="9" t="str">
        <f t="shared" ref="V751:V765" si="456">LEFT(T751,8)</f>
        <v>00001111</v>
      </c>
      <c r="W751" s="9" t="str">
        <f t="shared" ref="W751:W765" si="457">RIGHT(T751,8)</f>
        <v>11110000</v>
      </c>
      <c r="X751" s="9" t="str">
        <f t="shared" ref="X751:X765" si="458">BIN2HEX(V751,2)</f>
        <v>0F</v>
      </c>
      <c r="Y751" s="9" t="str">
        <f t="shared" ref="Y751:Y765" si="459">BIN2HEX(W751,2)</f>
        <v>F0</v>
      </c>
      <c r="AA751" t="str" cm="1">
        <f t="array" ref="AA751:AH751">TRANSPOSE(X758:X765)</f>
        <v>01</v>
      </c>
      <c r="AB751" t="str">
        <v>03</v>
      </c>
      <c r="AC751" t="str">
        <v>01</v>
      </c>
      <c r="AD751" t="str">
        <v>03</v>
      </c>
      <c r="AE751" t="str">
        <v>0D</v>
      </c>
      <c r="AF751" t="str">
        <v>0C</v>
      </c>
      <c r="AG751" t="str">
        <v>0C</v>
      </c>
      <c r="AH751" t="str">
        <v>14</v>
      </c>
      <c r="AJ751" t="str">
        <f t="shared" ref="AJ751:AJ753" si="460">LOWER("!byte $"&amp;AA751&amp;", $"&amp;AB751&amp;", $"&amp;AC751&amp;", $"&amp;AD751&amp;", $"&amp;AE751&amp;", $"&amp;AF751&amp;", $"&amp;AG751&amp;", $"&amp;AH751)</f>
        <v>!byte $01, $03, $01, $03, $0d, $0c, $0c, $14</v>
      </c>
    </row>
    <row r="752" spans="1:36" x14ac:dyDescent="0.3">
      <c r="B752" s="2">
        <v>0</v>
      </c>
      <c r="C752" s="2">
        <v>3</v>
      </c>
      <c r="D752" s="2">
        <v>0</v>
      </c>
      <c r="E752" s="2">
        <v>3</v>
      </c>
      <c r="F752" s="2">
        <v>3</v>
      </c>
      <c r="G752" s="2">
        <v>3</v>
      </c>
      <c r="H752" s="2">
        <v>0</v>
      </c>
      <c r="I752" s="2">
        <v>0</v>
      </c>
      <c r="K752" s="2" t="str">
        <f t="shared" si="455"/>
        <v>00</v>
      </c>
      <c r="L752" s="2" t="str">
        <f t="shared" si="455"/>
        <v>11</v>
      </c>
      <c r="M752" s="2" t="str">
        <f t="shared" si="455"/>
        <v>00</v>
      </c>
      <c r="N752" s="2" t="str">
        <f t="shared" si="455"/>
        <v>11</v>
      </c>
      <c r="O752" s="2" t="str">
        <f t="shared" si="455"/>
        <v>11</v>
      </c>
      <c r="P752" s="2" t="str">
        <f t="shared" si="455"/>
        <v>11</v>
      </c>
      <c r="Q752" s="2" t="str">
        <f t="shared" si="455"/>
        <v>00</v>
      </c>
      <c r="R752" s="2" t="str">
        <f t="shared" si="455"/>
        <v>00</v>
      </c>
      <c r="T752" t="str">
        <f t="shared" si="436"/>
        <v>0011001111110000</v>
      </c>
      <c r="V752" s="9" t="str">
        <f t="shared" si="456"/>
        <v>00110011</v>
      </c>
      <c r="W752" s="9" t="str">
        <f t="shared" si="457"/>
        <v>11110000</v>
      </c>
      <c r="X752" s="9" t="str">
        <f t="shared" si="458"/>
        <v>33</v>
      </c>
      <c r="Y752" s="9" t="str">
        <f t="shared" si="459"/>
        <v>F0</v>
      </c>
      <c r="AA752" t="str" cm="1">
        <f t="array" ref="AA752:AH752">TRANSPOSE(Y750:Y757)</f>
        <v>C0</v>
      </c>
      <c r="AB752" t="str">
        <v>F0</v>
      </c>
      <c r="AC752" t="str">
        <v>F0</v>
      </c>
      <c r="AD752" t="str">
        <v>F0</v>
      </c>
      <c r="AE752" t="str">
        <v>F0</v>
      </c>
      <c r="AF752" t="str">
        <v>C0</v>
      </c>
      <c r="AG752" t="str">
        <v>C0</v>
      </c>
      <c r="AH752" t="str">
        <v>C0</v>
      </c>
      <c r="AJ752" t="str">
        <f t="shared" si="460"/>
        <v>!byte $c0, $f0, $f0, $f0, $f0, $c0, $c0, $c0</v>
      </c>
    </row>
    <row r="753" spans="1:36" x14ac:dyDescent="0.3">
      <c r="B753" s="2">
        <v>0</v>
      </c>
      <c r="C753" s="2">
        <v>3</v>
      </c>
      <c r="D753" s="2">
        <v>0</v>
      </c>
      <c r="E753" s="2">
        <v>3</v>
      </c>
      <c r="F753" s="2">
        <v>3</v>
      </c>
      <c r="G753" s="2">
        <v>3</v>
      </c>
      <c r="H753" s="2">
        <v>0</v>
      </c>
      <c r="I753" s="2">
        <v>0</v>
      </c>
      <c r="K753" s="2" t="str">
        <f t="shared" si="455"/>
        <v>00</v>
      </c>
      <c r="L753" s="2" t="str">
        <f t="shared" si="455"/>
        <v>11</v>
      </c>
      <c r="M753" s="2" t="str">
        <f t="shared" si="455"/>
        <v>00</v>
      </c>
      <c r="N753" s="2" t="str">
        <f t="shared" si="455"/>
        <v>11</v>
      </c>
      <c r="O753" s="2" t="str">
        <f t="shared" si="455"/>
        <v>11</v>
      </c>
      <c r="P753" s="2" t="str">
        <f t="shared" si="455"/>
        <v>11</v>
      </c>
      <c r="Q753" s="2" t="str">
        <f t="shared" si="455"/>
        <v>00</v>
      </c>
      <c r="R753" s="2" t="str">
        <f t="shared" si="455"/>
        <v>00</v>
      </c>
      <c r="T753" t="str">
        <f t="shared" si="436"/>
        <v>0011001111110000</v>
      </c>
      <c r="V753" s="9" t="str">
        <f t="shared" si="456"/>
        <v>00110011</v>
      </c>
      <c r="W753" s="9" t="str">
        <f t="shared" si="457"/>
        <v>11110000</v>
      </c>
      <c r="X753" s="9" t="str">
        <f t="shared" si="458"/>
        <v>33</v>
      </c>
      <c r="Y753" s="9" t="str">
        <f t="shared" si="459"/>
        <v>F0</v>
      </c>
      <c r="AA753" t="str" cm="1">
        <f t="array" ref="AA753:AH753">TRANSPOSE(Y758:Y765)</f>
        <v>40</v>
      </c>
      <c r="AB753" t="str">
        <v>C0</v>
      </c>
      <c r="AC753" t="str">
        <v>40</v>
      </c>
      <c r="AD753" t="str">
        <v>C0</v>
      </c>
      <c r="AE753" t="str">
        <v>70</v>
      </c>
      <c r="AF753" t="str">
        <v>0C</v>
      </c>
      <c r="AG753" t="str">
        <v>04</v>
      </c>
      <c r="AH753" t="str">
        <v>04</v>
      </c>
      <c r="AJ753" t="str">
        <f t="shared" si="460"/>
        <v>!byte $40, $c0, $40, $c0, $70, $0c, $04, $04</v>
      </c>
    </row>
    <row r="754" spans="1:36" x14ac:dyDescent="0.3">
      <c r="B754" s="2">
        <v>0</v>
      </c>
      <c r="C754" s="2">
        <v>0</v>
      </c>
      <c r="D754" s="2">
        <v>3</v>
      </c>
      <c r="E754" s="2">
        <v>3</v>
      </c>
      <c r="F754" s="2">
        <v>3</v>
      </c>
      <c r="G754" s="2">
        <v>3</v>
      </c>
      <c r="H754" s="2">
        <v>0</v>
      </c>
      <c r="I754" s="2">
        <v>0</v>
      </c>
      <c r="K754" s="2" t="str">
        <f t="shared" si="455"/>
        <v>00</v>
      </c>
      <c r="L754" s="2" t="str">
        <f t="shared" si="455"/>
        <v>00</v>
      </c>
      <c r="M754" s="2" t="str">
        <f t="shared" si="455"/>
        <v>11</v>
      </c>
      <c r="N754" s="2" t="str">
        <f t="shared" si="455"/>
        <v>11</v>
      </c>
      <c r="O754" s="2" t="str">
        <f t="shared" si="455"/>
        <v>11</v>
      </c>
      <c r="P754" s="2" t="str">
        <f t="shared" si="455"/>
        <v>11</v>
      </c>
      <c r="Q754" s="2" t="str">
        <f t="shared" si="455"/>
        <v>00</v>
      </c>
      <c r="R754" s="2" t="str">
        <f t="shared" si="455"/>
        <v>00</v>
      </c>
      <c r="T754" t="str">
        <f t="shared" ref="T754:T816" si="461">_xlfn.CONCAT(K754:R754)</f>
        <v>0000111111110000</v>
      </c>
      <c r="V754" s="9" t="str">
        <f t="shared" si="456"/>
        <v>00001111</v>
      </c>
      <c r="W754" s="9" t="str">
        <f t="shared" si="457"/>
        <v>11110000</v>
      </c>
      <c r="X754" s="9" t="str">
        <f t="shared" si="458"/>
        <v>0F</v>
      </c>
      <c r="Y754" s="9" t="str">
        <f t="shared" si="459"/>
        <v>F0</v>
      </c>
    </row>
    <row r="755" spans="1:36" x14ac:dyDescent="0.3">
      <c r="B755" s="2">
        <v>0</v>
      </c>
      <c r="C755" s="2">
        <v>0</v>
      </c>
      <c r="D755" s="2">
        <v>0</v>
      </c>
      <c r="E755" s="2">
        <v>3</v>
      </c>
      <c r="F755" s="2">
        <v>3</v>
      </c>
      <c r="G755" s="2">
        <v>0</v>
      </c>
      <c r="H755" s="2">
        <v>0</v>
      </c>
      <c r="I755" s="2">
        <v>0</v>
      </c>
      <c r="K755" s="2" t="str">
        <f t="shared" si="455"/>
        <v>00</v>
      </c>
      <c r="L755" s="2" t="str">
        <f t="shared" si="455"/>
        <v>00</v>
      </c>
      <c r="M755" s="2" t="str">
        <f t="shared" si="455"/>
        <v>00</v>
      </c>
      <c r="N755" s="2" t="str">
        <f t="shared" si="455"/>
        <v>11</v>
      </c>
      <c r="O755" s="2" t="str">
        <f t="shared" si="455"/>
        <v>11</v>
      </c>
      <c r="P755" s="2" t="str">
        <f t="shared" si="455"/>
        <v>00</v>
      </c>
      <c r="Q755" s="2" t="str">
        <f t="shared" si="455"/>
        <v>00</v>
      </c>
      <c r="R755" s="2" t="str">
        <f t="shared" si="455"/>
        <v>00</v>
      </c>
      <c r="T755" t="str">
        <f t="shared" si="461"/>
        <v>0000001111000000</v>
      </c>
      <c r="V755" s="9" t="str">
        <f t="shared" si="456"/>
        <v>00000011</v>
      </c>
      <c r="W755" s="9" t="str">
        <f t="shared" si="457"/>
        <v>11000000</v>
      </c>
      <c r="X755" s="9" t="str">
        <f t="shared" si="458"/>
        <v>03</v>
      </c>
      <c r="Y755" s="9" t="str">
        <f t="shared" si="459"/>
        <v>C0</v>
      </c>
    </row>
    <row r="756" spans="1:36" x14ac:dyDescent="0.3">
      <c r="B756" s="2">
        <v>0</v>
      </c>
      <c r="C756" s="2">
        <v>0</v>
      </c>
      <c r="D756" s="2">
        <v>0</v>
      </c>
      <c r="E756" s="2">
        <v>3</v>
      </c>
      <c r="F756" s="2">
        <v>3</v>
      </c>
      <c r="G756" s="2">
        <v>0</v>
      </c>
      <c r="H756" s="2">
        <v>0</v>
      </c>
      <c r="I756" s="2">
        <v>0</v>
      </c>
      <c r="K756" s="2" t="str">
        <f t="shared" si="455"/>
        <v>00</v>
      </c>
      <c r="L756" s="2" t="str">
        <f t="shared" si="455"/>
        <v>00</v>
      </c>
      <c r="M756" s="2" t="str">
        <f t="shared" si="455"/>
        <v>00</v>
      </c>
      <c r="N756" s="2" t="str">
        <f t="shared" si="455"/>
        <v>11</v>
      </c>
      <c r="O756" s="2" t="str">
        <f t="shared" si="455"/>
        <v>11</v>
      </c>
      <c r="P756" s="2" t="str">
        <f t="shared" si="455"/>
        <v>00</v>
      </c>
      <c r="Q756" s="2" t="str">
        <f t="shared" si="455"/>
        <v>00</v>
      </c>
      <c r="R756" s="2" t="str">
        <f t="shared" si="455"/>
        <v>00</v>
      </c>
      <c r="T756" t="str">
        <f t="shared" si="461"/>
        <v>0000001111000000</v>
      </c>
      <c r="V756" s="9" t="str">
        <f t="shared" si="456"/>
        <v>00000011</v>
      </c>
      <c r="W756" s="9" t="str">
        <f t="shared" si="457"/>
        <v>11000000</v>
      </c>
      <c r="X756" s="9" t="str">
        <f t="shared" si="458"/>
        <v>03</v>
      </c>
      <c r="Y756" s="9" t="str">
        <f t="shared" si="459"/>
        <v>C0</v>
      </c>
    </row>
    <row r="757" spans="1:36" x14ac:dyDescent="0.3">
      <c r="B757" s="2">
        <v>0</v>
      </c>
      <c r="C757" s="2">
        <v>0</v>
      </c>
      <c r="D757" s="2">
        <v>1</v>
      </c>
      <c r="E757" s="2">
        <v>3</v>
      </c>
      <c r="F757" s="2">
        <v>3</v>
      </c>
      <c r="G757" s="2">
        <v>0</v>
      </c>
      <c r="H757" s="2">
        <v>0</v>
      </c>
      <c r="I757" s="2">
        <v>0</v>
      </c>
      <c r="K757" s="2" t="str">
        <f t="shared" si="455"/>
        <v>00</v>
      </c>
      <c r="L757" s="2" t="str">
        <f t="shared" si="455"/>
        <v>00</v>
      </c>
      <c r="M757" s="2" t="str">
        <f t="shared" si="455"/>
        <v>01</v>
      </c>
      <c r="N757" s="2" t="str">
        <f t="shared" si="455"/>
        <v>11</v>
      </c>
      <c r="O757" s="2" t="str">
        <f t="shared" si="455"/>
        <v>11</v>
      </c>
      <c r="P757" s="2" t="str">
        <f t="shared" si="455"/>
        <v>00</v>
      </c>
      <c r="Q757" s="2" t="str">
        <f t="shared" si="455"/>
        <v>00</v>
      </c>
      <c r="R757" s="2" t="str">
        <f t="shared" si="455"/>
        <v>00</v>
      </c>
      <c r="T757" t="str">
        <f t="shared" si="461"/>
        <v>0000011111000000</v>
      </c>
      <c r="V757" s="10" t="str">
        <f t="shared" si="456"/>
        <v>00000111</v>
      </c>
      <c r="W757" s="10" t="str">
        <f t="shared" si="457"/>
        <v>11000000</v>
      </c>
      <c r="X757" s="10" t="str">
        <f t="shared" si="458"/>
        <v>07</v>
      </c>
      <c r="Y757" s="10" t="str">
        <f t="shared" si="459"/>
        <v>C0</v>
      </c>
    </row>
    <row r="758" spans="1:36" x14ac:dyDescent="0.3">
      <c r="B758" s="2">
        <v>0</v>
      </c>
      <c r="C758" s="2">
        <v>0</v>
      </c>
      <c r="D758" s="2">
        <v>0</v>
      </c>
      <c r="E758" s="2">
        <v>1</v>
      </c>
      <c r="F758" s="2">
        <v>1</v>
      </c>
      <c r="G758" s="2">
        <v>0</v>
      </c>
      <c r="H758" s="2">
        <v>0</v>
      </c>
      <c r="I758" s="2">
        <v>0</v>
      </c>
      <c r="K758" s="2" t="str">
        <f t="shared" si="455"/>
        <v>00</v>
      </c>
      <c r="L758" s="2" t="str">
        <f t="shared" si="455"/>
        <v>00</v>
      </c>
      <c r="M758" s="2" t="str">
        <f t="shared" si="455"/>
        <v>00</v>
      </c>
      <c r="N758" s="2" t="str">
        <f t="shared" si="455"/>
        <v>01</v>
      </c>
      <c r="O758" s="2" t="str">
        <f t="shared" si="455"/>
        <v>01</v>
      </c>
      <c r="P758" s="2" t="str">
        <f t="shared" si="455"/>
        <v>00</v>
      </c>
      <c r="Q758" s="2" t="str">
        <f t="shared" si="455"/>
        <v>00</v>
      </c>
      <c r="R758" s="2" t="str">
        <f t="shared" si="455"/>
        <v>00</v>
      </c>
      <c r="T758" t="str">
        <f t="shared" si="461"/>
        <v>0000000101000000</v>
      </c>
      <c r="V758" s="8" t="str">
        <f t="shared" si="456"/>
        <v>00000001</v>
      </c>
      <c r="W758" s="8" t="str">
        <f t="shared" si="457"/>
        <v>01000000</v>
      </c>
      <c r="X758" s="8" t="str">
        <f t="shared" si="458"/>
        <v>01</v>
      </c>
      <c r="Y758" s="8" t="str">
        <f t="shared" si="459"/>
        <v>40</v>
      </c>
    </row>
    <row r="759" spans="1:36" x14ac:dyDescent="0.3">
      <c r="B759" s="2">
        <v>0</v>
      </c>
      <c r="C759" s="2">
        <v>0</v>
      </c>
      <c r="D759" s="2">
        <v>0</v>
      </c>
      <c r="E759" s="2">
        <v>3</v>
      </c>
      <c r="F759" s="2">
        <v>3</v>
      </c>
      <c r="G759" s="2">
        <v>0</v>
      </c>
      <c r="H759" s="2">
        <v>0</v>
      </c>
      <c r="I759" s="2">
        <v>0</v>
      </c>
      <c r="K759" s="2" t="str">
        <f t="shared" si="455"/>
        <v>00</v>
      </c>
      <c r="L759" s="2" t="str">
        <f t="shared" si="455"/>
        <v>00</v>
      </c>
      <c r="M759" s="2" t="str">
        <f t="shared" si="455"/>
        <v>00</v>
      </c>
      <c r="N759" s="2" t="str">
        <f t="shared" si="455"/>
        <v>11</v>
      </c>
      <c r="O759" s="2" t="str">
        <f t="shared" si="455"/>
        <v>11</v>
      </c>
      <c r="P759" s="2" t="str">
        <f t="shared" si="455"/>
        <v>00</v>
      </c>
      <c r="Q759" s="2" t="str">
        <f t="shared" si="455"/>
        <v>00</v>
      </c>
      <c r="R759" s="2" t="str">
        <f t="shared" si="455"/>
        <v>00</v>
      </c>
      <c r="T759" t="str">
        <f t="shared" si="461"/>
        <v>0000001111000000</v>
      </c>
      <c r="V759" s="9" t="str">
        <f t="shared" si="456"/>
        <v>00000011</v>
      </c>
      <c r="W759" s="9" t="str">
        <f t="shared" si="457"/>
        <v>11000000</v>
      </c>
      <c r="X759" s="9" t="str">
        <f t="shared" si="458"/>
        <v>03</v>
      </c>
      <c r="Y759" s="9" t="str">
        <f t="shared" si="459"/>
        <v>C0</v>
      </c>
    </row>
    <row r="760" spans="1:36" x14ac:dyDescent="0.3">
      <c r="B760" s="2">
        <v>0</v>
      </c>
      <c r="C760" s="2">
        <v>0</v>
      </c>
      <c r="D760" s="2">
        <v>0</v>
      </c>
      <c r="E760" s="2">
        <v>1</v>
      </c>
      <c r="F760" s="2">
        <v>1</v>
      </c>
      <c r="G760" s="2">
        <v>0</v>
      </c>
      <c r="H760" s="2">
        <v>0</v>
      </c>
      <c r="I760" s="2">
        <v>0</v>
      </c>
      <c r="K760" s="2" t="str">
        <f t="shared" si="455"/>
        <v>00</v>
      </c>
      <c r="L760" s="2" t="str">
        <f t="shared" si="455"/>
        <v>00</v>
      </c>
      <c r="M760" s="2" t="str">
        <f t="shared" si="455"/>
        <v>00</v>
      </c>
      <c r="N760" s="2" t="str">
        <f t="shared" si="455"/>
        <v>01</v>
      </c>
      <c r="O760" s="2" t="str">
        <f t="shared" si="455"/>
        <v>01</v>
      </c>
      <c r="P760" s="2" t="str">
        <f t="shared" si="455"/>
        <v>00</v>
      </c>
      <c r="Q760" s="2" t="str">
        <f t="shared" si="455"/>
        <v>00</v>
      </c>
      <c r="R760" s="2" t="str">
        <f t="shared" si="455"/>
        <v>00</v>
      </c>
      <c r="T760" t="str">
        <f t="shared" si="461"/>
        <v>0000000101000000</v>
      </c>
      <c r="V760" s="9" t="str">
        <f t="shared" si="456"/>
        <v>00000001</v>
      </c>
      <c r="W760" s="9" t="str">
        <f t="shared" si="457"/>
        <v>01000000</v>
      </c>
      <c r="X760" s="9" t="str">
        <f t="shared" si="458"/>
        <v>01</v>
      </c>
      <c r="Y760" s="9" t="str">
        <f t="shared" si="459"/>
        <v>40</v>
      </c>
    </row>
    <row r="761" spans="1:36" x14ac:dyDescent="0.3">
      <c r="B761" s="2">
        <v>0</v>
      </c>
      <c r="C761" s="2">
        <v>0</v>
      </c>
      <c r="D761" s="2">
        <v>0</v>
      </c>
      <c r="E761" s="2">
        <v>3</v>
      </c>
      <c r="F761" s="2">
        <v>3</v>
      </c>
      <c r="G761" s="2">
        <v>0</v>
      </c>
      <c r="H761" s="2">
        <v>0</v>
      </c>
      <c r="I761" s="2">
        <v>0</v>
      </c>
      <c r="K761" s="2" t="str">
        <f t="shared" si="455"/>
        <v>00</v>
      </c>
      <c r="L761" s="2" t="str">
        <f t="shared" si="455"/>
        <v>00</v>
      </c>
      <c r="M761" s="2" t="str">
        <f t="shared" si="455"/>
        <v>00</v>
      </c>
      <c r="N761" s="2" t="str">
        <f t="shared" si="455"/>
        <v>11</v>
      </c>
      <c r="O761" s="2" t="str">
        <f t="shared" si="455"/>
        <v>11</v>
      </c>
      <c r="P761" s="2" t="str">
        <f t="shared" si="455"/>
        <v>00</v>
      </c>
      <c r="Q761" s="2" t="str">
        <f t="shared" si="455"/>
        <v>00</v>
      </c>
      <c r="R761" s="2" t="str">
        <f t="shared" si="455"/>
        <v>00</v>
      </c>
      <c r="T761" t="str">
        <f t="shared" si="461"/>
        <v>0000001111000000</v>
      </c>
      <c r="V761" s="9" t="str">
        <f t="shared" si="456"/>
        <v>00000011</v>
      </c>
      <c r="W761" s="9" t="str">
        <f t="shared" si="457"/>
        <v>11000000</v>
      </c>
      <c r="X761" s="9" t="str">
        <f t="shared" si="458"/>
        <v>03</v>
      </c>
      <c r="Y761" s="9" t="str">
        <f t="shared" si="459"/>
        <v>C0</v>
      </c>
    </row>
    <row r="762" spans="1:36" x14ac:dyDescent="0.3">
      <c r="B762" s="2">
        <v>0</v>
      </c>
      <c r="C762" s="2">
        <v>0</v>
      </c>
      <c r="D762" s="2">
        <v>3</v>
      </c>
      <c r="E762" s="2">
        <v>1</v>
      </c>
      <c r="F762" s="2">
        <v>1</v>
      </c>
      <c r="G762" s="2">
        <v>3</v>
      </c>
      <c r="H762" s="2">
        <v>0</v>
      </c>
      <c r="I762" s="2">
        <v>0</v>
      </c>
      <c r="K762" s="2" t="str">
        <f t="shared" si="455"/>
        <v>00</v>
      </c>
      <c r="L762" s="2" t="str">
        <f t="shared" si="455"/>
        <v>00</v>
      </c>
      <c r="M762" s="2" t="str">
        <f t="shared" si="455"/>
        <v>11</v>
      </c>
      <c r="N762" s="2" t="str">
        <f t="shared" si="455"/>
        <v>01</v>
      </c>
      <c r="O762" s="2" t="str">
        <f t="shared" si="455"/>
        <v>01</v>
      </c>
      <c r="P762" s="2" t="str">
        <f t="shared" si="455"/>
        <v>11</v>
      </c>
      <c r="Q762" s="2" t="str">
        <f t="shared" si="455"/>
        <v>00</v>
      </c>
      <c r="R762" s="2" t="str">
        <f t="shared" si="455"/>
        <v>00</v>
      </c>
      <c r="T762" t="str">
        <f t="shared" si="461"/>
        <v>0000110101110000</v>
      </c>
      <c r="V762" s="9" t="str">
        <f t="shared" si="456"/>
        <v>00001101</v>
      </c>
      <c r="W762" s="9" t="str">
        <f t="shared" si="457"/>
        <v>01110000</v>
      </c>
      <c r="X762" s="9" t="str">
        <f t="shared" si="458"/>
        <v>0D</v>
      </c>
      <c r="Y762" s="9" t="str">
        <f t="shared" si="459"/>
        <v>70</v>
      </c>
    </row>
    <row r="763" spans="1:36" x14ac:dyDescent="0.3">
      <c r="B763" s="2">
        <v>0</v>
      </c>
      <c r="C763" s="2">
        <v>0</v>
      </c>
      <c r="D763" s="2">
        <v>3</v>
      </c>
      <c r="E763" s="2">
        <v>0</v>
      </c>
      <c r="F763" s="2">
        <v>0</v>
      </c>
      <c r="G763" s="2">
        <v>0</v>
      </c>
      <c r="H763" s="2">
        <v>3</v>
      </c>
      <c r="I763" s="2">
        <v>0</v>
      </c>
      <c r="K763" s="2" t="str">
        <f t="shared" si="455"/>
        <v>00</v>
      </c>
      <c r="L763" s="2" t="str">
        <f t="shared" si="455"/>
        <v>00</v>
      </c>
      <c r="M763" s="2" t="str">
        <f t="shared" si="455"/>
        <v>11</v>
      </c>
      <c r="N763" s="2" t="str">
        <f t="shared" si="455"/>
        <v>00</v>
      </c>
      <c r="O763" s="2" t="str">
        <f t="shared" si="455"/>
        <v>00</v>
      </c>
      <c r="P763" s="2" t="str">
        <f t="shared" si="455"/>
        <v>00</v>
      </c>
      <c r="Q763" s="2" t="str">
        <f t="shared" si="455"/>
        <v>11</v>
      </c>
      <c r="R763" s="2" t="str">
        <f t="shared" si="455"/>
        <v>00</v>
      </c>
      <c r="T763" t="str">
        <f t="shared" si="461"/>
        <v>0000110000001100</v>
      </c>
      <c r="V763" s="9" t="str">
        <f t="shared" si="456"/>
        <v>00001100</v>
      </c>
      <c r="W763" s="9" t="str">
        <f t="shared" si="457"/>
        <v>00001100</v>
      </c>
      <c r="X763" s="9" t="str">
        <f t="shared" si="458"/>
        <v>0C</v>
      </c>
      <c r="Y763" s="9" t="str">
        <f t="shared" si="459"/>
        <v>0C</v>
      </c>
    </row>
    <row r="764" spans="1:36" x14ac:dyDescent="0.3">
      <c r="B764" s="2">
        <v>0</v>
      </c>
      <c r="C764" s="2">
        <v>0</v>
      </c>
      <c r="D764" s="2">
        <v>3</v>
      </c>
      <c r="E764" s="2">
        <v>0</v>
      </c>
      <c r="F764" s="2">
        <v>0</v>
      </c>
      <c r="G764" s="2">
        <v>0</v>
      </c>
      <c r="H764" s="2">
        <v>1</v>
      </c>
      <c r="I764" s="2">
        <v>0</v>
      </c>
      <c r="K764" s="2" t="str">
        <f t="shared" si="455"/>
        <v>00</v>
      </c>
      <c r="L764" s="2" t="str">
        <f t="shared" si="455"/>
        <v>00</v>
      </c>
      <c r="M764" s="2" t="str">
        <f t="shared" si="455"/>
        <v>11</v>
      </c>
      <c r="N764" s="2" t="str">
        <f t="shared" si="455"/>
        <v>00</v>
      </c>
      <c r="O764" s="2" t="str">
        <f t="shared" si="455"/>
        <v>00</v>
      </c>
      <c r="P764" s="2" t="str">
        <f t="shared" si="455"/>
        <v>00</v>
      </c>
      <c r="Q764" s="2" t="str">
        <f t="shared" si="455"/>
        <v>01</v>
      </c>
      <c r="R764" s="2" t="str">
        <f t="shared" si="455"/>
        <v>00</v>
      </c>
      <c r="T764" t="str">
        <f t="shared" si="461"/>
        <v>0000110000000100</v>
      </c>
      <c r="V764" s="9" t="str">
        <f t="shared" si="456"/>
        <v>00001100</v>
      </c>
      <c r="W764" s="9" t="str">
        <f t="shared" si="457"/>
        <v>00000100</v>
      </c>
      <c r="X764" s="9" t="str">
        <f t="shared" si="458"/>
        <v>0C</v>
      </c>
      <c r="Y764" s="9" t="str">
        <f t="shared" si="459"/>
        <v>04</v>
      </c>
    </row>
    <row r="765" spans="1:36" x14ac:dyDescent="0.3">
      <c r="B765" s="2">
        <v>0</v>
      </c>
      <c r="C765" s="2">
        <v>1</v>
      </c>
      <c r="D765" s="2">
        <v>1</v>
      </c>
      <c r="E765" s="2">
        <v>0</v>
      </c>
      <c r="F765" s="2">
        <v>0</v>
      </c>
      <c r="G765" s="2">
        <v>0</v>
      </c>
      <c r="H765" s="2">
        <v>1</v>
      </c>
      <c r="I765" s="2">
        <v>0</v>
      </c>
      <c r="K765" s="2" t="str">
        <f t="shared" si="455"/>
        <v>00</v>
      </c>
      <c r="L765" s="2" t="str">
        <f t="shared" si="455"/>
        <v>01</v>
      </c>
      <c r="M765" s="2" t="str">
        <f t="shared" si="455"/>
        <v>01</v>
      </c>
      <c r="N765" s="2" t="str">
        <f t="shared" si="455"/>
        <v>00</v>
      </c>
      <c r="O765" s="2" t="str">
        <f t="shared" si="455"/>
        <v>00</v>
      </c>
      <c r="P765" s="2" t="str">
        <f t="shared" si="455"/>
        <v>00</v>
      </c>
      <c r="Q765" s="2" t="str">
        <f t="shared" si="455"/>
        <v>01</v>
      </c>
      <c r="R765" s="2" t="str">
        <f t="shared" si="455"/>
        <v>00</v>
      </c>
      <c r="T765" t="str">
        <f t="shared" si="461"/>
        <v>0001010000000100</v>
      </c>
      <c r="V765" s="10" t="str">
        <f t="shared" si="456"/>
        <v>00010100</v>
      </c>
      <c r="W765" s="10" t="str">
        <f t="shared" si="457"/>
        <v>00000100</v>
      </c>
      <c r="X765" s="10" t="str">
        <f t="shared" si="458"/>
        <v>14</v>
      </c>
      <c r="Y765" s="10" t="str">
        <f t="shared" si="459"/>
        <v>04</v>
      </c>
    </row>
    <row r="766" spans="1:36" x14ac:dyDescent="0.3">
      <c r="A766" t="s">
        <v>41</v>
      </c>
      <c r="AJ766" t="str">
        <f>";"&amp;PROPER(A766)</f>
        <v>;Rockford 13 (Left 3)</v>
      </c>
    </row>
    <row r="767" spans="1:36" x14ac:dyDescent="0.3">
      <c r="B767" s="2">
        <v>0</v>
      </c>
      <c r="C767" s="2">
        <v>0</v>
      </c>
      <c r="D767" s="2">
        <v>0</v>
      </c>
      <c r="E767" s="2">
        <v>3</v>
      </c>
      <c r="F767" s="2">
        <v>3</v>
      </c>
      <c r="G767" s="2">
        <v>0</v>
      </c>
      <c r="H767" s="2">
        <v>0</v>
      </c>
      <c r="I767" s="2">
        <v>0</v>
      </c>
      <c r="K767" s="2" t="str">
        <f t="shared" ref="K767:R782" si="462">DEC2BIN(B767,2)</f>
        <v>00</v>
      </c>
      <c r="L767" s="2" t="str">
        <f t="shared" si="462"/>
        <v>00</v>
      </c>
      <c r="M767" s="2" t="str">
        <f t="shared" si="462"/>
        <v>00</v>
      </c>
      <c r="N767" s="2" t="str">
        <f t="shared" si="462"/>
        <v>11</v>
      </c>
      <c r="O767" s="2" t="str">
        <f t="shared" si="462"/>
        <v>11</v>
      </c>
      <c r="P767" s="2" t="str">
        <f t="shared" si="462"/>
        <v>00</v>
      </c>
      <c r="Q767" s="2" t="str">
        <f t="shared" si="462"/>
        <v>00</v>
      </c>
      <c r="R767" s="2" t="str">
        <f t="shared" si="462"/>
        <v>00</v>
      </c>
      <c r="T767" t="str">
        <f t="shared" si="461"/>
        <v>0000001111000000</v>
      </c>
      <c r="V767" s="8" t="str">
        <f>LEFT(T767,8)</f>
        <v>00000011</v>
      </c>
      <c r="W767" s="8" t="str">
        <f>RIGHT(T767,8)</f>
        <v>11000000</v>
      </c>
      <c r="X767" s="8" t="str">
        <f>BIN2HEX(V767,2)</f>
        <v>03</v>
      </c>
      <c r="Y767" s="8" t="str">
        <f>BIN2HEX(W767,2)</f>
        <v>C0</v>
      </c>
      <c r="AA767" t="str" cm="1">
        <f t="array" ref="AA767:AH767">TRANSPOSE(X767:X774)</f>
        <v>03</v>
      </c>
      <c r="AB767" t="str">
        <v>0F</v>
      </c>
      <c r="AC767" t="str">
        <v>33</v>
      </c>
      <c r="AD767" t="str">
        <v>33</v>
      </c>
      <c r="AE767" t="str">
        <v>0F</v>
      </c>
      <c r="AF767" t="str">
        <v>03</v>
      </c>
      <c r="AG767" t="str">
        <v>03</v>
      </c>
      <c r="AH767" t="str">
        <v>07</v>
      </c>
      <c r="AJ767" t="str">
        <f>LOWER("!byte $"&amp;AA767&amp;", $"&amp;AB767&amp;", $"&amp;AC767&amp;", $"&amp;AD767&amp;", $"&amp;AE767&amp;", $"&amp;AF767&amp;", $"&amp;AG767&amp;", $"&amp;AH767)</f>
        <v>!byte $03, $0f, $33, $33, $0f, $03, $03, $07</v>
      </c>
    </row>
    <row r="768" spans="1:36" x14ac:dyDescent="0.3">
      <c r="B768" s="2">
        <v>0</v>
      </c>
      <c r="C768" s="2">
        <v>0</v>
      </c>
      <c r="D768" s="2">
        <v>3</v>
      </c>
      <c r="E768" s="2">
        <v>3</v>
      </c>
      <c r="F768" s="2">
        <v>3</v>
      </c>
      <c r="G768" s="2">
        <v>3</v>
      </c>
      <c r="H768" s="2">
        <v>0</v>
      </c>
      <c r="I768" s="2">
        <v>0</v>
      </c>
      <c r="K768" s="2" t="str">
        <f t="shared" si="462"/>
        <v>00</v>
      </c>
      <c r="L768" s="2" t="str">
        <f t="shared" si="462"/>
        <v>00</v>
      </c>
      <c r="M768" s="2" t="str">
        <f t="shared" si="462"/>
        <v>11</v>
      </c>
      <c r="N768" s="2" t="str">
        <f t="shared" si="462"/>
        <v>11</v>
      </c>
      <c r="O768" s="2" t="str">
        <f t="shared" si="462"/>
        <v>11</v>
      </c>
      <c r="P768" s="2" t="str">
        <f t="shared" si="462"/>
        <v>11</v>
      </c>
      <c r="Q768" s="2" t="str">
        <f t="shared" si="462"/>
        <v>00</v>
      </c>
      <c r="R768" s="2" t="str">
        <f t="shared" si="462"/>
        <v>00</v>
      </c>
      <c r="T768" t="str">
        <f t="shared" si="461"/>
        <v>0000111111110000</v>
      </c>
      <c r="V768" s="9" t="str">
        <f t="shared" ref="V768:V782" si="463">LEFT(T768,8)</f>
        <v>00001111</v>
      </c>
      <c r="W768" s="9" t="str">
        <f t="shared" ref="W768:W782" si="464">RIGHT(T768,8)</f>
        <v>11110000</v>
      </c>
      <c r="X768" s="9" t="str">
        <f t="shared" ref="X768:X782" si="465">BIN2HEX(V768,2)</f>
        <v>0F</v>
      </c>
      <c r="Y768" s="9" t="str">
        <f t="shared" ref="Y768:Y782" si="466">BIN2HEX(W768,2)</f>
        <v>F0</v>
      </c>
      <c r="AA768" t="str" cm="1">
        <f t="array" ref="AA768:AH768">TRANSPOSE(X775:X782)</f>
        <v>01</v>
      </c>
      <c r="AB768" t="str">
        <v>03</v>
      </c>
      <c r="AC768" t="str">
        <v>01</v>
      </c>
      <c r="AD768" t="str">
        <v>03</v>
      </c>
      <c r="AE768" t="str">
        <v>01</v>
      </c>
      <c r="AF768" t="str">
        <v>03</v>
      </c>
      <c r="AG768" t="str">
        <v>03</v>
      </c>
      <c r="AH768" t="str">
        <v>05</v>
      </c>
      <c r="AJ768" t="str">
        <f t="shared" ref="AJ768:AJ770" si="467">LOWER("!byte $"&amp;AA768&amp;", $"&amp;AB768&amp;", $"&amp;AC768&amp;", $"&amp;AD768&amp;", $"&amp;AE768&amp;", $"&amp;AF768&amp;", $"&amp;AG768&amp;", $"&amp;AH768)</f>
        <v>!byte $01, $03, $01, $03, $01, $03, $03, $05</v>
      </c>
    </row>
    <row r="769" spans="1:36" x14ac:dyDescent="0.3">
      <c r="B769" s="2">
        <v>0</v>
      </c>
      <c r="C769" s="2">
        <v>3</v>
      </c>
      <c r="D769" s="2">
        <v>0</v>
      </c>
      <c r="E769" s="2">
        <v>3</v>
      </c>
      <c r="F769" s="2">
        <v>3</v>
      </c>
      <c r="G769" s="2">
        <v>3</v>
      </c>
      <c r="H769" s="2">
        <v>0</v>
      </c>
      <c r="I769" s="2">
        <v>0</v>
      </c>
      <c r="K769" s="2" t="str">
        <f t="shared" si="462"/>
        <v>00</v>
      </c>
      <c r="L769" s="2" t="str">
        <f t="shared" si="462"/>
        <v>11</v>
      </c>
      <c r="M769" s="2" t="str">
        <f t="shared" si="462"/>
        <v>00</v>
      </c>
      <c r="N769" s="2" t="str">
        <f t="shared" si="462"/>
        <v>11</v>
      </c>
      <c r="O769" s="2" t="str">
        <f t="shared" si="462"/>
        <v>11</v>
      </c>
      <c r="P769" s="2" t="str">
        <f t="shared" si="462"/>
        <v>11</v>
      </c>
      <c r="Q769" s="2" t="str">
        <f t="shared" si="462"/>
        <v>00</v>
      </c>
      <c r="R769" s="2" t="str">
        <f t="shared" si="462"/>
        <v>00</v>
      </c>
      <c r="T769" t="str">
        <f t="shared" si="461"/>
        <v>0011001111110000</v>
      </c>
      <c r="V769" s="9" t="str">
        <f t="shared" si="463"/>
        <v>00110011</v>
      </c>
      <c r="W769" s="9" t="str">
        <f t="shared" si="464"/>
        <v>11110000</v>
      </c>
      <c r="X769" s="9" t="str">
        <f t="shared" si="465"/>
        <v>33</v>
      </c>
      <c r="Y769" s="9" t="str">
        <f t="shared" si="466"/>
        <v>F0</v>
      </c>
      <c r="AA769" t="str" cm="1">
        <f t="array" ref="AA769:AH769">TRANSPOSE(Y767:Y774)</f>
        <v>C0</v>
      </c>
      <c r="AB769" t="str">
        <v>F0</v>
      </c>
      <c r="AC769" t="str">
        <v>F0</v>
      </c>
      <c r="AD769" t="str">
        <v>F0</v>
      </c>
      <c r="AE769" t="str">
        <v>F0</v>
      </c>
      <c r="AF769" t="str">
        <v>C0</v>
      </c>
      <c r="AG769" t="str">
        <v>C0</v>
      </c>
      <c r="AH769" t="str">
        <v>C0</v>
      </c>
      <c r="AJ769" t="str">
        <f t="shared" si="467"/>
        <v>!byte $c0, $f0, $f0, $f0, $f0, $c0, $c0, $c0</v>
      </c>
    </row>
    <row r="770" spans="1:36" x14ac:dyDescent="0.3">
      <c r="B770" s="2">
        <v>0</v>
      </c>
      <c r="C770" s="2">
        <v>3</v>
      </c>
      <c r="D770" s="2">
        <v>0</v>
      </c>
      <c r="E770" s="2">
        <v>3</v>
      </c>
      <c r="F770" s="2">
        <v>3</v>
      </c>
      <c r="G770" s="2">
        <v>3</v>
      </c>
      <c r="H770" s="2">
        <v>0</v>
      </c>
      <c r="I770" s="2">
        <v>0</v>
      </c>
      <c r="K770" s="2" t="str">
        <f t="shared" si="462"/>
        <v>00</v>
      </c>
      <c r="L770" s="2" t="str">
        <f t="shared" si="462"/>
        <v>11</v>
      </c>
      <c r="M770" s="2" t="str">
        <f t="shared" si="462"/>
        <v>00</v>
      </c>
      <c r="N770" s="2" t="str">
        <f t="shared" si="462"/>
        <v>11</v>
      </c>
      <c r="O770" s="2" t="str">
        <f t="shared" si="462"/>
        <v>11</v>
      </c>
      <c r="P770" s="2" t="str">
        <f t="shared" si="462"/>
        <v>11</v>
      </c>
      <c r="Q770" s="2" t="str">
        <f t="shared" si="462"/>
        <v>00</v>
      </c>
      <c r="R770" s="2" t="str">
        <f t="shared" si="462"/>
        <v>00</v>
      </c>
      <c r="T770" t="str">
        <f t="shared" si="461"/>
        <v>0011001111110000</v>
      </c>
      <c r="V770" s="9" t="str">
        <f t="shared" si="463"/>
        <v>00110011</v>
      </c>
      <c r="W770" s="9" t="str">
        <f t="shared" si="464"/>
        <v>11110000</v>
      </c>
      <c r="X770" s="9" t="str">
        <f t="shared" si="465"/>
        <v>33</v>
      </c>
      <c r="Y770" s="9" t="str">
        <f t="shared" si="466"/>
        <v>F0</v>
      </c>
      <c r="AA770" t="str" cm="1">
        <f t="array" ref="AA770:AH770">TRANSPOSE(Y775:Y782)</f>
        <v>40</v>
      </c>
      <c r="AB770" t="str">
        <v>C0</v>
      </c>
      <c r="AC770" t="str">
        <v>40</v>
      </c>
      <c r="AD770" t="str">
        <v>C0</v>
      </c>
      <c r="AE770" t="str">
        <v>40</v>
      </c>
      <c r="AF770" t="str">
        <v>C0</v>
      </c>
      <c r="AG770" t="str">
        <v>F0</v>
      </c>
      <c r="AH770" t="str">
        <v>10</v>
      </c>
      <c r="AJ770" t="str">
        <f t="shared" si="467"/>
        <v>!byte $40, $c0, $40, $c0, $40, $c0, $f0, $10</v>
      </c>
    </row>
    <row r="771" spans="1:36" x14ac:dyDescent="0.3">
      <c r="B771" s="2">
        <v>0</v>
      </c>
      <c r="C771" s="2">
        <v>0</v>
      </c>
      <c r="D771" s="2">
        <v>3</v>
      </c>
      <c r="E771" s="2">
        <v>3</v>
      </c>
      <c r="F771" s="2">
        <v>3</v>
      </c>
      <c r="G771" s="2">
        <v>3</v>
      </c>
      <c r="H771" s="2">
        <v>0</v>
      </c>
      <c r="I771" s="2">
        <v>0</v>
      </c>
      <c r="K771" s="2" t="str">
        <f t="shared" si="462"/>
        <v>00</v>
      </c>
      <c r="L771" s="2" t="str">
        <f t="shared" si="462"/>
        <v>00</v>
      </c>
      <c r="M771" s="2" t="str">
        <f t="shared" si="462"/>
        <v>11</v>
      </c>
      <c r="N771" s="2" t="str">
        <f t="shared" si="462"/>
        <v>11</v>
      </c>
      <c r="O771" s="2" t="str">
        <f t="shared" si="462"/>
        <v>11</v>
      </c>
      <c r="P771" s="2" t="str">
        <f t="shared" si="462"/>
        <v>11</v>
      </c>
      <c r="Q771" s="2" t="str">
        <f t="shared" si="462"/>
        <v>00</v>
      </c>
      <c r="R771" s="2" t="str">
        <f t="shared" si="462"/>
        <v>00</v>
      </c>
      <c r="T771" t="str">
        <f t="shared" si="461"/>
        <v>0000111111110000</v>
      </c>
      <c r="V771" s="9" t="str">
        <f t="shared" si="463"/>
        <v>00001111</v>
      </c>
      <c r="W771" s="9" t="str">
        <f t="shared" si="464"/>
        <v>11110000</v>
      </c>
      <c r="X771" s="9" t="str">
        <f t="shared" si="465"/>
        <v>0F</v>
      </c>
      <c r="Y771" s="9" t="str">
        <f t="shared" si="466"/>
        <v>F0</v>
      </c>
    </row>
    <row r="772" spans="1:36" x14ac:dyDescent="0.3">
      <c r="B772" s="2">
        <v>0</v>
      </c>
      <c r="C772" s="2">
        <v>0</v>
      </c>
      <c r="D772" s="2">
        <v>0</v>
      </c>
      <c r="E772" s="2">
        <v>3</v>
      </c>
      <c r="F772" s="2">
        <v>3</v>
      </c>
      <c r="G772" s="2">
        <v>0</v>
      </c>
      <c r="H772" s="2">
        <v>0</v>
      </c>
      <c r="I772" s="2">
        <v>0</v>
      </c>
      <c r="K772" s="2" t="str">
        <f t="shared" si="462"/>
        <v>00</v>
      </c>
      <c r="L772" s="2" t="str">
        <f t="shared" si="462"/>
        <v>00</v>
      </c>
      <c r="M772" s="2" t="str">
        <f t="shared" si="462"/>
        <v>00</v>
      </c>
      <c r="N772" s="2" t="str">
        <f t="shared" si="462"/>
        <v>11</v>
      </c>
      <c r="O772" s="2" t="str">
        <f t="shared" si="462"/>
        <v>11</v>
      </c>
      <c r="P772" s="2" t="str">
        <f t="shared" si="462"/>
        <v>00</v>
      </c>
      <c r="Q772" s="2" t="str">
        <f t="shared" si="462"/>
        <v>00</v>
      </c>
      <c r="R772" s="2" t="str">
        <f t="shared" si="462"/>
        <v>00</v>
      </c>
      <c r="T772" t="str">
        <f t="shared" si="461"/>
        <v>0000001111000000</v>
      </c>
      <c r="V772" s="9" t="str">
        <f t="shared" si="463"/>
        <v>00000011</v>
      </c>
      <c r="W772" s="9" t="str">
        <f t="shared" si="464"/>
        <v>11000000</v>
      </c>
      <c r="X772" s="9" t="str">
        <f t="shared" si="465"/>
        <v>03</v>
      </c>
      <c r="Y772" s="9" t="str">
        <f t="shared" si="466"/>
        <v>C0</v>
      </c>
    </row>
    <row r="773" spans="1:36" x14ac:dyDescent="0.3">
      <c r="B773" s="2">
        <v>0</v>
      </c>
      <c r="C773" s="2">
        <v>0</v>
      </c>
      <c r="D773" s="2">
        <v>0</v>
      </c>
      <c r="E773" s="2">
        <v>3</v>
      </c>
      <c r="F773" s="2">
        <v>3</v>
      </c>
      <c r="G773" s="2">
        <v>0</v>
      </c>
      <c r="H773" s="2">
        <v>0</v>
      </c>
      <c r="I773" s="2">
        <v>0</v>
      </c>
      <c r="K773" s="2" t="str">
        <f t="shared" si="462"/>
        <v>00</v>
      </c>
      <c r="L773" s="2" t="str">
        <f t="shared" si="462"/>
        <v>00</v>
      </c>
      <c r="M773" s="2" t="str">
        <f t="shared" si="462"/>
        <v>00</v>
      </c>
      <c r="N773" s="2" t="str">
        <f t="shared" si="462"/>
        <v>11</v>
      </c>
      <c r="O773" s="2" t="str">
        <f t="shared" si="462"/>
        <v>11</v>
      </c>
      <c r="P773" s="2" t="str">
        <f t="shared" si="462"/>
        <v>00</v>
      </c>
      <c r="Q773" s="2" t="str">
        <f t="shared" si="462"/>
        <v>00</v>
      </c>
      <c r="R773" s="2" t="str">
        <f t="shared" si="462"/>
        <v>00</v>
      </c>
      <c r="T773" t="str">
        <f t="shared" si="461"/>
        <v>0000001111000000</v>
      </c>
      <c r="V773" s="9" t="str">
        <f t="shared" si="463"/>
        <v>00000011</v>
      </c>
      <c r="W773" s="9" t="str">
        <f t="shared" si="464"/>
        <v>11000000</v>
      </c>
      <c r="X773" s="9" t="str">
        <f t="shared" si="465"/>
        <v>03</v>
      </c>
      <c r="Y773" s="9" t="str">
        <f t="shared" si="466"/>
        <v>C0</v>
      </c>
    </row>
    <row r="774" spans="1:36" x14ac:dyDescent="0.3">
      <c r="B774" s="2">
        <v>0</v>
      </c>
      <c r="C774" s="2">
        <v>0</v>
      </c>
      <c r="D774" s="2">
        <v>1</v>
      </c>
      <c r="E774" s="2">
        <v>3</v>
      </c>
      <c r="F774" s="2">
        <v>3</v>
      </c>
      <c r="G774" s="2">
        <v>0</v>
      </c>
      <c r="H774" s="2">
        <v>0</v>
      </c>
      <c r="I774" s="2">
        <v>0</v>
      </c>
      <c r="K774" s="2" t="str">
        <f t="shared" si="462"/>
        <v>00</v>
      </c>
      <c r="L774" s="2" t="str">
        <f t="shared" si="462"/>
        <v>00</v>
      </c>
      <c r="M774" s="2" t="str">
        <f t="shared" si="462"/>
        <v>01</v>
      </c>
      <c r="N774" s="2" t="str">
        <f t="shared" si="462"/>
        <v>11</v>
      </c>
      <c r="O774" s="2" t="str">
        <f t="shared" si="462"/>
        <v>11</v>
      </c>
      <c r="P774" s="2" t="str">
        <f t="shared" si="462"/>
        <v>00</v>
      </c>
      <c r="Q774" s="2" t="str">
        <f t="shared" si="462"/>
        <v>00</v>
      </c>
      <c r="R774" s="2" t="str">
        <f t="shared" si="462"/>
        <v>00</v>
      </c>
      <c r="T774" t="str">
        <f t="shared" si="461"/>
        <v>0000011111000000</v>
      </c>
      <c r="V774" s="10" t="str">
        <f t="shared" si="463"/>
        <v>00000111</v>
      </c>
      <c r="W774" s="10" t="str">
        <f t="shared" si="464"/>
        <v>11000000</v>
      </c>
      <c r="X774" s="10" t="str">
        <f t="shared" si="465"/>
        <v>07</v>
      </c>
      <c r="Y774" s="10" t="str">
        <f t="shared" si="466"/>
        <v>C0</v>
      </c>
    </row>
    <row r="775" spans="1:36" x14ac:dyDescent="0.3">
      <c r="B775" s="2">
        <v>0</v>
      </c>
      <c r="C775" s="2">
        <v>0</v>
      </c>
      <c r="D775" s="2">
        <v>0</v>
      </c>
      <c r="E775" s="2">
        <v>1</v>
      </c>
      <c r="F775" s="2">
        <v>1</v>
      </c>
      <c r="G775" s="2">
        <v>0</v>
      </c>
      <c r="H775" s="2">
        <v>0</v>
      </c>
      <c r="I775" s="2">
        <v>0</v>
      </c>
      <c r="K775" s="2" t="str">
        <f t="shared" si="462"/>
        <v>00</v>
      </c>
      <c r="L775" s="2" t="str">
        <f t="shared" si="462"/>
        <v>00</v>
      </c>
      <c r="M775" s="2" t="str">
        <f t="shared" si="462"/>
        <v>00</v>
      </c>
      <c r="N775" s="2" t="str">
        <f t="shared" si="462"/>
        <v>01</v>
      </c>
      <c r="O775" s="2" t="str">
        <f t="shared" si="462"/>
        <v>01</v>
      </c>
      <c r="P775" s="2" t="str">
        <f t="shared" si="462"/>
        <v>00</v>
      </c>
      <c r="Q775" s="2" t="str">
        <f t="shared" si="462"/>
        <v>00</v>
      </c>
      <c r="R775" s="2" t="str">
        <f t="shared" si="462"/>
        <v>00</v>
      </c>
      <c r="T775" t="str">
        <f t="shared" si="461"/>
        <v>0000000101000000</v>
      </c>
      <c r="V775" s="8" t="str">
        <f t="shared" si="463"/>
        <v>00000001</v>
      </c>
      <c r="W775" s="8" t="str">
        <f t="shared" si="464"/>
        <v>01000000</v>
      </c>
      <c r="X775" s="8" t="str">
        <f t="shared" si="465"/>
        <v>01</v>
      </c>
      <c r="Y775" s="8" t="str">
        <f t="shared" si="466"/>
        <v>40</v>
      </c>
    </row>
    <row r="776" spans="1:36" x14ac:dyDescent="0.3">
      <c r="B776" s="2">
        <v>0</v>
      </c>
      <c r="C776" s="2">
        <v>0</v>
      </c>
      <c r="D776" s="2">
        <v>0</v>
      </c>
      <c r="E776" s="2">
        <v>3</v>
      </c>
      <c r="F776" s="2">
        <v>3</v>
      </c>
      <c r="G776" s="2">
        <v>0</v>
      </c>
      <c r="H776" s="2">
        <v>0</v>
      </c>
      <c r="I776" s="2">
        <v>0</v>
      </c>
      <c r="K776" s="2" t="str">
        <f t="shared" si="462"/>
        <v>00</v>
      </c>
      <c r="L776" s="2" t="str">
        <f t="shared" si="462"/>
        <v>00</v>
      </c>
      <c r="M776" s="2" t="str">
        <f t="shared" si="462"/>
        <v>00</v>
      </c>
      <c r="N776" s="2" t="str">
        <f t="shared" si="462"/>
        <v>11</v>
      </c>
      <c r="O776" s="2" t="str">
        <f t="shared" si="462"/>
        <v>11</v>
      </c>
      <c r="P776" s="2" t="str">
        <f t="shared" si="462"/>
        <v>00</v>
      </c>
      <c r="Q776" s="2" t="str">
        <f t="shared" si="462"/>
        <v>00</v>
      </c>
      <c r="R776" s="2" t="str">
        <f t="shared" si="462"/>
        <v>00</v>
      </c>
      <c r="T776" t="str">
        <f t="shared" si="461"/>
        <v>0000001111000000</v>
      </c>
      <c r="V776" s="9" t="str">
        <f t="shared" si="463"/>
        <v>00000011</v>
      </c>
      <c r="W776" s="9" t="str">
        <f t="shared" si="464"/>
        <v>11000000</v>
      </c>
      <c r="X776" s="9" t="str">
        <f t="shared" si="465"/>
        <v>03</v>
      </c>
      <c r="Y776" s="9" t="str">
        <f t="shared" si="466"/>
        <v>C0</v>
      </c>
    </row>
    <row r="777" spans="1:36" x14ac:dyDescent="0.3">
      <c r="B777" s="2">
        <v>0</v>
      </c>
      <c r="C777" s="2">
        <v>0</v>
      </c>
      <c r="D777" s="2">
        <v>0</v>
      </c>
      <c r="E777" s="2">
        <v>1</v>
      </c>
      <c r="F777" s="2">
        <v>1</v>
      </c>
      <c r="G777" s="2">
        <v>0</v>
      </c>
      <c r="H777" s="2">
        <v>0</v>
      </c>
      <c r="I777" s="2">
        <v>0</v>
      </c>
      <c r="K777" s="2" t="str">
        <f t="shared" si="462"/>
        <v>00</v>
      </c>
      <c r="L777" s="2" t="str">
        <f t="shared" si="462"/>
        <v>00</v>
      </c>
      <c r="M777" s="2" t="str">
        <f t="shared" si="462"/>
        <v>00</v>
      </c>
      <c r="N777" s="2" t="str">
        <f t="shared" si="462"/>
        <v>01</v>
      </c>
      <c r="O777" s="2" t="str">
        <f t="shared" si="462"/>
        <v>01</v>
      </c>
      <c r="P777" s="2" t="str">
        <f t="shared" si="462"/>
        <v>00</v>
      </c>
      <c r="Q777" s="2" t="str">
        <f t="shared" si="462"/>
        <v>00</v>
      </c>
      <c r="R777" s="2" t="str">
        <f t="shared" si="462"/>
        <v>00</v>
      </c>
      <c r="T777" t="str">
        <f t="shared" si="461"/>
        <v>0000000101000000</v>
      </c>
      <c r="V777" s="9" t="str">
        <f t="shared" si="463"/>
        <v>00000001</v>
      </c>
      <c r="W777" s="9" t="str">
        <f t="shared" si="464"/>
        <v>01000000</v>
      </c>
      <c r="X777" s="9" t="str">
        <f t="shared" si="465"/>
        <v>01</v>
      </c>
      <c r="Y777" s="9" t="str">
        <f t="shared" si="466"/>
        <v>40</v>
      </c>
    </row>
    <row r="778" spans="1:36" x14ac:dyDescent="0.3">
      <c r="B778" s="2">
        <v>0</v>
      </c>
      <c r="C778" s="2">
        <v>0</v>
      </c>
      <c r="D778" s="2">
        <v>0</v>
      </c>
      <c r="E778" s="2">
        <v>3</v>
      </c>
      <c r="F778" s="2">
        <v>3</v>
      </c>
      <c r="G778" s="2">
        <v>0</v>
      </c>
      <c r="H778" s="2">
        <v>0</v>
      </c>
      <c r="I778" s="2">
        <v>0</v>
      </c>
      <c r="K778" s="2" t="str">
        <f t="shared" si="462"/>
        <v>00</v>
      </c>
      <c r="L778" s="2" t="str">
        <f t="shared" si="462"/>
        <v>00</v>
      </c>
      <c r="M778" s="2" t="str">
        <f t="shared" si="462"/>
        <v>00</v>
      </c>
      <c r="N778" s="2" t="str">
        <f t="shared" si="462"/>
        <v>11</v>
      </c>
      <c r="O778" s="2" t="str">
        <f t="shared" si="462"/>
        <v>11</v>
      </c>
      <c r="P778" s="2" t="str">
        <f t="shared" si="462"/>
        <v>00</v>
      </c>
      <c r="Q778" s="2" t="str">
        <f t="shared" si="462"/>
        <v>00</v>
      </c>
      <c r="R778" s="2" t="str">
        <f t="shared" si="462"/>
        <v>00</v>
      </c>
      <c r="T778" t="str">
        <f t="shared" si="461"/>
        <v>0000001111000000</v>
      </c>
      <c r="V778" s="9" t="str">
        <f t="shared" si="463"/>
        <v>00000011</v>
      </c>
      <c r="W778" s="9" t="str">
        <f t="shared" si="464"/>
        <v>11000000</v>
      </c>
      <c r="X778" s="9" t="str">
        <f t="shared" si="465"/>
        <v>03</v>
      </c>
      <c r="Y778" s="9" t="str">
        <f t="shared" si="466"/>
        <v>C0</v>
      </c>
    </row>
    <row r="779" spans="1:36" x14ac:dyDescent="0.3">
      <c r="B779" s="2">
        <v>0</v>
      </c>
      <c r="C779" s="2">
        <v>0</v>
      </c>
      <c r="D779" s="2">
        <v>0</v>
      </c>
      <c r="E779" s="2">
        <v>1</v>
      </c>
      <c r="F779" s="2">
        <v>1</v>
      </c>
      <c r="G779" s="2">
        <v>0</v>
      </c>
      <c r="H779" s="2">
        <v>0</v>
      </c>
      <c r="I779" s="2">
        <v>0</v>
      </c>
      <c r="K779" s="2" t="str">
        <f t="shared" si="462"/>
        <v>00</v>
      </c>
      <c r="L779" s="2" t="str">
        <f t="shared" si="462"/>
        <v>00</v>
      </c>
      <c r="M779" s="2" t="str">
        <f t="shared" si="462"/>
        <v>00</v>
      </c>
      <c r="N779" s="2" t="str">
        <f t="shared" si="462"/>
        <v>01</v>
      </c>
      <c r="O779" s="2" t="str">
        <f t="shared" si="462"/>
        <v>01</v>
      </c>
      <c r="P779" s="2" t="str">
        <f t="shared" si="462"/>
        <v>00</v>
      </c>
      <c r="Q779" s="2" t="str">
        <f t="shared" si="462"/>
        <v>00</v>
      </c>
      <c r="R779" s="2" t="str">
        <f t="shared" si="462"/>
        <v>00</v>
      </c>
      <c r="T779" t="str">
        <f t="shared" si="461"/>
        <v>0000000101000000</v>
      </c>
      <c r="V779" s="9" t="str">
        <f t="shared" si="463"/>
        <v>00000001</v>
      </c>
      <c r="W779" s="9" t="str">
        <f t="shared" si="464"/>
        <v>01000000</v>
      </c>
      <c r="X779" s="9" t="str">
        <f t="shared" si="465"/>
        <v>01</v>
      </c>
      <c r="Y779" s="9" t="str">
        <f t="shared" si="466"/>
        <v>40</v>
      </c>
    </row>
    <row r="780" spans="1:36" x14ac:dyDescent="0.3">
      <c r="B780" s="2">
        <v>0</v>
      </c>
      <c r="C780" s="2">
        <v>0</v>
      </c>
      <c r="D780" s="2">
        <v>0</v>
      </c>
      <c r="E780" s="2">
        <v>3</v>
      </c>
      <c r="F780" s="2">
        <v>3</v>
      </c>
      <c r="G780" s="2">
        <v>0</v>
      </c>
      <c r="H780" s="2">
        <v>0</v>
      </c>
      <c r="I780" s="2">
        <v>0</v>
      </c>
      <c r="K780" s="2" t="str">
        <f t="shared" si="462"/>
        <v>00</v>
      </c>
      <c r="L780" s="2" t="str">
        <f t="shared" si="462"/>
        <v>00</v>
      </c>
      <c r="M780" s="2" t="str">
        <f t="shared" si="462"/>
        <v>00</v>
      </c>
      <c r="N780" s="2" t="str">
        <f t="shared" si="462"/>
        <v>11</v>
      </c>
      <c r="O780" s="2" t="str">
        <f t="shared" si="462"/>
        <v>11</v>
      </c>
      <c r="P780" s="2" t="str">
        <f t="shared" si="462"/>
        <v>00</v>
      </c>
      <c r="Q780" s="2" t="str">
        <f t="shared" si="462"/>
        <v>00</v>
      </c>
      <c r="R780" s="2" t="str">
        <f t="shared" si="462"/>
        <v>00</v>
      </c>
      <c r="T780" t="str">
        <f t="shared" si="461"/>
        <v>0000001111000000</v>
      </c>
      <c r="V780" s="9" t="str">
        <f t="shared" si="463"/>
        <v>00000011</v>
      </c>
      <c r="W780" s="9" t="str">
        <f t="shared" si="464"/>
        <v>11000000</v>
      </c>
      <c r="X780" s="9" t="str">
        <f t="shared" si="465"/>
        <v>03</v>
      </c>
      <c r="Y780" s="9" t="str">
        <f t="shared" si="466"/>
        <v>C0</v>
      </c>
    </row>
    <row r="781" spans="1:36" x14ac:dyDescent="0.3">
      <c r="B781" s="2">
        <v>0</v>
      </c>
      <c r="C781" s="2">
        <v>0</v>
      </c>
      <c r="D781" s="2">
        <v>0</v>
      </c>
      <c r="E781" s="2">
        <v>3</v>
      </c>
      <c r="F781" s="2">
        <v>3</v>
      </c>
      <c r="G781" s="2">
        <v>3</v>
      </c>
      <c r="H781" s="2">
        <v>0</v>
      </c>
      <c r="I781" s="2">
        <v>0</v>
      </c>
      <c r="K781" s="2" t="str">
        <f t="shared" si="462"/>
        <v>00</v>
      </c>
      <c r="L781" s="2" t="str">
        <f t="shared" si="462"/>
        <v>00</v>
      </c>
      <c r="M781" s="2" t="str">
        <f t="shared" si="462"/>
        <v>00</v>
      </c>
      <c r="N781" s="2" t="str">
        <f t="shared" si="462"/>
        <v>11</v>
      </c>
      <c r="O781" s="2" t="str">
        <f t="shared" si="462"/>
        <v>11</v>
      </c>
      <c r="P781" s="2" t="str">
        <f t="shared" si="462"/>
        <v>11</v>
      </c>
      <c r="Q781" s="2" t="str">
        <f t="shared" si="462"/>
        <v>00</v>
      </c>
      <c r="R781" s="2" t="str">
        <f t="shared" si="462"/>
        <v>00</v>
      </c>
      <c r="T781" t="str">
        <f t="shared" si="461"/>
        <v>0000001111110000</v>
      </c>
      <c r="V781" s="9" t="str">
        <f t="shared" si="463"/>
        <v>00000011</v>
      </c>
      <c r="W781" s="9" t="str">
        <f t="shared" si="464"/>
        <v>11110000</v>
      </c>
      <c r="X781" s="9" t="str">
        <f t="shared" si="465"/>
        <v>03</v>
      </c>
      <c r="Y781" s="9" t="str">
        <f t="shared" si="466"/>
        <v>F0</v>
      </c>
    </row>
    <row r="782" spans="1:36" x14ac:dyDescent="0.3">
      <c r="B782" s="2">
        <v>0</v>
      </c>
      <c r="C782" s="2">
        <v>0</v>
      </c>
      <c r="D782" s="2">
        <v>1</v>
      </c>
      <c r="E782" s="2">
        <v>1</v>
      </c>
      <c r="F782" s="2">
        <v>0</v>
      </c>
      <c r="G782" s="2">
        <v>1</v>
      </c>
      <c r="H782" s="2">
        <v>0</v>
      </c>
      <c r="I782" s="2">
        <v>0</v>
      </c>
      <c r="K782" s="2" t="str">
        <f t="shared" si="462"/>
        <v>00</v>
      </c>
      <c r="L782" s="2" t="str">
        <f t="shared" si="462"/>
        <v>00</v>
      </c>
      <c r="M782" s="2" t="str">
        <f t="shared" si="462"/>
        <v>01</v>
      </c>
      <c r="N782" s="2" t="str">
        <f t="shared" si="462"/>
        <v>01</v>
      </c>
      <c r="O782" s="2" t="str">
        <f t="shared" si="462"/>
        <v>00</v>
      </c>
      <c r="P782" s="2" t="str">
        <f t="shared" si="462"/>
        <v>01</v>
      </c>
      <c r="Q782" s="2" t="str">
        <f t="shared" si="462"/>
        <v>00</v>
      </c>
      <c r="R782" s="2" t="str">
        <f t="shared" si="462"/>
        <v>00</v>
      </c>
      <c r="T782" t="str">
        <f t="shared" si="461"/>
        <v>0000010100010000</v>
      </c>
      <c r="V782" s="10" t="str">
        <f t="shared" si="463"/>
        <v>00000101</v>
      </c>
      <c r="W782" s="10" t="str">
        <f t="shared" si="464"/>
        <v>00010000</v>
      </c>
      <c r="X782" s="10" t="str">
        <f t="shared" si="465"/>
        <v>05</v>
      </c>
      <c r="Y782" s="10" t="str">
        <f t="shared" si="466"/>
        <v>10</v>
      </c>
    </row>
    <row r="783" spans="1:36" x14ac:dyDescent="0.3">
      <c r="A783" t="s">
        <v>42</v>
      </c>
      <c r="AJ783" t="str">
        <f>";"&amp;PROPER(A783)</f>
        <v>;Rockford 14 (Left 4)</v>
      </c>
    </row>
    <row r="784" spans="1:36" x14ac:dyDescent="0.3">
      <c r="B784" s="2">
        <v>0</v>
      </c>
      <c r="C784" s="2">
        <v>0</v>
      </c>
      <c r="D784" s="2">
        <v>0</v>
      </c>
      <c r="E784" s="2">
        <v>3</v>
      </c>
      <c r="F784" s="2">
        <v>3</v>
      </c>
      <c r="G784" s="2">
        <v>0</v>
      </c>
      <c r="H784" s="2">
        <v>0</v>
      </c>
      <c r="I784" s="2">
        <v>0</v>
      </c>
      <c r="K784" s="2" t="str">
        <f t="shared" ref="K784:R799" si="468">DEC2BIN(B784,2)</f>
        <v>00</v>
      </c>
      <c r="L784" s="2" t="str">
        <f t="shared" si="468"/>
        <v>00</v>
      </c>
      <c r="M784" s="2" t="str">
        <f t="shared" si="468"/>
        <v>00</v>
      </c>
      <c r="N784" s="2" t="str">
        <f t="shared" si="468"/>
        <v>11</v>
      </c>
      <c r="O784" s="2" t="str">
        <f t="shared" si="468"/>
        <v>11</v>
      </c>
      <c r="P784" s="2" t="str">
        <f t="shared" si="468"/>
        <v>00</v>
      </c>
      <c r="Q784" s="2" t="str">
        <f t="shared" si="468"/>
        <v>00</v>
      </c>
      <c r="R784" s="2" t="str">
        <f t="shared" si="468"/>
        <v>00</v>
      </c>
      <c r="T784" t="str">
        <f t="shared" si="461"/>
        <v>0000001111000000</v>
      </c>
      <c r="V784" s="8" t="str">
        <f>LEFT(T784,8)</f>
        <v>00000011</v>
      </c>
      <c r="W784" s="8" t="str">
        <f>RIGHT(T784,8)</f>
        <v>11000000</v>
      </c>
      <c r="X784" s="8" t="str">
        <f>BIN2HEX(V784,2)</f>
        <v>03</v>
      </c>
      <c r="Y784" s="8" t="str">
        <f>BIN2HEX(W784,2)</f>
        <v>C0</v>
      </c>
      <c r="AA784" t="str" cm="1">
        <f t="array" ref="AA784:AH784">TRANSPOSE(X784:X791)</f>
        <v>03</v>
      </c>
      <c r="AB784" t="str">
        <v>0F</v>
      </c>
      <c r="AC784" t="str">
        <v>33</v>
      </c>
      <c r="AD784" t="str">
        <v>33</v>
      </c>
      <c r="AE784" t="str">
        <v>0F</v>
      </c>
      <c r="AF784" t="str">
        <v>03</v>
      </c>
      <c r="AG784" t="str">
        <v>03</v>
      </c>
      <c r="AH784" t="str">
        <v>07</v>
      </c>
      <c r="AJ784" t="str">
        <f>LOWER("!byte $"&amp;AA784&amp;", $"&amp;AB784&amp;", $"&amp;AC784&amp;", $"&amp;AD784&amp;", $"&amp;AE784&amp;", $"&amp;AF784&amp;", $"&amp;AG784&amp;", $"&amp;AH784)</f>
        <v>!byte $03, $0f, $33, $33, $0f, $03, $03, $07</v>
      </c>
    </row>
    <row r="785" spans="1:36" x14ac:dyDescent="0.3">
      <c r="B785" s="2">
        <v>0</v>
      </c>
      <c r="C785" s="2">
        <v>0</v>
      </c>
      <c r="D785" s="2">
        <v>3</v>
      </c>
      <c r="E785" s="2">
        <v>3</v>
      </c>
      <c r="F785" s="2">
        <v>3</v>
      </c>
      <c r="G785" s="2">
        <v>3</v>
      </c>
      <c r="H785" s="2">
        <v>0</v>
      </c>
      <c r="I785" s="2">
        <v>0</v>
      </c>
      <c r="K785" s="2" t="str">
        <f t="shared" si="468"/>
        <v>00</v>
      </c>
      <c r="L785" s="2" t="str">
        <f t="shared" si="468"/>
        <v>00</v>
      </c>
      <c r="M785" s="2" t="str">
        <f t="shared" si="468"/>
        <v>11</v>
      </c>
      <c r="N785" s="2" t="str">
        <f t="shared" si="468"/>
        <v>11</v>
      </c>
      <c r="O785" s="2" t="str">
        <f t="shared" si="468"/>
        <v>11</v>
      </c>
      <c r="P785" s="2" t="str">
        <f t="shared" si="468"/>
        <v>11</v>
      </c>
      <c r="Q785" s="2" t="str">
        <f t="shared" si="468"/>
        <v>00</v>
      </c>
      <c r="R785" s="2" t="str">
        <f t="shared" si="468"/>
        <v>00</v>
      </c>
      <c r="T785" t="str">
        <f t="shared" si="461"/>
        <v>0000111111110000</v>
      </c>
      <c r="V785" s="9" t="str">
        <f t="shared" ref="V785:V799" si="469">LEFT(T785,8)</f>
        <v>00001111</v>
      </c>
      <c r="W785" s="9" t="str">
        <f t="shared" ref="W785:W799" si="470">RIGHT(T785,8)</f>
        <v>11110000</v>
      </c>
      <c r="X785" s="9" t="str">
        <f t="shared" ref="X785:X799" si="471">BIN2HEX(V785,2)</f>
        <v>0F</v>
      </c>
      <c r="Y785" s="9" t="str">
        <f t="shared" ref="Y785:Y799" si="472">BIN2HEX(W785,2)</f>
        <v>F0</v>
      </c>
      <c r="AA785" t="str" cm="1">
        <f t="array" ref="AA785:AH785">TRANSPOSE(X792:X799)</f>
        <v>01</v>
      </c>
      <c r="AB785" t="str">
        <v>03</v>
      </c>
      <c r="AC785" t="str">
        <v>01</v>
      </c>
      <c r="AD785" t="str">
        <v>03</v>
      </c>
      <c r="AE785" t="str">
        <v>01</v>
      </c>
      <c r="AF785" t="str">
        <v>03</v>
      </c>
      <c r="AG785" t="str">
        <v>03</v>
      </c>
      <c r="AH785" t="str">
        <v>05</v>
      </c>
      <c r="AJ785" t="str">
        <f t="shared" ref="AJ785:AJ787" si="473">LOWER("!byte $"&amp;AA785&amp;", $"&amp;AB785&amp;", $"&amp;AC785&amp;", $"&amp;AD785&amp;", $"&amp;AE785&amp;", $"&amp;AF785&amp;", $"&amp;AG785&amp;", $"&amp;AH785)</f>
        <v>!byte $01, $03, $01, $03, $01, $03, $03, $05</v>
      </c>
    </row>
    <row r="786" spans="1:36" x14ac:dyDescent="0.3">
      <c r="B786" s="2">
        <v>0</v>
      </c>
      <c r="C786" s="2">
        <v>3</v>
      </c>
      <c r="D786" s="2">
        <v>0</v>
      </c>
      <c r="E786" s="2">
        <v>3</v>
      </c>
      <c r="F786" s="2">
        <v>3</v>
      </c>
      <c r="G786" s="2">
        <v>3</v>
      </c>
      <c r="H786" s="2">
        <v>0</v>
      </c>
      <c r="I786" s="2">
        <v>0</v>
      </c>
      <c r="K786" s="2" t="str">
        <f t="shared" si="468"/>
        <v>00</v>
      </c>
      <c r="L786" s="2" t="str">
        <f t="shared" si="468"/>
        <v>11</v>
      </c>
      <c r="M786" s="2" t="str">
        <f t="shared" si="468"/>
        <v>00</v>
      </c>
      <c r="N786" s="2" t="str">
        <f t="shared" si="468"/>
        <v>11</v>
      </c>
      <c r="O786" s="2" t="str">
        <f t="shared" si="468"/>
        <v>11</v>
      </c>
      <c r="P786" s="2" t="str">
        <f t="shared" si="468"/>
        <v>11</v>
      </c>
      <c r="Q786" s="2" t="str">
        <f t="shared" si="468"/>
        <v>00</v>
      </c>
      <c r="R786" s="2" t="str">
        <f t="shared" si="468"/>
        <v>00</v>
      </c>
      <c r="T786" t="str">
        <f t="shared" si="461"/>
        <v>0011001111110000</v>
      </c>
      <c r="V786" s="9" t="str">
        <f t="shared" si="469"/>
        <v>00110011</v>
      </c>
      <c r="W786" s="9" t="str">
        <f t="shared" si="470"/>
        <v>11110000</v>
      </c>
      <c r="X786" s="9" t="str">
        <f t="shared" si="471"/>
        <v>33</v>
      </c>
      <c r="Y786" s="9" t="str">
        <f t="shared" si="472"/>
        <v>F0</v>
      </c>
      <c r="AA786" t="str" cm="1">
        <f t="array" ref="AA786:AH786">TRANSPOSE(Y784:Y791)</f>
        <v>C0</v>
      </c>
      <c r="AB786" t="str">
        <v>F0</v>
      </c>
      <c r="AC786" t="str">
        <v>F0</v>
      </c>
      <c r="AD786" t="str">
        <v>F0</v>
      </c>
      <c r="AE786" t="str">
        <v>F0</v>
      </c>
      <c r="AF786" t="str">
        <v>C0</v>
      </c>
      <c r="AG786" t="str">
        <v>C0</v>
      </c>
      <c r="AH786" t="str">
        <v>C0</v>
      </c>
      <c r="AJ786" t="str">
        <f t="shared" si="473"/>
        <v>!byte $c0, $f0, $f0, $f0, $f0, $c0, $c0, $c0</v>
      </c>
    </row>
    <row r="787" spans="1:36" x14ac:dyDescent="0.3">
      <c r="B787" s="2">
        <v>0</v>
      </c>
      <c r="C787" s="2">
        <v>3</v>
      </c>
      <c r="D787" s="2">
        <v>0</v>
      </c>
      <c r="E787" s="2">
        <v>3</v>
      </c>
      <c r="F787" s="2">
        <v>3</v>
      </c>
      <c r="G787" s="2">
        <v>3</v>
      </c>
      <c r="H787" s="2">
        <v>0</v>
      </c>
      <c r="I787" s="2">
        <v>0</v>
      </c>
      <c r="K787" s="2" t="str">
        <f t="shared" si="468"/>
        <v>00</v>
      </c>
      <c r="L787" s="2" t="str">
        <f t="shared" si="468"/>
        <v>11</v>
      </c>
      <c r="M787" s="2" t="str">
        <f t="shared" si="468"/>
        <v>00</v>
      </c>
      <c r="N787" s="2" t="str">
        <f t="shared" si="468"/>
        <v>11</v>
      </c>
      <c r="O787" s="2" t="str">
        <f t="shared" si="468"/>
        <v>11</v>
      </c>
      <c r="P787" s="2" t="str">
        <f t="shared" si="468"/>
        <v>11</v>
      </c>
      <c r="Q787" s="2" t="str">
        <f t="shared" si="468"/>
        <v>00</v>
      </c>
      <c r="R787" s="2" t="str">
        <f t="shared" si="468"/>
        <v>00</v>
      </c>
      <c r="T787" t="str">
        <f t="shared" si="461"/>
        <v>0011001111110000</v>
      </c>
      <c r="V787" s="9" t="str">
        <f t="shared" si="469"/>
        <v>00110011</v>
      </c>
      <c r="W787" s="9" t="str">
        <f t="shared" si="470"/>
        <v>11110000</v>
      </c>
      <c r="X787" s="9" t="str">
        <f t="shared" si="471"/>
        <v>33</v>
      </c>
      <c r="Y787" s="9" t="str">
        <f t="shared" si="472"/>
        <v>F0</v>
      </c>
      <c r="AA787" t="str" cm="1">
        <f t="array" ref="AA787:AH787">TRANSPOSE(Y792:Y799)</f>
        <v>40</v>
      </c>
      <c r="AB787" t="str">
        <v>C0</v>
      </c>
      <c r="AC787" t="str">
        <v>40</v>
      </c>
      <c r="AD787" t="str">
        <v>C0</v>
      </c>
      <c r="AE787" t="str">
        <v>40</v>
      </c>
      <c r="AF787" t="str">
        <v>C0</v>
      </c>
      <c r="AG787" t="str">
        <v>C0</v>
      </c>
      <c r="AH787" t="str">
        <v>40</v>
      </c>
      <c r="AJ787" t="str">
        <f t="shared" si="473"/>
        <v>!byte $40, $c0, $40, $c0, $40, $c0, $c0, $40</v>
      </c>
    </row>
    <row r="788" spans="1:36" x14ac:dyDescent="0.3">
      <c r="B788" s="2">
        <v>0</v>
      </c>
      <c r="C788" s="2">
        <v>0</v>
      </c>
      <c r="D788" s="2">
        <v>3</v>
      </c>
      <c r="E788" s="2">
        <v>3</v>
      </c>
      <c r="F788" s="2">
        <v>3</v>
      </c>
      <c r="G788" s="2">
        <v>3</v>
      </c>
      <c r="H788" s="2">
        <v>0</v>
      </c>
      <c r="I788" s="2">
        <v>0</v>
      </c>
      <c r="K788" s="2" t="str">
        <f t="shared" si="468"/>
        <v>00</v>
      </c>
      <c r="L788" s="2" t="str">
        <f t="shared" si="468"/>
        <v>00</v>
      </c>
      <c r="M788" s="2" t="str">
        <f t="shared" si="468"/>
        <v>11</v>
      </c>
      <c r="N788" s="2" t="str">
        <f t="shared" si="468"/>
        <v>11</v>
      </c>
      <c r="O788" s="2" t="str">
        <f t="shared" si="468"/>
        <v>11</v>
      </c>
      <c r="P788" s="2" t="str">
        <f t="shared" si="468"/>
        <v>11</v>
      </c>
      <c r="Q788" s="2" t="str">
        <f t="shared" si="468"/>
        <v>00</v>
      </c>
      <c r="R788" s="2" t="str">
        <f t="shared" si="468"/>
        <v>00</v>
      </c>
      <c r="T788" t="str">
        <f t="shared" si="461"/>
        <v>0000111111110000</v>
      </c>
      <c r="V788" s="9" t="str">
        <f t="shared" si="469"/>
        <v>00001111</v>
      </c>
      <c r="W788" s="9" t="str">
        <f t="shared" si="470"/>
        <v>11110000</v>
      </c>
      <c r="X788" s="9" t="str">
        <f t="shared" si="471"/>
        <v>0F</v>
      </c>
      <c r="Y788" s="9" t="str">
        <f t="shared" si="472"/>
        <v>F0</v>
      </c>
    </row>
    <row r="789" spans="1:36" x14ac:dyDescent="0.3">
      <c r="B789" s="2">
        <v>0</v>
      </c>
      <c r="C789" s="2">
        <v>0</v>
      </c>
      <c r="D789" s="2">
        <v>0</v>
      </c>
      <c r="E789" s="2">
        <v>3</v>
      </c>
      <c r="F789" s="2">
        <v>3</v>
      </c>
      <c r="G789" s="2">
        <v>0</v>
      </c>
      <c r="H789" s="2">
        <v>0</v>
      </c>
      <c r="I789" s="2">
        <v>0</v>
      </c>
      <c r="K789" s="2" t="str">
        <f t="shared" si="468"/>
        <v>00</v>
      </c>
      <c r="L789" s="2" t="str">
        <f t="shared" si="468"/>
        <v>00</v>
      </c>
      <c r="M789" s="2" t="str">
        <f t="shared" si="468"/>
        <v>00</v>
      </c>
      <c r="N789" s="2" t="str">
        <f t="shared" si="468"/>
        <v>11</v>
      </c>
      <c r="O789" s="2" t="str">
        <f t="shared" si="468"/>
        <v>11</v>
      </c>
      <c r="P789" s="2" t="str">
        <f t="shared" si="468"/>
        <v>00</v>
      </c>
      <c r="Q789" s="2" t="str">
        <f t="shared" si="468"/>
        <v>00</v>
      </c>
      <c r="R789" s="2" t="str">
        <f t="shared" si="468"/>
        <v>00</v>
      </c>
      <c r="T789" t="str">
        <f t="shared" si="461"/>
        <v>0000001111000000</v>
      </c>
      <c r="V789" s="9" t="str">
        <f t="shared" si="469"/>
        <v>00000011</v>
      </c>
      <c r="W789" s="9" t="str">
        <f t="shared" si="470"/>
        <v>11000000</v>
      </c>
      <c r="X789" s="9" t="str">
        <f t="shared" si="471"/>
        <v>03</v>
      </c>
      <c r="Y789" s="9" t="str">
        <f t="shared" si="472"/>
        <v>C0</v>
      </c>
    </row>
    <row r="790" spans="1:36" x14ac:dyDescent="0.3">
      <c r="B790" s="2">
        <v>0</v>
      </c>
      <c r="C790" s="2">
        <v>0</v>
      </c>
      <c r="D790" s="2">
        <v>0</v>
      </c>
      <c r="E790" s="2">
        <v>3</v>
      </c>
      <c r="F790" s="2">
        <v>3</v>
      </c>
      <c r="G790" s="2">
        <v>0</v>
      </c>
      <c r="H790" s="2">
        <v>0</v>
      </c>
      <c r="I790" s="2">
        <v>0</v>
      </c>
      <c r="K790" s="2" t="str">
        <f t="shared" si="468"/>
        <v>00</v>
      </c>
      <c r="L790" s="2" t="str">
        <f t="shared" si="468"/>
        <v>00</v>
      </c>
      <c r="M790" s="2" t="str">
        <f t="shared" si="468"/>
        <v>00</v>
      </c>
      <c r="N790" s="2" t="str">
        <f t="shared" si="468"/>
        <v>11</v>
      </c>
      <c r="O790" s="2" t="str">
        <f t="shared" si="468"/>
        <v>11</v>
      </c>
      <c r="P790" s="2" t="str">
        <f t="shared" si="468"/>
        <v>00</v>
      </c>
      <c r="Q790" s="2" t="str">
        <f t="shared" si="468"/>
        <v>00</v>
      </c>
      <c r="R790" s="2" t="str">
        <f t="shared" si="468"/>
        <v>00</v>
      </c>
      <c r="T790" t="str">
        <f t="shared" si="461"/>
        <v>0000001111000000</v>
      </c>
      <c r="V790" s="9" t="str">
        <f t="shared" si="469"/>
        <v>00000011</v>
      </c>
      <c r="W790" s="9" t="str">
        <f t="shared" si="470"/>
        <v>11000000</v>
      </c>
      <c r="X790" s="9" t="str">
        <f t="shared" si="471"/>
        <v>03</v>
      </c>
      <c r="Y790" s="9" t="str">
        <f t="shared" si="472"/>
        <v>C0</v>
      </c>
    </row>
    <row r="791" spans="1:36" x14ac:dyDescent="0.3">
      <c r="B791" s="2">
        <v>0</v>
      </c>
      <c r="C791" s="2">
        <v>0</v>
      </c>
      <c r="D791" s="2">
        <v>1</v>
      </c>
      <c r="E791" s="2">
        <v>3</v>
      </c>
      <c r="F791" s="2">
        <v>3</v>
      </c>
      <c r="G791" s="2">
        <v>0</v>
      </c>
      <c r="H791" s="2">
        <v>0</v>
      </c>
      <c r="I791" s="2">
        <v>0</v>
      </c>
      <c r="K791" s="2" t="str">
        <f t="shared" si="468"/>
        <v>00</v>
      </c>
      <c r="L791" s="2" t="str">
        <f t="shared" si="468"/>
        <v>00</v>
      </c>
      <c r="M791" s="2" t="str">
        <f t="shared" si="468"/>
        <v>01</v>
      </c>
      <c r="N791" s="2" t="str">
        <f t="shared" si="468"/>
        <v>11</v>
      </c>
      <c r="O791" s="2" t="str">
        <f t="shared" si="468"/>
        <v>11</v>
      </c>
      <c r="P791" s="2" t="str">
        <f t="shared" si="468"/>
        <v>00</v>
      </c>
      <c r="Q791" s="2" t="str">
        <f t="shared" si="468"/>
        <v>00</v>
      </c>
      <c r="R791" s="2" t="str">
        <f t="shared" si="468"/>
        <v>00</v>
      </c>
      <c r="T791" t="str">
        <f t="shared" si="461"/>
        <v>0000011111000000</v>
      </c>
      <c r="V791" s="10" t="str">
        <f t="shared" si="469"/>
        <v>00000111</v>
      </c>
      <c r="W791" s="10" t="str">
        <f t="shared" si="470"/>
        <v>11000000</v>
      </c>
      <c r="X791" s="10" t="str">
        <f t="shared" si="471"/>
        <v>07</v>
      </c>
      <c r="Y791" s="10" t="str">
        <f t="shared" si="472"/>
        <v>C0</v>
      </c>
    </row>
    <row r="792" spans="1:36" x14ac:dyDescent="0.3">
      <c r="B792" s="2">
        <v>0</v>
      </c>
      <c r="C792" s="2">
        <v>0</v>
      </c>
      <c r="D792" s="2">
        <v>0</v>
      </c>
      <c r="E792" s="2">
        <v>1</v>
      </c>
      <c r="F792" s="2">
        <v>1</v>
      </c>
      <c r="G792" s="2">
        <v>0</v>
      </c>
      <c r="H792" s="2">
        <v>0</v>
      </c>
      <c r="I792" s="2">
        <v>0</v>
      </c>
      <c r="K792" s="2" t="str">
        <f t="shared" si="468"/>
        <v>00</v>
      </c>
      <c r="L792" s="2" t="str">
        <f t="shared" si="468"/>
        <v>00</v>
      </c>
      <c r="M792" s="2" t="str">
        <f t="shared" si="468"/>
        <v>00</v>
      </c>
      <c r="N792" s="2" t="str">
        <f t="shared" si="468"/>
        <v>01</v>
      </c>
      <c r="O792" s="2" t="str">
        <f t="shared" si="468"/>
        <v>01</v>
      </c>
      <c r="P792" s="2" t="str">
        <f t="shared" si="468"/>
        <v>00</v>
      </c>
      <c r="Q792" s="2" t="str">
        <f t="shared" si="468"/>
        <v>00</v>
      </c>
      <c r="R792" s="2" t="str">
        <f t="shared" si="468"/>
        <v>00</v>
      </c>
      <c r="T792" t="str">
        <f t="shared" si="461"/>
        <v>0000000101000000</v>
      </c>
      <c r="V792" s="8" t="str">
        <f t="shared" si="469"/>
        <v>00000001</v>
      </c>
      <c r="W792" s="8" t="str">
        <f t="shared" si="470"/>
        <v>01000000</v>
      </c>
      <c r="X792" s="8" t="str">
        <f t="shared" si="471"/>
        <v>01</v>
      </c>
      <c r="Y792" s="8" t="str">
        <f t="shared" si="472"/>
        <v>40</v>
      </c>
    </row>
    <row r="793" spans="1:36" x14ac:dyDescent="0.3">
      <c r="B793" s="2">
        <v>0</v>
      </c>
      <c r="C793" s="2">
        <v>0</v>
      </c>
      <c r="D793" s="2">
        <v>0</v>
      </c>
      <c r="E793" s="2">
        <v>3</v>
      </c>
      <c r="F793" s="2">
        <v>3</v>
      </c>
      <c r="G793" s="2">
        <v>0</v>
      </c>
      <c r="H793" s="2">
        <v>0</v>
      </c>
      <c r="I793" s="2">
        <v>0</v>
      </c>
      <c r="K793" s="2" t="str">
        <f t="shared" si="468"/>
        <v>00</v>
      </c>
      <c r="L793" s="2" t="str">
        <f t="shared" si="468"/>
        <v>00</v>
      </c>
      <c r="M793" s="2" t="str">
        <f t="shared" si="468"/>
        <v>00</v>
      </c>
      <c r="N793" s="2" t="str">
        <f t="shared" si="468"/>
        <v>11</v>
      </c>
      <c r="O793" s="2" t="str">
        <f t="shared" si="468"/>
        <v>11</v>
      </c>
      <c r="P793" s="2" t="str">
        <f t="shared" si="468"/>
        <v>00</v>
      </c>
      <c r="Q793" s="2" t="str">
        <f t="shared" si="468"/>
        <v>00</v>
      </c>
      <c r="R793" s="2" t="str">
        <f t="shared" si="468"/>
        <v>00</v>
      </c>
      <c r="T793" t="str">
        <f t="shared" si="461"/>
        <v>0000001111000000</v>
      </c>
      <c r="V793" s="9" t="str">
        <f t="shared" si="469"/>
        <v>00000011</v>
      </c>
      <c r="W793" s="9" t="str">
        <f t="shared" si="470"/>
        <v>11000000</v>
      </c>
      <c r="X793" s="9" t="str">
        <f t="shared" si="471"/>
        <v>03</v>
      </c>
      <c r="Y793" s="9" t="str">
        <f t="shared" si="472"/>
        <v>C0</v>
      </c>
    </row>
    <row r="794" spans="1:36" x14ac:dyDescent="0.3">
      <c r="B794" s="2">
        <v>0</v>
      </c>
      <c r="C794" s="2">
        <v>0</v>
      </c>
      <c r="D794" s="2">
        <v>0</v>
      </c>
      <c r="E794" s="2">
        <v>1</v>
      </c>
      <c r="F794" s="2">
        <v>1</v>
      </c>
      <c r="G794" s="2">
        <v>0</v>
      </c>
      <c r="H794" s="2">
        <v>0</v>
      </c>
      <c r="I794" s="2">
        <v>0</v>
      </c>
      <c r="K794" s="2" t="str">
        <f t="shared" si="468"/>
        <v>00</v>
      </c>
      <c r="L794" s="2" t="str">
        <f t="shared" si="468"/>
        <v>00</v>
      </c>
      <c r="M794" s="2" t="str">
        <f t="shared" si="468"/>
        <v>00</v>
      </c>
      <c r="N794" s="2" t="str">
        <f t="shared" si="468"/>
        <v>01</v>
      </c>
      <c r="O794" s="2" t="str">
        <f t="shared" si="468"/>
        <v>01</v>
      </c>
      <c r="P794" s="2" t="str">
        <f t="shared" si="468"/>
        <v>00</v>
      </c>
      <c r="Q794" s="2" t="str">
        <f t="shared" si="468"/>
        <v>00</v>
      </c>
      <c r="R794" s="2" t="str">
        <f t="shared" si="468"/>
        <v>00</v>
      </c>
      <c r="T794" t="str">
        <f t="shared" si="461"/>
        <v>0000000101000000</v>
      </c>
      <c r="V794" s="9" t="str">
        <f t="shared" si="469"/>
        <v>00000001</v>
      </c>
      <c r="W794" s="9" t="str">
        <f t="shared" si="470"/>
        <v>01000000</v>
      </c>
      <c r="X794" s="9" t="str">
        <f t="shared" si="471"/>
        <v>01</v>
      </c>
      <c r="Y794" s="9" t="str">
        <f t="shared" si="472"/>
        <v>40</v>
      </c>
    </row>
    <row r="795" spans="1:36" x14ac:dyDescent="0.3">
      <c r="B795" s="2">
        <v>0</v>
      </c>
      <c r="C795" s="2">
        <v>0</v>
      </c>
      <c r="D795" s="2">
        <v>0</v>
      </c>
      <c r="E795" s="2">
        <v>3</v>
      </c>
      <c r="F795" s="2">
        <v>3</v>
      </c>
      <c r="G795" s="2">
        <v>0</v>
      </c>
      <c r="H795" s="2">
        <v>0</v>
      </c>
      <c r="I795" s="2">
        <v>0</v>
      </c>
      <c r="K795" s="2" t="str">
        <f t="shared" si="468"/>
        <v>00</v>
      </c>
      <c r="L795" s="2" t="str">
        <f t="shared" si="468"/>
        <v>00</v>
      </c>
      <c r="M795" s="2" t="str">
        <f t="shared" si="468"/>
        <v>00</v>
      </c>
      <c r="N795" s="2" t="str">
        <f t="shared" si="468"/>
        <v>11</v>
      </c>
      <c r="O795" s="2" t="str">
        <f t="shared" si="468"/>
        <v>11</v>
      </c>
      <c r="P795" s="2" t="str">
        <f t="shared" si="468"/>
        <v>00</v>
      </c>
      <c r="Q795" s="2" t="str">
        <f t="shared" si="468"/>
        <v>00</v>
      </c>
      <c r="R795" s="2" t="str">
        <f t="shared" si="468"/>
        <v>00</v>
      </c>
      <c r="T795" t="str">
        <f t="shared" si="461"/>
        <v>0000001111000000</v>
      </c>
      <c r="V795" s="9" t="str">
        <f t="shared" si="469"/>
        <v>00000011</v>
      </c>
      <c r="W795" s="9" t="str">
        <f t="shared" si="470"/>
        <v>11000000</v>
      </c>
      <c r="X795" s="9" t="str">
        <f t="shared" si="471"/>
        <v>03</v>
      </c>
      <c r="Y795" s="9" t="str">
        <f t="shared" si="472"/>
        <v>C0</v>
      </c>
    </row>
    <row r="796" spans="1:36" x14ac:dyDescent="0.3">
      <c r="B796" s="2">
        <v>0</v>
      </c>
      <c r="C796" s="2">
        <v>0</v>
      </c>
      <c r="D796" s="2">
        <v>0</v>
      </c>
      <c r="E796" s="2">
        <v>1</v>
      </c>
      <c r="F796" s="2">
        <v>1</v>
      </c>
      <c r="G796" s="2">
        <v>0</v>
      </c>
      <c r="H796" s="2">
        <v>0</v>
      </c>
      <c r="I796" s="2">
        <v>0</v>
      </c>
      <c r="K796" s="2" t="str">
        <f t="shared" si="468"/>
        <v>00</v>
      </c>
      <c r="L796" s="2" t="str">
        <f t="shared" si="468"/>
        <v>00</v>
      </c>
      <c r="M796" s="2" t="str">
        <f t="shared" si="468"/>
        <v>00</v>
      </c>
      <c r="N796" s="2" t="str">
        <f t="shared" si="468"/>
        <v>01</v>
      </c>
      <c r="O796" s="2" t="str">
        <f t="shared" si="468"/>
        <v>01</v>
      </c>
      <c r="P796" s="2" t="str">
        <f t="shared" si="468"/>
        <v>00</v>
      </c>
      <c r="Q796" s="2" t="str">
        <f t="shared" si="468"/>
        <v>00</v>
      </c>
      <c r="R796" s="2" t="str">
        <f t="shared" si="468"/>
        <v>00</v>
      </c>
      <c r="T796" t="str">
        <f t="shared" si="461"/>
        <v>0000000101000000</v>
      </c>
      <c r="V796" s="9" t="str">
        <f t="shared" si="469"/>
        <v>00000001</v>
      </c>
      <c r="W796" s="9" t="str">
        <f t="shared" si="470"/>
        <v>01000000</v>
      </c>
      <c r="X796" s="9" t="str">
        <f t="shared" si="471"/>
        <v>01</v>
      </c>
      <c r="Y796" s="9" t="str">
        <f t="shared" si="472"/>
        <v>40</v>
      </c>
    </row>
    <row r="797" spans="1:36" x14ac:dyDescent="0.3">
      <c r="B797" s="2">
        <v>0</v>
      </c>
      <c r="C797" s="2">
        <v>0</v>
      </c>
      <c r="D797" s="2">
        <v>0</v>
      </c>
      <c r="E797" s="2">
        <v>3</v>
      </c>
      <c r="F797" s="2">
        <v>3</v>
      </c>
      <c r="G797" s="2">
        <v>0</v>
      </c>
      <c r="H797" s="2">
        <v>0</v>
      </c>
      <c r="I797" s="2">
        <v>0</v>
      </c>
      <c r="K797" s="2" t="str">
        <f t="shared" si="468"/>
        <v>00</v>
      </c>
      <c r="L797" s="2" t="str">
        <f t="shared" si="468"/>
        <v>00</v>
      </c>
      <c r="M797" s="2" t="str">
        <f t="shared" si="468"/>
        <v>00</v>
      </c>
      <c r="N797" s="2" t="str">
        <f t="shared" si="468"/>
        <v>11</v>
      </c>
      <c r="O797" s="2" t="str">
        <f t="shared" si="468"/>
        <v>11</v>
      </c>
      <c r="P797" s="2" t="str">
        <f t="shared" si="468"/>
        <v>00</v>
      </c>
      <c r="Q797" s="2" t="str">
        <f t="shared" si="468"/>
        <v>00</v>
      </c>
      <c r="R797" s="2" t="str">
        <f t="shared" si="468"/>
        <v>00</v>
      </c>
      <c r="T797" t="str">
        <f t="shared" si="461"/>
        <v>0000001111000000</v>
      </c>
      <c r="V797" s="9" t="str">
        <f t="shared" si="469"/>
        <v>00000011</v>
      </c>
      <c r="W797" s="9" t="str">
        <f t="shared" si="470"/>
        <v>11000000</v>
      </c>
      <c r="X797" s="9" t="str">
        <f t="shared" si="471"/>
        <v>03</v>
      </c>
      <c r="Y797" s="9" t="str">
        <f t="shared" si="472"/>
        <v>C0</v>
      </c>
    </row>
    <row r="798" spans="1:36" x14ac:dyDescent="0.3">
      <c r="B798" s="2">
        <v>0</v>
      </c>
      <c r="C798" s="2">
        <v>0</v>
      </c>
      <c r="D798" s="2">
        <v>0</v>
      </c>
      <c r="E798" s="2">
        <v>3</v>
      </c>
      <c r="F798" s="2">
        <v>3</v>
      </c>
      <c r="G798" s="2">
        <v>0</v>
      </c>
      <c r="H798" s="2">
        <v>0</v>
      </c>
      <c r="I798" s="2">
        <v>0</v>
      </c>
      <c r="K798" s="2" t="str">
        <f t="shared" si="468"/>
        <v>00</v>
      </c>
      <c r="L798" s="2" t="str">
        <f t="shared" si="468"/>
        <v>00</v>
      </c>
      <c r="M798" s="2" t="str">
        <f t="shared" si="468"/>
        <v>00</v>
      </c>
      <c r="N798" s="2" t="str">
        <f t="shared" si="468"/>
        <v>11</v>
      </c>
      <c r="O798" s="2" t="str">
        <f t="shared" si="468"/>
        <v>11</v>
      </c>
      <c r="P798" s="2" t="str">
        <f t="shared" si="468"/>
        <v>00</v>
      </c>
      <c r="Q798" s="2" t="str">
        <f t="shared" si="468"/>
        <v>00</v>
      </c>
      <c r="R798" s="2" t="str">
        <f t="shared" si="468"/>
        <v>00</v>
      </c>
      <c r="T798" t="str">
        <f t="shared" si="461"/>
        <v>0000001111000000</v>
      </c>
      <c r="V798" s="9" t="str">
        <f t="shared" si="469"/>
        <v>00000011</v>
      </c>
      <c r="W798" s="9" t="str">
        <f t="shared" si="470"/>
        <v>11000000</v>
      </c>
      <c r="X798" s="9" t="str">
        <f t="shared" si="471"/>
        <v>03</v>
      </c>
      <c r="Y798" s="9" t="str">
        <f t="shared" si="472"/>
        <v>C0</v>
      </c>
    </row>
    <row r="799" spans="1:36" x14ac:dyDescent="0.3">
      <c r="B799" s="2">
        <v>0</v>
      </c>
      <c r="C799" s="2">
        <v>0</v>
      </c>
      <c r="D799" s="2">
        <v>1</v>
      </c>
      <c r="E799" s="2">
        <v>1</v>
      </c>
      <c r="F799" s="2">
        <v>1</v>
      </c>
      <c r="G799" s="2">
        <v>0</v>
      </c>
      <c r="H799" s="2">
        <v>0</v>
      </c>
      <c r="I799" s="2">
        <v>0</v>
      </c>
      <c r="K799" s="2" t="str">
        <f t="shared" si="468"/>
        <v>00</v>
      </c>
      <c r="L799" s="2" t="str">
        <f t="shared" si="468"/>
        <v>00</v>
      </c>
      <c r="M799" s="2" t="str">
        <f t="shared" si="468"/>
        <v>01</v>
      </c>
      <c r="N799" s="2" t="str">
        <f t="shared" si="468"/>
        <v>01</v>
      </c>
      <c r="O799" s="2" t="str">
        <f t="shared" si="468"/>
        <v>01</v>
      </c>
      <c r="P799" s="2" t="str">
        <f t="shared" si="468"/>
        <v>00</v>
      </c>
      <c r="Q799" s="2" t="str">
        <f t="shared" si="468"/>
        <v>00</v>
      </c>
      <c r="R799" s="2" t="str">
        <f t="shared" si="468"/>
        <v>00</v>
      </c>
      <c r="T799" t="str">
        <f t="shared" si="461"/>
        <v>0000010101000000</v>
      </c>
      <c r="V799" s="10" t="str">
        <f t="shared" si="469"/>
        <v>00000101</v>
      </c>
      <c r="W799" s="10" t="str">
        <f t="shared" si="470"/>
        <v>01000000</v>
      </c>
      <c r="X799" s="10" t="str">
        <f t="shared" si="471"/>
        <v>05</v>
      </c>
      <c r="Y799" s="10" t="str">
        <f t="shared" si="472"/>
        <v>40</v>
      </c>
    </row>
    <row r="800" spans="1:36" x14ac:dyDescent="0.3">
      <c r="A800" t="s">
        <v>43</v>
      </c>
      <c r="AJ800" t="str">
        <f>";"&amp;PROPER(A800)</f>
        <v>;Rockford 15 (Right 1)</v>
      </c>
    </row>
    <row r="801" spans="2:36" x14ac:dyDescent="0.3">
      <c r="B801" s="2">
        <v>0</v>
      </c>
      <c r="C801" s="2">
        <v>0</v>
      </c>
      <c r="D801" s="2">
        <v>0</v>
      </c>
      <c r="E801" s="2">
        <v>3</v>
      </c>
      <c r="F801" s="2">
        <v>3</v>
      </c>
      <c r="G801" s="2">
        <v>0</v>
      </c>
      <c r="H801" s="2">
        <v>0</v>
      </c>
      <c r="I801" s="2">
        <v>0</v>
      </c>
      <c r="K801" s="2" t="str">
        <f t="shared" ref="K801:R816" si="474">DEC2BIN(B801,2)</f>
        <v>00</v>
      </c>
      <c r="L801" s="2" t="str">
        <f t="shared" si="474"/>
        <v>00</v>
      </c>
      <c r="M801" s="2" t="str">
        <f t="shared" si="474"/>
        <v>00</v>
      </c>
      <c r="N801" s="2" t="str">
        <f t="shared" si="474"/>
        <v>11</v>
      </c>
      <c r="O801" s="2" t="str">
        <f t="shared" si="474"/>
        <v>11</v>
      </c>
      <c r="P801" s="2" t="str">
        <f t="shared" si="474"/>
        <v>00</v>
      </c>
      <c r="Q801" s="2" t="str">
        <f t="shared" si="474"/>
        <v>00</v>
      </c>
      <c r="R801" s="2" t="str">
        <f t="shared" si="474"/>
        <v>00</v>
      </c>
      <c r="T801" t="str">
        <f t="shared" si="461"/>
        <v>0000001111000000</v>
      </c>
      <c r="V801" s="8" t="str">
        <f>LEFT(T801,8)</f>
        <v>00000011</v>
      </c>
      <c r="W801" s="8" t="str">
        <f>RIGHT(T801,8)</f>
        <v>11000000</v>
      </c>
      <c r="X801" s="8" t="str">
        <f>BIN2HEX(V801,2)</f>
        <v>03</v>
      </c>
      <c r="Y801" s="8" t="str">
        <f>BIN2HEX(W801,2)</f>
        <v>C0</v>
      </c>
      <c r="AA801" t="str" cm="1">
        <f t="array" ref="AA801:AH801">TRANSPOSE(X801:X808)</f>
        <v>03</v>
      </c>
      <c r="AB801" t="str">
        <v>0F</v>
      </c>
      <c r="AC801" t="str">
        <v>0F</v>
      </c>
      <c r="AD801" t="str">
        <v>0F</v>
      </c>
      <c r="AE801" t="str">
        <v>0F</v>
      </c>
      <c r="AF801" t="str">
        <v>03</v>
      </c>
      <c r="AG801" t="str">
        <v>03</v>
      </c>
      <c r="AH801" t="str">
        <v>03</v>
      </c>
      <c r="AJ801" t="str">
        <f>LOWER("!byte $"&amp;AA801&amp;", $"&amp;AB801&amp;", $"&amp;AC801&amp;", $"&amp;AD801&amp;", $"&amp;AE801&amp;", $"&amp;AF801&amp;", $"&amp;AG801&amp;", $"&amp;AH801)</f>
        <v>!byte $03, $0f, $0f, $0f, $0f, $03, $03, $03</v>
      </c>
    </row>
    <row r="802" spans="2:36" x14ac:dyDescent="0.3">
      <c r="B802" s="2">
        <v>0</v>
      </c>
      <c r="C802" s="2">
        <v>0</v>
      </c>
      <c r="D802" s="2">
        <v>3</v>
      </c>
      <c r="E802" s="2">
        <v>3</v>
      </c>
      <c r="F802" s="2">
        <v>3</v>
      </c>
      <c r="G802" s="2">
        <v>3</v>
      </c>
      <c r="H802" s="2">
        <v>0</v>
      </c>
      <c r="I802" s="2">
        <v>0</v>
      </c>
      <c r="K802" s="2" t="str">
        <f t="shared" si="474"/>
        <v>00</v>
      </c>
      <c r="L802" s="2" t="str">
        <f t="shared" si="474"/>
        <v>00</v>
      </c>
      <c r="M802" s="2" t="str">
        <f t="shared" si="474"/>
        <v>11</v>
      </c>
      <c r="N802" s="2" t="str">
        <f t="shared" si="474"/>
        <v>11</v>
      </c>
      <c r="O802" s="2" t="str">
        <f t="shared" si="474"/>
        <v>11</v>
      </c>
      <c r="P802" s="2" t="str">
        <f t="shared" si="474"/>
        <v>11</v>
      </c>
      <c r="Q802" s="2" t="str">
        <f t="shared" si="474"/>
        <v>00</v>
      </c>
      <c r="R802" s="2" t="str">
        <f t="shared" si="474"/>
        <v>00</v>
      </c>
      <c r="T802" t="str">
        <f t="shared" si="461"/>
        <v>0000111111110000</v>
      </c>
      <c r="V802" s="9" t="str">
        <f t="shared" ref="V802:V816" si="475">LEFT(T802,8)</f>
        <v>00001111</v>
      </c>
      <c r="W802" s="9" t="str">
        <f t="shared" ref="W802:W816" si="476">RIGHT(T802,8)</f>
        <v>11110000</v>
      </c>
      <c r="X802" s="9" t="str">
        <f t="shared" ref="X802:X816" si="477">BIN2HEX(V802,2)</f>
        <v>0F</v>
      </c>
      <c r="Y802" s="9" t="str">
        <f t="shared" ref="Y802:Y816" si="478">BIN2HEX(W802,2)</f>
        <v>F0</v>
      </c>
      <c r="AA802" t="str" cm="1">
        <f t="array" ref="AA802:AH802">TRANSPOSE(X809:X816)</f>
        <v>01</v>
      </c>
      <c r="AB802" t="str">
        <v>03</v>
      </c>
      <c r="AC802" t="str">
        <v>01</v>
      </c>
      <c r="AD802" t="str">
        <v>03</v>
      </c>
      <c r="AE802" t="str">
        <v>01</v>
      </c>
      <c r="AF802" t="str">
        <v>03</v>
      </c>
      <c r="AG802" t="str">
        <v>03</v>
      </c>
      <c r="AH802" t="str">
        <v>01</v>
      </c>
      <c r="AJ802" t="str">
        <f t="shared" ref="AJ802:AJ804" si="479">LOWER("!byte $"&amp;AA802&amp;", $"&amp;AB802&amp;", $"&amp;AC802&amp;", $"&amp;AD802&amp;", $"&amp;AE802&amp;", $"&amp;AF802&amp;", $"&amp;AG802&amp;", $"&amp;AH802)</f>
        <v>!byte $01, $03, $01, $03, $01, $03, $03, $01</v>
      </c>
    </row>
    <row r="803" spans="2:36" x14ac:dyDescent="0.3">
      <c r="B803" s="2">
        <v>0</v>
      </c>
      <c r="C803" s="2">
        <v>0</v>
      </c>
      <c r="D803" s="2">
        <v>3</v>
      </c>
      <c r="E803" s="2">
        <v>3</v>
      </c>
      <c r="F803" s="2">
        <v>3</v>
      </c>
      <c r="G803" s="2">
        <v>0</v>
      </c>
      <c r="H803" s="2">
        <v>3</v>
      </c>
      <c r="I803" s="2">
        <v>0</v>
      </c>
      <c r="K803" s="2" t="str">
        <f t="shared" si="474"/>
        <v>00</v>
      </c>
      <c r="L803" s="2" t="str">
        <f t="shared" si="474"/>
        <v>00</v>
      </c>
      <c r="M803" s="2" t="str">
        <f t="shared" si="474"/>
        <v>11</v>
      </c>
      <c r="N803" s="2" t="str">
        <f t="shared" si="474"/>
        <v>11</v>
      </c>
      <c r="O803" s="2" t="str">
        <f t="shared" si="474"/>
        <v>11</v>
      </c>
      <c r="P803" s="2" t="str">
        <f t="shared" si="474"/>
        <v>00</v>
      </c>
      <c r="Q803" s="2" t="str">
        <f t="shared" si="474"/>
        <v>11</v>
      </c>
      <c r="R803" s="2" t="str">
        <f t="shared" si="474"/>
        <v>00</v>
      </c>
      <c r="T803" t="str">
        <f t="shared" si="461"/>
        <v>0000111111001100</v>
      </c>
      <c r="V803" s="9" t="str">
        <f t="shared" si="475"/>
        <v>00001111</v>
      </c>
      <c r="W803" s="9" t="str">
        <f t="shared" si="476"/>
        <v>11001100</v>
      </c>
      <c r="X803" s="9" t="str">
        <f t="shared" si="477"/>
        <v>0F</v>
      </c>
      <c r="Y803" s="9" t="str">
        <f t="shared" si="478"/>
        <v>CC</v>
      </c>
      <c r="AA803" t="str" cm="1">
        <f t="array" ref="AA803:AH803">TRANSPOSE(Y801:Y808)</f>
        <v>C0</v>
      </c>
      <c r="AB803" t="str">
        <v>F0</v>
      </c>
      <c r="AC803" t="str">
        <v>CC</v>
      </c>
      <c r="AD803" t="str">
        <v>CC</v>
      </c>
      <c r="AE803" t="str">
        <v>F0</v>
      </c>
      <c r="AF803" t="str">
        <v>C0</v>
      </c>
      <c r="AG803" t="str">
        <v>C0</v>
      </c>
      <c r="AH803" t="str">
        <v>D0</v>
      </c>
      <c r="AJ803" t="str">
        <f t="shared" si="479"/>
        <v>!byte $c0, $f0, $cc, $cc, $f0, $c0, $c0, $d0</v>
      </c>
    </row>
    <row r="804" spans="2:36" x14ac:dyDescent="0.3">
      <c r="B804" s="2">
        <v>0</v>
      </c>
      <c r="C804" s="2">
        <v>0</v>
      </c>
      <c r="D804" s="2">
        <v>3</v>
      </c>
      <c r="E804" s="2">
        <v>3</v>
      </c>
      <c r="F804" s="2">
        <v>3</v>
      </c>
      <c r="G804" s="2">
        <v>0</v>
      </c>
      <c r="H804" s="2">
        <v>3</v>
      </c>
      <c r="I804" s="2">
        <v>0</v>
      </c>
      <c r="K804" s="2" t="str">
        <f t="shared" si="474"/>
        <v>00</v>
      </c>
      <c r="L804" s="2" t="str">
        <f t="shared" si="474"/>
        <v>00</v>
      </c>
      <c r="M804" s="2" t="str">
        <f t="shared" si="474"/>
        <v>11</v>
      </c>
      <c r="N804" s="2" t="str">
        <f t="shared" si="474"/>
        <v>11</v>
      </c>
      <c r="O804" s="2" t="str">
        <f t="shared" si="474"/>
        <v>11</v>
      </c>
      <c r="P804" s="2" t="str">
        <f t="shared" si="474"/>
        <v>00</v>
      </c>
      <c r="Q804" s="2" t="str">
        <f t="shared" si="474"/>
        <v>11</v>
      </c>
      <c r="R804" s="2" t="str">
        <f t="shared" si="474"/>
        <v>00</v>
      </c>
      <c r="T804" t="str">
        <f t="shared" si="461"/>
        <v>0000111111001100</v>
      </c>
      <c r="V804" s="9" t="str">
        <f t="shared" si="475"/>
        <v>00001111</v>
      </c>
      <c r="W804" s="9" t="str">
        <f t="shared" si="476"/>
        <v>11001100</v>
      </c>
      <c r="X804" s="9" t="str">
        <f t="shared" si="477"/>
        <v>0F</v>
      </c>
      <c r="Y804" s="9" t="str">
        <f t="shared" si="478"/>
        <v>CC</v>
      </c>
      <c r="AA804" t="str" cm="1">
        <f t="array" ref="AA804:AH804">TRANSPOSE(Y809:Y816)</f>
        <v>40</v>
      </c>
      <c r="AB804" t="str">
        <v>C0</v>
      </c>
      <c r="AC804" t="str">
        <v>40</v>
      </c>
      <c r="AD804" t="str">
        <v>C0</v>
      </c>
      <c r="AE804" t="str">
        <v>40</v>
      </c>
      <c r="AF804" t="str">
        <v>C0</v>
      </c>
      <c r="AG804" t="str">
        <v>C0</v>
      </c>
      <c r="AH804" t="str">
        <v>50</v>
      </c>
      <c r="AJ804" t="str">
        <f t="shared" si="479"/>
        <v>!byte $40, $c0, $40, $c0, $40, $c0, $c0, $50</v>
      </c>
    </row>
    <row r="805" spans="2:36" x14ac:dyDescent="0.3">
      <c r="B805" s="2">
        <v>0</v>
      </c>
      <c r="C805" s="2">
        <v>0</v>
      </c>
      <c r="D805" s="2">
        <v>3</v>
      </c>
      <c r="E805" s="2">
        <v>3</v>
      </c>
      <c r="F805" s="2">
        <v>3</v>
      </c>
      <c r="G805" s="2">
        <v>3</v>
      </c>
      <c r="H805" s="2">
        <v>0</v>
      </c>
      <c r="I805" s="2">
        <v>0</v>
      </c>
      <c r="K805" s="2" t="str">
        <f t="shared" si="474"/>
        <v>00</v>
      </c>
      <c r="L805" s="2" t="str">
        <f t="shared" si="474"/>
        <v>00</v>
      </c>
      <c r="M805" s="2" t="str">
        <f t="shared" si="474"/>
        <v>11</v>
      </c>
      <c r="N805" s="2" t="str">
        <f t="shared" si="474"/>
        <v>11</v>
      </c>
      <c r="O805" s="2" t="str">
        <f t="shared" si="474"/>
        <v>11</v>
      </c>
      <c r="P805" s="2" t="str">
        <f t="shared" si="474"/>
        <v>11</v>
      </c>
      <c r="Q805" s="2" t="str">
        <f t="shared" si="474"/>
        <v>00</v>
      </c>
      <c r="R805" s="2" t="str">
        <f t="shared" si="474"/>
        <v>00</v>
      </c>
      <c r="T805" t="str">
        <f t="shared" si="461"/>
        <v>0000111111110000</v>
      </c>
      <c r="V805" s="9" t="str">
        <f t="shared" si="475"/>
        <v>00001111</v>
      </c>
      <c r="W805" s="9" t="str">
        <f t="shared" si="476"/>
        <v>11110000</v>
      </c>
      <c r="X805" s="9" t="str">
        <f t="shared" si="477"/>
        <v>0F</v>
      </c>
      <c r="Y805" s="9" t="str">
        <f t="shared" si="478"/>
        <v>F0</v>
      </c>
    </row>
    <row r="806" spans="2:36" x14ac:dyDescent="0.3">
      <c r="B806" s="2">
        <v>0</v>
      </c>
      <c r="C806" s="2">
        <v>0</v>
      </c>
      <c r="D806" s="2">
        <v>0</v>
      </c>
      <c r="E806" s="2">
        <v>3</v>
      </c>
      <c r="F806" s="2">
        <v>3</v>
      </c>
      <c r="G806" s="2">
        <v>0</v>
      </c>
      <c r="H806" s="2">
        <v>0</v>
      </c>
      <c r="I806" s="2">
        <v>0</v>
      </c>
      <c r="K806" s="2" t="str">
        <f t="shared" si="474"/>
        <v>00</v>
      </c>
      <c r="L806" s="2" t="str">
        <f t="shared" si="474"/>
        <v>00</v>
      </c>
      <c r="M806" s="2" t="str">
        <f t="shared" si="474"/>
        <v>00</v>
      </c>
      <c r="N806" s="2" t="str">
        <f t="shared" si="474"/>
        <v>11</v>
      </c>
      <c r="O806" s="2" t="str">
        <f t="shared" si="474"/>
        <v>11</v>
      </c>
      <c r="P806" s="2" t="str">
        <f t="shared" si="474"/>
        <v>00</v>
      </c>
      <c r="Q806" s="2" t="str">
        <f t="shared" si="474"/>
        <v>00</v>
      </c>
      <c r="R806" s="2" t="str">
        <f t="shared" si="474"/>
        <v>00</v>
      </c>
      <c r="T806" t="str">
        <f t="shared" si="461"/>
        <v>0000001111000000</v>
      </c>
      <c r="V806" s="9" t="str">
        <f t="shared" si="475"/>
        <v>00000011</v>
      </c>
      <c r="W806" s="9" t="str">
        <f t="shared" si="476"/>
        <v>11000000</v>
      </c>
      <c r="X806" s="9" t="str">
        <f t="shared" si="477"/>
        <v>03</v>
      </c>
      <c r="Y806" s="9" t="str">
        <f t="shared" si="478"/>
        <v>C0</v>
      </c>
    </row>
    <row r="807" spans="2:36" x14ac:dyDescent="0.3">
      <c r="B807" s="2">
        <v>0</v>
      </c>
      <c r="C807" s="2">
        <v>0</v>
      </c>
      <c r="D807" s="2">
        <v>0</v>
      </c>
      <c r="E807" s="2">
        <v>3</v>
      </c>
      <c r="F807" s="2">
        <v>3</v>
      </c>
      <c r="G807" s="2">
        <v>0</v>
      </c>
      <c r="H807" s="2">
        <v>0</v>
      </c>
      <c r="I807" s="2">
        <v>0</v>
      </c>
      <c r="K807" s="2" t="str">
        <f t="shared" si="474"/>
        <v>00</v>
      </c>
      <c r="L807" s="2" t="str">
        <f t="shared" si="474"/>
        <v>00</v>
      </c>
      <c r="M807" s="2" t="str">
        <f t="shared" si="474"/>
        <v>00</v>
      </c>
      <c r="N807" s="2" t="str">
        <f t="shared" si="474"/>
        <v>11</v>
      </c>
      <c r="O807" s="2" t="str">
        <f t="shared" si="474"/>
        <v>11</v>
      </c>
      <c r="P807" s="2" t="str">
        <f t="shared" si="474"/>
        <v>00</v>
      </c>
      <c r="Q807" s="2" t="str">
        <f t="shared" si="474"/>
        <v>00</v>
      </c>
      <c r="R807" s="2" t="str">
        <f t="shared" si="474"/>
        <v>00</v>
      </c>
      <c r="T807" t="str">
        <f t="shared" si="461"/>
        <v>0000001111000000</v>
      </c>
      <c r="V807" s="9" t="str">
        <f t="shared" si="475"/>
        <v>00000011</v>
      </c>
      <c r="W807" s="9" t="str">
        <f t="shared" si="476"/>
        <v>11000000</v>
      </c>
      <c r="X807" s="9" t="str">
        <f t="shared" si="477"/>
        <v>03</v>
      </c>
      <c r="Y807" s="9" t="str">
        <f t="shared" si="478"/>
        <v>C0</v>
      </c>
    </row>
    <row r="808" spans="2:36" x14ac:dyDescent="0.3">
      <c r="B808" s="2">
        <v>0</v>
      </c>
      <c r="C808" s="2">
        <v>0</v>
      </c>
      <c r="D808" s="2">
        <v>0</v>
      </c>
      <c r="E808" s="2">
        <v>3</v>
      </c>
      <c r="F808" s="2">
        <v>3</v>
      </c>
      <c r="G808" s="2">
        <v>1</v>
      </c>
      <c r="H808" s="2">
        <v>0</v>
      </c>
      <c r="I808" s="2">
        <v>0</v>
      </c>
      <c r="K808" s="2" t="str">
        <f t="shared" si="474"/>
        <v>00</v>
      </c>
      <c r="L808" s="2" t="str">
        <f t="shared" si="474"/>
        <v>00</v>
      </c>
      <c r="M808" s="2" t="str">
        <f t="shared" si="474"/>
        <v>00</v>
      </c>
      <c r="N808" s="2" t="str">
        <f t="shared" si="474"/>
        <v>11</v>
      </c>
      <c r="O808" s="2" t="str">
        <f t="shared" si="474"/>
        <v>11</v>
      </c>
      <c r="P808" s="2" t="str">
        <f t="shared" si="474"/>
        <v>01</v>
      </c>
      <c r="Q808" s="2" t="str">
        <f t="shared" si="474"/>
        <v>00</v>
      </c>
      <c r="R808" s="2" t="str">
        <f t="shared" si="474"/>
        <v>00</v>
      </c>
      <c r="T808" t="str">
        <f t="shared" si="461"/>
        <v>0000001111010000</v>
      </c>
      <c r="V808" s="10" t="str">
        <f t="shared" si="475"/>
        <v>00000011</v>
      </c>
      <c r="W808" s="10" t="str">
        <f t="shared" si="476"/>
        <v>11010000</v>
      </c>
      <c r="X808" s="10" t="str">
        <f t="shared" si="477"/>
        <v>03</v>
      </c>
      <c r="Y808" s="10" t="str">
        <f t="shared" si="478"/>
        <v>D0</v>
      </c>
    </row>
    <row r="809" spans="2:36" x14ac:dyDescent="0.3">
      <c r="B809" s="2">
        <v>0</v>
      </c>
      <c r="C809" s="2">
        <v>0</v>
      </c>
      <c r="D809" s="2">
        <v>0</v>
      </c>
      <c r="E809" s="2">
        <v>1</v>
      </c>
      <c r="F809" s="2">
        <v>1</v>
      </c>
      <c r="G809" s="2">
        <v>0</v>
      </c>
      <c r="H809" s="2">
        <v>0</v>
      </c>
      <c r="I809" s="2">
        <v>0</v>
      </c>
      <c r="K809" s="2" t="str">
        <f t="shared" si="474"/>
        <v>00</v>
      </c>
      <c r="L809" s="2" t="str">
        <f t="shared" si="474"/>
        <v>00</v>
      </c>
      <c r="M809" s="2" t="str">
        <f t="shared" si="474"/>
        <v>00</v>
      </c>
      <c r="N809" s="2" t="str">
        <f t="shared" si="474"/>
        <v>01</v>
      </c>
      <c r="O809" s="2" t="str">
        <f t="shared" si="474"/>
        <v>01</v>
      </c>
      <c r="P809" s="2" t="str">
        <f t="shared" si="474"/>
        <v>00</v>
      </c>
      <c r="Q809" s="2" t="str">
        <f t="shared" si="474"/>
        <v>00</v>
      </c>
      <c r="R809" s="2" t="str">
        <f t="shared" si="474"/>
        <v>00</v>
      </c>
      <c r="T809" t="str">
        <f t="shared" si="461"/>
        <v>0000000101000000</v>
      </c>
      <c r="V809" s="8" t="str">
        <f t="shared" si="475"/>
        <v>00000001</v>
      </c>
      <c r="W809" s="8" t="str">
        <f t="shared" si="476"/>
        <v>01000000</v>
      </c>
      <c r="X809" s="8" t="str">
        <f t="shared" si="477"/>
        <v>01</v>
      </c>
      <c r="Y809" s="8" t="str">
        <f t="shared" si="478"/>
        <v>40</v>
      </c>
    </row>
    <row r="810" spans="2:36" x14ac:dyDescent="0.3">
      <c r="B810" s="2">
        <v>0</v>
      </c>
      <c r="C810" s="2">
        <v>0</v>
      </c>
      <c r="D810" s="2">
        <v>0</v>
      </c>
      <c r="E810" s="2">
        <v>3</v>
      </c>
      <c r="F810" s="2">
        <v>3</v>
      </c>
      <c r="G810" s="2">
        <v>0</v>
      </c>
      <c r="H810" s="2">
        <v>0</v>
      </c>
      <c r="I810" s="2">
        <v>0</v>
      </c>
      <c r="K810" s="2" t="str">
        <f t="shared" si="474"/>
        <v>00</v>
      </c>
      <c r="L810" s="2" t="str">
        <f t="shared" si="474"/>
        <v>00</v>
      </c>
      <c r="M810" s="2" t="str">
        <f t="shared" si="474"/>
        <v>00</v>
      </c>
      <c r="N810" s="2" t="str">
        <f t="shared" si="474"/>
        <v>11</v>
      </c>
      <c r="O810" s="2" t="str">
        <f t="shared" si="474"/>
        <v>11</v>
      </c>
      <c r="P810" s="2" t="str">
        <f t="shared" si="474"/>
        <v>00</v>
      </c>
      <c r="Q810" s="2" t="str">
        <f t="shared" si="474"/>
        <v>00</v>
      </c>
      <c r="R810" s="2" t="str">
        <f t="shared" si="474"/>
        <v>00</v>
      </c>
      <c r="T810" t="str">
        <f t="shared" si="461"/>
        <v>0000001111000000</v>
      </c>
      <c r="V810" s="9" t="str">
        <f t="shared" si="475"/>
        <v>00000011</v>
      </c>
      <c r="W810" s="9" t="str">
        <f t="shared" si="476"/>
        <v>11000000</v>
      </c>
      <c r="X810" s="9" t="str">
        <f t="shared" si="477"/>
        <v>03</v>
      </c>
      <c r="Y810" s="9" t="str">
        <f t="shared" si="478"/>
        <v>C0</v>
      </c>
    </row>
    <row r="811" spans="2:36" x14ac:dyDescent="0.3">
      <c r="B811" s="2">
        <v>0</v>
      </c>
      <c r="C811" s="2">
        <v>0</v>
      </c>
      <c r="D811" s="2">
        <v>0</v>
      </c>
      <c r="E811" s="2">
        <v>1</v>
      </c>
      <c r="F811" s="2">
        <v>1</v>
      </c>
      <c r="G811" s="2">
        <v>0</v>
      </c>
      <c r="H811" s="2">
        <v>0</v>
      </c>
      <c r="I811" s="2">
        <v>0</v>
      </c>
      <c r="K811" s="2" t="str">
        <f t="shared" si="474"/>
        <v>00</v>
      </c>
      <c r="L811" s="2" t="str">
        <f t="shared" si="474"/>
        <v>00</v>
      </c>
      <c r="M811" s="2" t="str">
        <f t="shared" si="474"/>
        <v>00</v>
      </c>
      <c r="N811" s="2" t="str">
        <f t="shared" si="474"/>
        <v>01</v>
      </c>
      <c r="O811" s="2" t="str">
        <f t="shared" si="474"/>
        <v>01</v>
      </c>
      <c r="P811" s="2" t="str">
        <f t="shared" si="474"/>
        <v>00</v>
      </c>
      <c r="Q811" s="2" t="str">
        <f t="shared" si="474"/>
        <v>00</v>
      </c>
      <c r="R811" s="2" t="str">
        <f t="shared" si="474"/>
        <v>00</v>
      </c>
      <c r="T811" t="str">
        <f t="shared" si="461"/>
        <v>0000000101000000</v>
      </c>
      <c r="V811" s="9" t="str">
        <f t="shared" si="475"/>
        <v>00000001</v>
      </c>
      <c r="W811" s="9" t="str">
        <f t="shared" si="476"/>
        <v>01000000</v>
      </c>
      <c r="X811" s="9" t="str">
        <f t="shared" si="477"/>
        <v>01</v>
      </c>
      <c r="Y811" s="9" t="str">
        <f t="shared" si="478"/>
        <v>40</v>
      </c>
    </row>
    <row r="812" spans="2:36" x14ac:dyDescent="0.3">
      <c r="B812" s="2">
        <v>0</v>
      </c>
      <c r="C812" s="2">
        <v>0</v>
      </c>
      <c r="D812" s="2">
        <v>0</v>
      </c>
      <c r="E812" s="2">
        <v>3</v>
      </c>
      <c r="F812" s="2">
        <v>3</v>
      </c>
      <c r="G812" s="2">
        <v>0</v>
      </c>
      <c r="H812" s="2">
        <v>0</v>
      </c>
      <c r="I812" s="2">
        <v>0</v>
      </c>
      <c r="K812" s="2" t="str">
        <f t="shared" si="474"/>
        <v>00</v>
      </c>
      <c r="L812" s="2" t="str">
        <f t="shared" si="474"/>
        <v>00</v>
      </c>
      <c r="M812" s="2" t="str">
        <f t="shared" si="474"/>
        <v>00</v>
      </c>
      <c r="N812" s="2" t="str">
        <f t="shared" si="474"/>
        <v>11</v>
      </c>
      <c r="O812" s="2" t="str">
        <f t="shared" si="474"/>
        <v>11</v>
      </c>
      <c r="P812" s="2" t="str">
        <f t="shared" si="474"/>
        <v>00</v>
      </c>
      <c r="Q812" s="2" t="str">
        <f t="shared" si="474"/>
        <v>00</v>
      </c>
      <c r="R812" s="2" t="str">
        <f t="shared" si="474"/>
        <v>00</v>
      </c>
      <c r="T812" t="str">
        <f t="shared" si="461"/>
        <v>0000001111000000</v>
      </c>
      <c r="V812" s="9" t="str">
        <f t="shared" si="475"/>
        <v>00000011</v>
      </c>
      <c r="W812" s="9" t="str">
        <f t="shared" si="476"/>
        <v>11000000</v>
      </c>
      <c r="X812" s="9" t="str">
        <f t="shared" si="477"/>
        <v>03</v>
      </c>
      <c r="Y812" s="9" t="str">
        <f t="shared" si="478"/>
        <v>C0</v>
      </c>
    </row>
    <row r="813" spans="2:36" x14ac:dyDescent="0.3">
      <c r="B813" s="2">
        <v>0</v>
      </c>
      <c r="C813" s="2">
        <v>0</v>
      </c>
      <c r="D813" s="2">
        <v>0</v>
      </c>
      <c r="E813" s="2">
        <v>1</v>
      </c>
      <c r="F813" s="2">
        <v>1</v>
      </c>
      <c r="G813" s="2">
        <v>0</v>
      </c>
      <c r="H813" s="2">
        <v>0</v>
      </c>
      <c r="I813" s="2">
        <v>0</v>
      </c>
      <c r="K813" s="2" t="str">
        <f t="shared" si="474"/>
        <v>00</v>
      </c>
      <c r="L813" s="2" t="str">
        <f t="shared" si="474"/>
        <v>00</v>
      </c>
      <c r="M813" s="2" t="str">
        <f t="shared" si="474"/>
        <v>00</v>
      </c>
      <c r="N813" s="2" t="str">
        <f t="shared" si="474"/>
        <v>01</v>
      </c>
      <c r="O813" s="2" t="str">
        <f t="shared" si="474"/>
        <v>01</v>
      </c>
      <c r="P813" s="2" t="str">
        <f t="shared" si="474"/>
        <v>00</v>
      </c>
      <c r="Q813" s="2" t="str">
        <f t="shared" si="474"/>
        <v>00</v>
      </c>
      <c r="R813" s="2" t="str">
        <f t="shared" si="474"/>
        <v>00</v>
      </c>
      <c r="T813" t="str">
        <f t="shared" si="461"/>
        <v>0000000101000000</v>
      </c>
      <c r="V813" s="9" t="str">
        <f t="shared" si="475"/>
        <v>00000001</v>
      </c>
      <c r="W813" s="9" t="str">
        <f t="shared" si="476"/>
        <v>01000000</v>
      </c>
      <c r="X813" s="9" t="str">
        <f t="shared" si="477"/>
        <v>01</v>
      </c>
      <c r="Y813" s="9" t="str">
        <f t="shared" si="478"/>
        <v>40</v>
      </c>
    </row>
    <row r="814" spans="2:36" x14ac:dyDescent="0.3">
      <c r="B814" s="2">
        <v>0</v>
      </c>
      <c r="C814" s="2">
        <v>0</v>
      </c>
      <c r="D814" s="2">
        <v>0</v>
      </c>
      <c r="E814" s="2">
        <v>3</v>
      </c>
      <c r="F814" s="2">
        <v>3</v>
      </c>
      <c r="G814" s="2">
        <v>0</v>
      </c>
      <c r="H814" s="2">
        <v>0</v>
      </c>
      <c r="I814" s="2">
        <v>0</v>
      </c>
      <c r="K814" s="2" t="str">
        <f t="shared" si="474"/>
        <v>00</v>
      </c>
      <c r="L814" s="2" t="str">
        <f t="shared" si="474"/>
        <v>00</v>
      </c>
      <c r="M814" s="2" t="str">
        <f t="shared" si="474"/>
        <v>00</v>
      </c>
      <c r="N814" s="2" t="str">
        <f t="shared" si="474"/>
        <v>11</v>
      </c>
      <c r="O814" s="2" t="str">
        <f t="shared" si="474"/>
        <v>11</v>
      </c>
      <c r="P814" s="2" t="str">
        <f t="shared" si="474"/>
        <v>00</v>
      </c>
      <c r="Q814" s="2" t="str">
        <f t="shared" si="474"/>
        <v>00</v>
      </c>
      <c r="R814" s="2" t="str">
        <f t="shared" si="474"/>
        <v>00</v>
      </c>
      <c r="T814" t="str">
        <f t="shared" si="461"/>
        <v>0000001111000000</v>
      </c>
      <c r="V814" s="9" t="str">
        <f t="shared" si="475"/>
        <v>00000011</v>
      </c>
      <c r="W814" s="9" t="str">
        <f t="shared" si="476"/>
        <v>11000000</v>
      </c>
      <c r="X814" s="9" t="str">
        <f t="shared" si="477"/>
        <v>03</v>
      </c>
      <c r="Y814" s="9" t="str">
        <f t="shared" si="478"/>
        <v>C0</v>
      </c>
    </row>
    <row r="815" spans="2:36" x14ac:dyDescent="0.3">
      <c r="B815" s="2">
        <v>0</v>
      </c>
      <c r="C815" s="2">
        <v>0</v>
      </c>
      <c r="D815" s="2">
        <v>0</v>
      </c>
      <c r="E815" s="2">
        <v>3</v>
      </c>
      <c r="F815" s="2">
        <v>3</v>
      </c>
      <c r="G815" s="2">
        <v>0</v>
      </c>
      <c r="H815" s="2">
        <v>0</v>
      </c>
      <c r="I815" s="2">
        <v>0</v>
      </c>
      <c r="K815" s="2" t="str">
        <f t="shared" si="474"/>
        <v>00</v>
      </c>
      <c r="L815" s="2" t="str">
        <f t="shared" si="474"/>
        <v>00</v>
      </c>
      <c r="M815" s="2" t="str">
        <f t="shared" si="474"/>
        <v>00</v>
      </c>
      <c r="N815" s="2" t="str">
        <f t="shared" si="474"/>
        <v>11</v>
      </c>
      <c r="O815" s="2" t="str">
        <f t="shared" si="474"/>
        <v>11</v>
      </c>
      <c r="P815" s="2" t="str">
        <f t="shared" si="474"/>
        <v>00</v>
      </c>
      <c r="Q815" s="2" t="str">
        <f t="shared" si="474"/>
        <v>00</v>
      </c>
      <c r="R815" s="2" t="str">
        <f t="shared" si="474"/>
        <v>00</v>
      </c>
      <c r="T815" t="str">
        <f t="shared" si="461"/>
        <v>0000001111000000</v>
      </c>
      <c r="V815" s="9" t="str">
        <f t="shared" si="475"/>
        <v>00000011</v>
      </c>
      <c r="W815" s="9" t="str">
        <f t="shared" si="476"/>
        <v>11000000</v>
      </c>
      <c r="X815" s="9" t="str">
        <f t="shared" si="477"/>
        <v>03</v>
      </c>
      <c r="Y815" s="9" t="str">
        <f t="shared" si="478"/>
        <v>C0</v>
      </c>
    </row>
    <row r="816" spans="2:36" x14ac:dyDescent="0.3">
      <c r="B816" s="2">
        <v>0</v>
      </c>
      <c r="C816" s="2">
        <v>0</v>
      </c>
      <c r="D816" s="2">
        <v>0</v>
      </c>
      <c r="E816" s="2">
        <v>1</v>
      </c>
      <c r="F816" s="2">
        <v>1</v>
      </c>
      <c r="G816" s="2">
        <v>1</v>
      </c>
      <c r="H816" s="2">
        <v>0</v>
      </c>
      <c r="I816" s="2">
        <v>0</v>
      </c>
      <c r="K816" s="2" t="str">
        <f t="shared" si="474"/>
        <v>00</v>
      </c>
      <c r="L816" s="2" t="str">
        <f t="shared" si="474"/>
        <v>00</v>
      </c>
      <c r="M816" s="2" t="str">
        <f t="shared" si="474"/>
        <v>00</v>
      </c>
      <c r="N816" s="2" t="str">
        <f t="shared" si="474"/>
        <v>01</v>
      </c>
      <c r="O816" s="2" t="str">
        <f t="shared" si="474"/>
        <v>01</v>
      </c>
      <c r="P816" s="2" t="str">
        <f t="shared" si="474"/>
        <v>01</v>
      </c>
      <c r="Q816" s="2" t="str">
        <f t="shared" si="474"/>
        <v>00</v>
      </c>
      <c r="R816" s="2" t="str">
        <f t="shared" si="474"/>
        <v>00</v>
      </c>
      <c r="T816" t="str">
        <f t="shared" si="461"/>
        <v>0000000101010000</v>
      </c>
      <c r="V816" s="10" t="str">
        <f t="shared" si="475"/>
        <v>00000001</v>
      </c>
      <c r="W816" s="10" t="str">
        <f t="shared" si="476"/>
        <v>01010000</v>
      </c>
      <c r="X816" s="10" t="str">
        <f t="shared" si="477"/>
        <v>01</v>
      </c>
      <c r="Y816" s="10" t="str">
        <f t="shared" si="478"/>
        <v>50</v>
      </c>
    </row>
    <row r="817" spans="1:36" x14ac:dyDescent="0.3">
      <c r="A817" t="s">
        <v>44</v>
      </c>
      <c r="AJ817" t="str">
        <f>";"&amp;PROPER(A817)</f>
        <v>;Rockford 16 (Right 2)</v>
      </c>
    </row>
    <row r="818" spans="1:36" x14ac:dyDescent="0.3">
      <c r="B818" s="2">
        <v>0</v>
      </c>
      <c r="C818" s="2">
        <v>0</v>
      </c>
      <c r="D818" s="2">
        <v>0</v>
      </c>
      <c r="E818" s="2">
        <v>3</v>
      </c>
      <c r="F818" s="2">
        <v>3</v>
      </c>
      <c r="G818" s="2">
        <v>0</v>
      </c>
      <c r="H818" s="2">
        <v>0</v>
      </c>
      <c r="I818" s="2">
        <v>0</v>
      </c>
      <c r="K818" s="2" t="str">
        <f t="shared" ref="K818:R833" si="480">DEC2BIN(B818,2)</f>
        <v>00</v>
      </c>
      <c r="L818" s="2" t="str">
        <f t="shared" si="480"/>
        <v>00</v>
      </c>
      <c r="M818" s="2" t="str">
        <f t="shared" si="480"/>
        <v>00</v>
      </c>
      <c r="N818" s="2" t="str">
        <f t="shared" si="480"/>
        <v>11</v>
      </c>
      <c r="O818" s="2" t="str">
        <f t="shared" si="480"/>
        <v>11</v>
      </c>
      <c r="P818" s="2" t="str">
        <f t="shared" si="480"/>
        <v>00</v>
      </c>
      <c r="Q818" s="2" t="str">
        <f t="shared" si="480"/>
        <v>00</v>
      </c>
      <c r="R818" s="2" t="str">
        <f t="shared" si="480"/>
        <v>00</v>
      </c>
      <c r="T818" t="str">
        <f t="shared" ref="T818:T867" si="481">_xlfn.CONCAT(K818:R818)</f>
        <v>0000001111000000</v>
      </c>
      <c r="V818" s="8" t="str">
        <f>LEFT(T818,8)</f>
        <v>00000011</v>
      </c>
      <c r="W818" s="8" t="str">
        <f>RIGHT(T818,8)</f>
        <v>11000000</v>
      </c>
      <c r="X818" s="8" t="str">
        <f>BIN2HEX(V818,2)</f>
        <v>03</v>
      </c>
      <c r="Y818" s="8" t="str">
        <f>BIN2HEX(W818,2)</f>
        <v>C0</v>
      </c>
      <c r="AA818" t="str" cm="1">
        <f t="array" ref="AA818:AH818">TRANSPOSE(X818:X825)</f>
        <v>03</v>
      </c>
      <c r="AB818" t="str">
        <v>0F</v>
      </c>
      <c r="AC818" t="str">
        <v>0F</v>
      </c>
      <c r="AD818" t="str">
        <v>0F</v>
      </c>
      <c r="AE818" t="str">
        <v>0F</v>
      </c>
      <c r="AF818" t="str">
        <v>03</v>
      </c>
      <c r="AG818" t="str">
        <v>03</v>
      </c>
      <c r="AH818" t="str">
        <v>03</v>
      </c>
      <c r="AJ818" t="str">
        <f>LOWER("!byte $"&amp;AA818&amp;", $"&amp;AB818&amp;", $"&amp;AC818&amp;", $"&amp;AD818&amp;", $"&amp;AE818&amp;", $"&amp;AF818&amp;", $"&amp;AG818&amp;", $"&amp;AH818)</f>
        <v>!byte $03, $0f, $0f, $0f, $0f, $03, $03, $03</v>
      </c>
    </row>
    <row r="819" spans="1:36" x14ac:dyDescent="0.3">
      <c r="B819" s="2">
        <v>0</v>
      </c>
      <c r="C819" s="2">
        <v>0</v>
      </c>
      <c r="D819" s="2">
        <v>3</v>
      </c>
      <c r="E819" s="2">
        <v>3</v>
      </c>
      <c r="F819" s="2">
        <v>3</v>
      </c>
      <c r="G819" s="2">
        <v>3</v>
      </c>
      <c r="H819" s="2">
        <v>0</v>
      </c>
      <c r="I819" s="2">
        <v>0</v>
      </c>
      <c r="K819" s="2" t="str">
        <f t="shared" si="480"/>
        <v>00</v>
      </c>
      <c r="L819" s="2" t="str">
        <f t="shared" si="480"/>
        <v>00</v>
      </c>
      <c r="M819" s="2" t="str">
        <f t="shared" si="480"/>
        <v>11</v>
      </c>
      <c r="N819" s="2" t="str">
        <f t="shared" si="480"/>
        <v>11</v>
      </c>
      <c r="O819" s="2" t="str">
        <f t="shared" si="480"/>
        <v>11</v>
      </c>
      <c r="P819" s="2" t="str">
        <f t="shared" si="480"/>
        <v>11</v>
      </c>
      <c r="Q819" s="2" t="str">
        <f t="shared" si="480"/>
        <v>00</v>
      </c>
      <c r="R819" s="2" t="str">
        <f t="shared" si="480"/>
        <v>00</v>
      </c>
      <c r="T819" t="str">
        <f t="shared" si="481"/>
        <v>0000111111110000</v>
      </c>
      <c r="V819" s="9" t="str">
        <f t="shared" ref="V819:V833" si="482">LEFT(T819,8)</f>
        <v>00001111</v>
      </c>
      <c r="W819" s="9" t="str">
        <f t="shared" ref="W819:W833" si="483">RIGHT(T819,8)</f>
        <v>11110000</v>
      </c>
      <c r="X819" s="9" t="str">
        <f t="shared" ref="X819:X833" si="484">BIN2HEX(V819,2)</f>
        <v>0F</v>
      </c>
      <c r="Y819" s="9" t="str">
        <f t="shared" ref="Y819:Y833" si="485">BIN2HEX(W819,2)</f>
        <v>F0</v>
      </c>
      <c r="AA819" t="str" cm="1">
        <f t="array" ref="AA819:AH819">TRANSPOSE(X826:X833)</f>
        <v>01</v>
      </c>
      <c r="AB819" t="str">
        <v>03</v>
      </c>
      <c r="AC819" t="str">
        <v>01</v>
      </c>
      <c r="AD819" t="str">
        <v>03</v>
      </c>
      <c r="AE819" t="str">
        <v>01</v>
      </c>
      <c r="AF819" t="str">
        <v>03</v>
      </c>
      <c r="AG819" t="str">
        <v>0F</v>
      </c>
      <c r="AH819" t="str">
        <v>04</v>
      </c>
      <c r="AJ819" t="str">
        <f t="shared" ref="AJ819:AJ821" si="486">LOWER("!byte $"&amp;AA819&amp;", $"&amp;AB819&amp;", $"&amp;AC819&amp;", $"&amp;AD819&amp;", $"&amp;AE819&amp;", $"&amp;AF819&amp;", $"&amp;AG819&amp;", $"&amp;AH819)</f>
        <v>!byte $01, $03, $01, $03, $01, $03, $0f, $04</v>
      </c>
    </row>
    <row r="820" spans="1:36" x14ac:dyDescent="0.3">
      <c r="B820" s="2">
        <v>0</v>
      </c>
      <c r="C820" s="2">
        <v>0</v>
      </c>
      <c r="D820" s="2">
        <v>3</v>
      </c>
      <c r="E820" s="2">
        <v>3</v>
      </c>
      <c r="F820" s="2">
        <v>3</v>
      </c>
      <c r="G820" s="2">
        <v>0</v>
      </c>
      <c r="H820" s="2">
        <v>3</v>
      </c>
      <c r="I820" s="2">
        <v>0</v>
      </c>
      <c r="K820" s="2" t="str">
        <f t="shared" si="480"/>
        <v>00</v>
      </c>
      <c r="L820" s="2" t="str">
        <f t="shared" si="480"/>
        <v>00</v>
      </c>
      <c r="M820" s="2" t="str">
        <f t="shared" si="480"/>
        <v>11</v>
      </c>
      <c r="N820" s="2" t="str">
        <f t="shared" si="480"/>
        <v>11</v>
      </c>
      <c r="O820" s="2" t="str">
        <f t="shared" si="480"/>
        <v>11</v>
      </c>
      <c r="P820" s="2" t="str">
        <f t="shared" si="480"/>
        <v>00</v>
      </c>
      <c r="Q820" s="2" t="str">
        <f t="shared" si="480"/>
        <v>11</v>
      </c>
      <c r="R820" s="2" t="str">
        <f t="shared" si="480"/>
        <v>00</v>
      </c>
      <c r="T820" t="str">
        <f t="shared" si="481"/>
        <v>0000111111001100</v>
      </c>
      <c r="V820" s="9" t="str">
        <f t="shared" si="482"/>
        <v>00001111</v>
      </c>
      <c r="W820" s="9" t="str">
        <f t="shared" si="483"/>
        <v>11001100</v>
      </c>
      <c r="X820" s="9" t="str">
        <f t="shared" si="484"/>
        <v>0F</v>
      </c>
      <c r="Y820" s="9" t="str">
        <f t="shared" si="485"/>
        <v>CC</v>
      </c>
      <c r="AA820" t="str" cm="1">
        <f t="array" ref="AA820:AH820">TRANSPOSE(Y818:Y825)</f>
        <v>C0</v>
      </c>
      <c r="AB820" t="str">
        <v>F0</v>
      </c>
      <c r="AC820" t="str">
        <v>CC</v>
      </c>
      <c r="AD820" t="str">
        <v>CC</v>
      </c>
      <c r="AE820" t="str">
        <v>F0</v>
      </c>
      <c r="AF820" t="str">
        <v>C0</v>
      </c>
      <c r="AG820" t="str">
        <v>C0</v>
      </c>
      <c r="AH820" t="str">
        <v>D0</v>
      </c>
      <c r="AJ820" t="str">
        <f t="shared" si="486"/>
        <v>!byte $c0, $f0, $cc, $cc, $f0, $c0, $c0, $d0</v>
      </c>
    </row>
    <row r="821" spans="1:36" x14ac:dyDescent="0.3">
      <c r="B821" s="2">
        <v>0</v>
      </c>
      <c r="C821" s="2">
        <v>0</v>
      </c>
      <c r="D821" s="2">
        <v>3</v>
      </c>
      <c r="E821" s="2">
        <v>3</v>
      </c>
      <c r="F821" s="2">
        <v>3</v>
      </c>
      <c r="G821" s="2">
        <v>0</v>
      </c>
      <c r="H821" s="2">
        <v>3</v>
      </c>
      <c r="I821" s="2">
        <v>0</v>
      </c>
      <c r="K821" s="2" t="str">
        <f t="shared" si="480"/>
        <v>00</v>
      </c>
      <c r="L821" s="2" t="str">
        <f t="shared" si="480"/>
        <v>00</v>
      </c>
      <c r="M821" s="2" t="str">
        <f t="shared" si="480"/>
        <v>11</v>
      </c>
      <c r="N821" s="2" t="str">
        <f t="shared" si="480"/>
        <v>11</v>
      </c>
      <c r="O821" s="2" t="str">
        <f t="shared" si="480"/>
        <v>11</v>
      </c>
      <c r="P821" s="2" t="str">
        <f t="shared" si="480"/>
        <v>00</v>
      </c>
      <c r="Q821" s="2" t="str">
        <f t="shared" si="480"/>
        <v>11</v>
      </c>
      <c r="R821" s="2" t="str">
        <f t="shared" si="480"/>
        <v>00</v>
      </c>
      <c r="T821" t="str">
        <f t="shared" si="481"/>
        <v>0000111111001100</v>
      </c>
      <c r="V821" s="9" t="str">
        <f t="shared" si="482"/>
        <v>00001111</v>
      </c>
      <c r="W821" s="9" t="str">
        <f t="shared" si="483"/>
        <v>11001100</v>
      </c>
      <c r="X821" s="9" t="str">
        <f t="shared" si="484"/>
        <v>0F</v>
      </c>
      <c r="Y821" s="9" t="str">
        <f t="shared" si="485"/>
        <v>CC</v>
      </c>
      <c r="AA821" t="str" cm="1">
        <f t="array" ref="AA821:AH821">TRANSPOSE(Y826:Y833)</f>
        <v>40</v>
      </c>
      <c r="AB821" t="str">
        <v>C0</v>
      </c>
      <c r="AC821" t="str">
        <v>40</v>
      </c>
      <c r="AD821" t="str">
        <v>C0</v>
      </c>
      <c r="AE821" t="str">
        <v>40</v>
      </c>
      <c r="AF821" t="str">
        <v>C0</v>
      </c>
      <c r="AG821" t="str">
        <v>C0</v>
      </c>
      <c r="AH821" t="str">
        <v>50</v>
      </c>
      <c r="AJ821" t="str">
        <f t="shared" si="486"/>
        <v>!byte $40, $c0, $40, $c0, $40, $c0, $c0, $50</v>
      </c>
    </row>
    <row r="822" spans="1:36" x14ac:dyDescent="0.3">
      <c r="B822" s="2">
        <v>0</v>
      </c>
      <c r="C822" s="2">
        <v>0</v>
      </c>
      <c r="D822" s="2">
        <v>3</v>
      </c>
      <c r="E822" s="2">
        <v>3</v>
      </c>
      <c r="F822" s="2">
        <v>3</v>
      </c>
      <c r="G822" s="2">
        <v>3</v>
      </c>
      <c r="H822" s="2">
        <v>0</v>
      </c>
      <c r="I822" s="2">
        <v>0</v>
      </c>
      <c r="K822" s="2" t="str">
        <f t="shared" si="480"/>
        <v>00</v>
      </c>
      <c r="L822" s="2" t="str">
        <f t="shared" si="480"/>
        <v>00</v>
      </c>
      <c r="M822" s="2" t="str">
        <f t="shared" si="480"/>
        <v>11</v>
      </c>
      <c r="N822" s="2" t="str">
        <f t="shared" si="480"/>
        <v>11</v>
      </c>
      <c r="O822" s="2" t="str">
        <f t="shared" si="480"/>
        <v>11</v>
      </c>
      <c r="P822" s="2" t="str">
        <f t="shared" si="480"/>
        <v>11</v>
      </c>
      <c r="Q822" s="2" t="str">
        <f t="shared" si="480"/>
        <v>00</v>
      </c>
      <c r="R822" s="2" t="str">
        <f t="shared" si="480"/>
        <v>00</v>
      </c>
      <c r="T822" t="str">
        <f t="shared" si="481"/>
        <v>0000111111110000</v>
      </c>
      <c r="V822" s="9" t="str">
        <f t="shared" si="482"/>
        <v>00001111</v>
      </c>
      <c r="W822" s="9" t="str">
        <f t="shared" si="483"/>
        <v>11110000</v>
      </c>
      <c r="X822" s="9" t="str">
        <f t="shared" si="484"/>
        <v>0F</v>
      </c>
      <c r="Y822" s="9" t="str">
        <f t="shared" si="485"/>
        <v>F0</v>
      </c>
    </row>
    <row r="823" spans="1:36" x14ac:dyDescent="0.3">
      <c r="B823" s="2">
        <v>0</v>
      </c>
      <c r="C823" s="2">
        <v>0</v>
      </c>
      <c r="D823" s="2">
        <v>0</v>
      </c>
      <c r="E823" s="2">
        <v>3</v>
      </c>
      <c r="F823" s="2">
        <v>3</v>
      </c>
      <c r="G823" s="2">
        <v>0</v>
      </c>
      <c r="H823" s="2">
        <v>0</v>
      </c>
      <c r="I823" s="2">
        <v>0</v>
      </c>
      <c r="K823" s="2" t="str">
        <f t="shared" si="480"/>
        <v>00</v>
      </c>
      <c r="L823" s="2" t="str">
        <f t="shared" si="480"/>
        <v>00</v>
      </c>
      <c r="M823" s="2" t="str">
        <f t="shared" si="480"/>
        <v>00</v>
      </c>
      <c r="N823" s="2" t="str">
        <f t="shared" si="480"/>
        <v>11</v>
      </c>
      <c r="O823" s="2" t="str">
        <f t="shared" si="480"/>
        <v>11</v>
      </c>
      <c r="P823" s="2" t="str">
        <f t="shared" si="480"/>
        <v>00</v>
      </c>
      <c r="Q823" s="2" t="str">
        <f t="shared" si="480"/>
        <v>00</v>
      </c>
      <c r="R823" s="2" t="str">
        <f t="shared" si="480"/>
        <v>00</v>
      </c>
      <c r="T823" t="str">
        <f t="shared" si="481"/>
        <v>0000001111000000</v>
      </c>
      <c r="V823" s="9" t="str">
        <f t="shared" si="482"/>
        <v>00000011</v>
      </c>
      <c r="W823" s="9" t="str">
        <f t="shared" si="483"/>
        <v>11000000</v>
      </c>
      <c r="X823" s="9" t="str">
        <f t="shared" si="484"/>
        <v>03</v>
      </c>
      <c r="Y823" s="9" t="str">
        <f t="shared" si="485"/>
        <v>C0</v>
      </c>
    </row>
    <row r="824" spans="1:36" x14ac:dyDescent="0.3">
      <c r="B824" s="2">
        <v>0</v>
      </c>
      <c r="C824" s="2">
        <v>0</v>
      </c>
      <c r="D824" s="2">
        <v>0</v>
      </c>
      <c r="E824" s="2">
        <v>3</v>
      </c>
      <c r="F824" s="2">
        <v>3</v>
      </c>
      <c r="G824" s="2">
        <v>0</v>
      </c>
      <c r="H824" s="2">
        <v>0</v>
      </c>
      <c r="I824" s="2">
        <v>0</v>
      </c>
      <c r="K824" s="2" t="str">
        <f t="shared" si="480"/>
        <v>00</v>
      </c>
      <c r="L824" s="2" t="str">
        <f t="shared" si="480"/>
        <v>00</v>
      </c>
      <c r="M824" s="2" t="str">
        <f t="shared" si="480"/>
        <v>00</v>
      </c>
      <c r="N824" s="2" t="str">
        <f t="shared" si="480"/>
        <v>11</v>
      </c>
      <c r="O824" s="2" t="str">
        <f t="shared" si="480"/>
        <v>11</v>
      </c>
      <c r="P824" s="2" t="str">
        <f t="shared" si="480"/>
        <v>00</v>
      </c>
      <c r="Q824" s="2" t="str">
        <f t="shared" si="480"/>
        <v>00</v>
      </c>
      <c r="R824" s="2" t="str">
        <f t="shared" si="480"/>
        <v>00</v>
      </c>
      <c r="T824" t="str">
        <f t="shared" si="481"/>
        <v>0000001111000000</v>
      </c>
      <c r="V824" s="9" t="str">
        <f t="shared" si="482"/>
        <v>00000011</v>
      </c>
      <c r="W824" s="9" t="str">
        <f t="shared" si="483"/>
        <v>11000000</v>
      </c>
      <c r="X824" s="9" t="str">
        <f t="shared" si="484"/>
        <v>03</v>
      </c>
      <c r="Y824" s="9" t="str">
        <f t="shared" si="485"/>
        <v>C0</v>
      </c>
    </row>
    <row r="825" spans="1:36" x14ac:dyDescent="0.3">
      <c r="B825" s="2">
        <v>0</v>
      </c>
      <c r="C825" s="2">
        <v>0</v>
      </c>
      <c r="D825" s="2">
        <v>0</v>
      </c>
      <c r="E825" s="2">
        <v>3</v>
      </c>
      <c r="F825" s="2">
        <v>3</v>
      </c>
      <c r="G825" s="2">
        <v>1</v>
      </c>
      <c r="H825" s="2">
        <v>0</v>
      </c>
      <c r="I825" s="2">
        <v>0</v>
      </c>
      <c r="K825" s="2" t="str">
        <f t="shared" si="480"/>
        <v>00</v>
      </c>
      <c r="L825" s="2" t="str">
        <f t="shared" si="480"/>
        <v>00</v>
      </c>
      <c r="M825" s="2" t="str">
        <f t="shared" si="480"/>
        <v>00</v>
      </c>
      <c r="N825" s="2" t="str">
        <f t="shared" si="480"/>
        <v>11</v>
      </c>
      <c r="O825" s="2" t="str">
        <f t="shared" si="480"/>
        <v>11</v>
      </c>
      <c r="P825" s="2" t="str">
        <f t="shared" si="480"/>
        <v>01</v>
      </c>
      <c r="Q825" s="2" t="str">
        <f t="shared" si="480"/>
        <v>00</v>
      </c>
      <c r="R825" s="2" t="str">
        <f t="shared" si="480"/>
        <v>00</v>
      </c>
      <c r="T825" t="str">
        <f t="shared" si="481"/>
        <v>0000001111010000</v>
      </c>
      <c r="V825" s="10" t="str">
        <f t="shared" si="482"/>
        <v>00000011</v>
      </c>
      <c r="W825" s="10" t="str">
        <f t="shared" si="483"/>
        <v>11010000</v>
      </c>
      <c r="X825" s="10" t="str">
        <f t="shared" si="484"/>
        <v>03</v>
      </c>
      <c r="Y825" s="10" t="str">
        <f t="shared" si="485"/>
        <v>D0</v>
      </c>
    </row>
    <row r="826" spans="1:36" x14ac:dyDescent="0.3">
      <c r="B826" s="2">
        <v>0</v>
      </c>
      <c r="C826" s="2">
        <v>0</v>
      </c>
      <c r="D826" s="2">
        <v>0</v>
      </c>
      <c r="E826" s="2">
        <v>1</v>
      </c>
      <c r="F826" s="2">
        <v>1</v>
      </c>
      <c r="G826" s="2">
        <v>0</v>
      </c>
      <c r="H826" s="2">
        <v>0</v>
      </c>
      <c r="I826" s="2">
        <v>0</v>
      </c>
      <c r="K826" s="2" t="str">
        <f t="shared" si="480"/>
        <v>00</v>
      </c>
      <c r="L826" s="2" t="str">
        <f t="shared" si="480"/>
        <v>00</v>
      </c>
      <c r="M826" s="2" t="str">
        <f t="shared" si="480"/>
        <v>00</v>
      </c>
      <c r="N826" s="2" t="str">
        <f t="shared" si="480"/>
        <v>01</v>
      </c>
      <c r="O826" s="2" t="str">
        <f t="shared" si="480"/>
        <v>01</v>
      </c>
      <c r="P826" s="2" t="str">
        <f t="shared" si="480"/>
        <v>00</v>
      </c>
      <c r="Q826" s="2" t="str">
        <f t="shared" si="480"/>
        <v>00</v>
      </c>
      <c r="R826" s="2" t="str">
        <f t="shared" si="480"/>
        <v>00</v>
      </c>
      <c r="T826" t="str">
        <f t="shared" si="481"/>
        <v>0000000101000000</v>
      </c>
      <c r="V826" s="8" t="str">
        <f t="shared" si="482"/>
        <v>00000001</v>
      </c>
      <c r="W826" s="8" t="str">
        <f t="shared" si="483"/>
        <v>01000000</v>
      </c>
      <c r="X826" s="8" t="str">
        <f t="shared" si="484"/>
        <v>01</v>
      </c>
      <c r="Y826" s="8" t="str">
        <f t="shared" si="485"/>
        <v>40</v>
      </c>
    </row>
    <row r="827" spans="1:36" x14ac:dyDescent="0.3">
      <c r="B827" s="2">
        <v>0</v>
      </c>
      <c r="C827" s="2">
        <v>0</v>
      </c>
      <c r="D827" s="2">
        <v>0</v>
      </c>
      <c r="E827" s="2">
        <v>3</v>
      </c>
      <c r="F827" s="2">
        <v>3</v>
      </c>
      <c r="G827" s="2">
        <v>0</v>
      </c>
      <c r="H827" s="2">
        <v>0</v>
      </c>
      <c r="I827" s="2">
        <v>0</v>
      </c>
      <c r="K827" s="2" t="str">
        <f t="shared" si="480"/>
        <v>00</v>
      </c>
      <c r="L827" s="2" t="str">
        <f t="shared" si="480"/>
        <v>00</v>
      </c>
      <c r="M827" s="2" t="str">
        <f t="shared" si="480"/>
        <v>00</v>
      </c>
      <c r="N827" s="2" t="str">
        <f t="shared" si="480"/>
        <v>11</v>
      </c>
      <c r="O827" s="2" t="str">
        <f t="shared" si="480"/>
        <v>11</v>
      </c>
      <c r="P827" s="2" t="str">
        <f t="shared" si="480"/>
        <v>00</v>
      </c>
      <c r="Q827" s="2" t="str">
        <f t="shared" si="480"/>
        <v>00</v>
      </c>
      <c r="R827" s="2" t="str">
        <f t="shared" si="480"/>
        <v>00</v>
      </c>
      <c r="T827" t="str">
        <f t="shared" si="481"/>
        <v>0000001111000000</v>
      </c>
      <c r="V827" s="9" t="str">
        <f t="shared" si="482"/>
        <v>00000011</v>
      </c>
      <c r="W827" s="9" t="str">
        <f t="shared" si="483"/>
        <v>11000000</v>
      </c>
      <c r="X827" s="9" t="str">
        <f t="shared" si="484"/>
        <v>03</v>
      </c>
      <c r="Y827" s="9" t="str">
        <f t="shared" si="485"/>
        <v>C0</v>
      </c>
    </row>
    <row r="828" spans="1:36" x14ac:dyDescent="0.3">
      <c r="B828" s="2">
        <v>0</v>
      </c>
      <c r="C828" s="2">
        <v>0</v>
      </c>
      <c r="D828" s="2">
        <v>0</v>
      </c>
      <c r="E828" s="2">
        <v>1</v>
      </c>
      <c r="F828" s="2">
        <v>1</v>
      </c>
      <c r="G828" s="2">
        <v>0</v>
      </c>
      <c r="H828" s="2">
        <v>0</v>
      </c>
      <c r="I828" s="2">
        <v>0</v>
      </c>
      <c r="K828" s="2" t="str">
        <f t="shared" si="480"/>
        <v>00</v>
      </c>
      <c r="L828" s="2" t="str">
        <f t="shared" si="480"/>
        <v>00</v>
      </c>
      <c r="M828" s="2" t="str">
        <f t="shared" si="480"/>
        <v>00</v>
      </c>
      <c r="N828" s="2" t="str">
        <f t="shared" si="480"/>
        <v>01</v>
      </c>
      <c r="O828" s="2" t="str">
        <f t="shared" si="480"/>
        <v>01</v>
      </c>
      <c r="P828" s="2" t="str">
        <f t="shared" si="480"/>
        <v>00</v>
      </c>
      <c r="Q828" s="2" t="str">
        <f t="shared" si="480"/>
        <v>00</v>
      </c>
      <c r="R828" s="2" t="str">
        <f t="shared" si="480"/>
        <v>00</v>
      </c>
      <c r="T828" t="str">
        <f t="shared" si="481"/>
        <v>0000000101000000</v>
      </c>
      <c r="V828" s="9" t="str">
        <f t="shared" si="482"/>
        <v>00000001</v>
      </c>
      <c r="W828" s="9" t="str">
        <f t="shared" si="483"/>
        <v>01000000</v>
      </c>
      <c r="X828" s="9" t="str">
        <f t="shared" si="484"/>
        <v>01</v>
      </c>
      <c r="Y828" s="9" t="str">
        <f t="shared" si="485"/>
        <v>40</v>
      </c>
    </row>
    <row r="829" spans="1:36" x14ac:dyDescent="0.3">
      <c r="B829" s="2">
        <v>0</v>
      </c>
      <c r="C829" s="2">
        <v>0</v>
      </c>
      <c r="D829" s="2">
        <v>0</v>
      </c>
      <c r="E829" s="2">
        <v>3</v>
      </c>
      <c r="F829" s="2">
        <v>3</v>
      </c>
      <c r="G829" s="2">
        <v>0</v>
      </c>
      <c r="H829" s="2">
        <v>0</v>
      </c>
      <c r="I829" s="2">
        <v>0</v>
      </c>
      <c r="K829" s="2" t="str">
        <f t="shared" si="480"/>
        <v>00</v>
      </c>
      <c r="L829" s="2" t="str">
        <f t="shared" si="480"/>
        <v>00</v>
      </c>
      <c r="M829" s="2" t="str">
        <f t="shared" si="480"/>
        <v>00</v>
      </c>
      <c r="N829" s="2" t="str">
        <f t="shared" si="480"/>
        <v>11</v>
      </c>
      <c r="O829" s="2" t="str">
        <f t="shared" si="480"/>
        <v>11</v>
      </c>
      <c r="P829" s="2" t="str">
        <f t="shared" si="480"/>
        <v>00</v>
      </c>
      <c r="Q829" s="2" t="str">
        <f t="shared" si="480"/>
        <v>00</v>
      </c>
      <c r="R829" s="2" t="str">
        <f t="shared" si="480"/>
        <v>00</v>
      </c>
      <c r="T829" t="str">
        <f t="shared" si="481"/>
        <v>0000001111000000</v>
      </c>
      <c r="V829" s="9" t="str">
        <f t="shared" si="482"/>
        <v>00000011</v>
      </c>
      <c r="W829" s="9" t="str">
        <f t="shared" si="483"/>
        <v>11000000</v>
      </c>
      <c r="X829" s="9" t="str">
        <f t="shared" si="484"/>
        <v>03</v>
      </c>
      <c r="Y829" s="9" t="str">
        <f t="shared" si="485"/>
        <v>C0</v>
      </c>
    </row>
    <row r="830" spans="1:36" x14ac:dyDescent="0.3">
      <c r="B830" s="2">
        <v>0</v>
      </c>
      <c r="C830" s="2">
        <v>0</v>
      </c>
      <c r="D830" s="2">
        <v>0</v>
      </c>
      <c r="E830" s="2">
        <v>1</v>
      </c>
      <c r="F830" s="2">
        <v>1</v>
      </c>
      <c r="G830" s="2">
        <v>0</v>
      </c>
      <c r="H830" s="2">
        <v>0</v>
      </c>
      <c r="I830" s="2">
        <v>0</v>
      </c>
      <c r="K830" s="2" t="str">
        <f t="shared" si="480"/>
        <v>00</v>
      </c>
      <c r="L830" s="2" t="str">
        <f t="shared" si="480"/>
        <v>00</v>
      </c>
      <c r="M830" s="2" t="str">
        <f t="shared" si="480"/>
        <v>00</v>
      </c>
      <c r="N830" s="2" t="str">
        <f t="shared" si="480"/>
        <v>01</v>
      </c>
      <c r="O830" s="2" t="str">
        <f t="shared" si="480"/>
        <v>01</v>
      </c>
      <c r="P830" s="2" t="str">
        <f t="shared" si="480"/>
        <v>00</v>
      </c>
      <c r="Q830" s="2" t="str">
        <f t="shared" si="480"/>
        <v>00</v>
      </c>
      <c r="R830" s="2" t="str">
        <f t="shared" si="480"/>
        <v>00</v>
      </c>
      <c r="T830" t="str">
        <f t="shared" si="481"/>
        <v>0000000101000000</v>
      </c>
      <c r="V830" s="9" t="str">
        <f t="shared" si="482"/>
        <v>00000001</v>
      </c>
      <c r="W830" s="9" t="str">
        <f t="shared" si="483"/>
        <v>01000000</v>
      </c>
      <c r="X830" s="9" t="str">
        <f t="shared" si="484"/>
        <v>01</v>
      </c>
      <c r="Y830" s="9" t="str">
        <f t="shared" si="485"/>
        <v>40</v>
      </c>
    </row>
    <row r="831" spans="1:36" x14ac:dyDescent="0.3">
      <c r="B831" s="2">
        <v>0</v>
      </c>
      <c r="C831" s="2">
        <v>0</v>
      </c>
      <c r="D831" s="2">
        <v>0</v>
      </c>
      <c r="E831" s="2">
        <v>3</v>
      </c>
      <c r="F831" s="2">
        <v>3</v>
      </c>
      <c r="G831" s="2">
        <v>0</v>
      </c>
      <c r="H831" s="2">
        <v>0</v>
      </c>
      <c r="I831" s="2">
        <v>0</v>
      </c>
      <c r="K831" s="2" t="str">
        <f t="shared" si="480"/>
        <v>00</v>
      </c>
      <c r="L831" s="2" t="str">
        <f t="shared" si="480"/>
        <v>00</v>
      </c>
      <c r="M831" s="2" t="str">
        <f t="shared" si="480"/>
        <v>00</v>
      </c>
      <c r="N831" s="2" t="str">
        <f t="shared" si="480"/>
        <v>11</v>
      </c>
      <c r="O831" s="2" t="str">
        <f t="shared" si="480"/>
        <v>11</v>
      </c>
      <c r="P831" s="2" t="str">
        <f t="shared" si="480"/>
        <v>00</v>
      </c>
      <c r="Q831" s="2" t="str">
        <f t="shared" si="480"/>
        <v>00</v>
      </c>
      <c r="R831" s="2" t="str">
        <f t="shared" si="480"/>
        <v>00</v>
      </c>
      <c r="T831" t="str">
        <f t="shared" si="481"/>
        <v>0000001111000000</v>
      </c>
      <c r="V831" s="9" t="str">
        <f t="shared" si="482"/>
        <v>00000011</v>
      </c>
      <c r="W831" s="9" t="str">
        <f t="shared" si="483"/>
        <v>11000000</v>
      </c>
      <c r="X831" s="9" t="str">
        <f t="shared" si="484"/>
        <v>03</v>
      </c>
      <c r="Y831" s="9" t="str">
        <f t="shared" si="485"/>
        <v>C0</v>
      </c>
    </row>
    <row r="832" spans="1:36" x14ac:dyDescent="0.3">
      <c r="B832" s="2">
        <v>0</v>
      </c>
      <c r="C832" s="2">
        <v>0</v>
      </c>
      <c r="D832" s="2">
        <v>3</v>
      </c>
      <c r="E832" s="2">
        <v>3</v>
      </c>
      <c r="F832" s="2">
        <v>3</v>
      </c>
      <c r="G832" s="2">
        <v>0</v>
      </c>
      <c r="H832" s="2">
        <v>0</v>
      </c>
      <c r="I832" s="2">
        <v>0</v>
      </c>
      <c r="K832" s="2" t="str">
        <f t="shared" si="480"/>
        <v>00</v>
      </c>
      <c r="L832" s="2" t="str">
        <f t="shared" si="480"/>
        <v>00</v>
      </c>
      <c r="M832" s="2" t="str">
        <f t="shared" si="480"/>
        <v>11</v>
      </c>
      <c r="N832" s="2" t="str">
        <f t="shared" si="480"/>
        <v>11</v>
      </c>
      <c r="O832" s="2" t="str">
        <f t="shared" si="480"/>
        <v>11</v>
      </c>
      <c r="P832" s="2" t="str">
        <f t="shared" si="480"/>
        <v>00</v>
      </c>
      <c r="Q832" s="2" t="str">
        <f t="shared" si="480"/>
        <v>00</v>
      </c>
      <c r="R832" s="2" t="str">
        <f t="shared" si="480"/>
        <v>00</v>
      </c>
      <c r="T832" t="str">
        <f t="shared" si="481"/>
        <v>0000111111000000</v>
      </c>
      <c r="V832" s="9" t="str">
        <f t="shared" si="482"/>
        <v>00001111</v>
      </c>
      <c r="W832" s="9" t="str">
        <f t="shared" si="483"/>
        <v>11000000</v>
      </c>
      <c r="X832" s="9" t="str">
        <f t="shared" si="484"/>
        <v>0F</v>
      </c>
      <c r="Y832" s="9" t="str">
        <f t="shared" si="485"/>
        <v>C0</v>
      </c>
    </row>
    <row r="833" spans="1:36" x14ac:dyDescent="0.3">
      <c r="B833" s="2">
        <v>0</v>
      </c>
      <c r="C833" s="2">
        <v>0</v>
      </c>
      <c r="D833" s="2">
        <v>1</v>
      </c>
      <c r="E833" s="2">
        <v>0</v>
      </c>
      <c r="F833" s="2">
        <v>1</v>
      </c>
      <c r="G833" s="2">
        <v>1</v>
      </c>
      <c r="H833" s="2">
        <v>0</v>
      </c>
      <c r="I833" s="2">
        <v>0</v>
      </c>
      <c r="K833" s="2" t="str">
        <f t="shared" si="480"/>
        <v>00</v>
      </c>
      <c r="L833" s="2" t="str">
        <f t="shared" si="480"/>
        <v>00</v>
      </c>
      <c r="M833" s="2" t="str">
        <f t="shared" si="480"/>
        <v>01</v>
      </c>
      <c r="N833" s="2" t="str">
        <f t="shared" si="480"/>
        <v>00</v>
      </c>
      <c r="O833" s="2" t="str">
        <f t="shared" si="480"/>
        <v>01</v>
      </c>
      <c r="P833" s="2" t="str">
        <f t="shared" si="480"/>
        <v>01</v>
      </c>
      <c r="Q833" s="2" t="str">
        <f t="shared" si="480"/>
        <v>00</v>
      </c>
      <c r="R833" s="2" t="str">
        <f t="shared" si="480"/>
        <v>00</v>
      </c>
      <c r="T833" t="str">
        <f t="shared" si="481"/>
        <v>0000010001010000</v>
      </c>
      <c r="V833" s="10" t="str">
        <f t="shared" si="482"/>
        <v>00000100</v>
      </c>
      <c r="W833" s="10" t="str">
        <f t="shared" si="483"/>
        <v>01010000</v>
      </c>
      <c r="X833" s="10" t="str">
        <f t="shared" si="484"/>
        <v>04</v>
      </c>
      <c r="Y833" s="10" t="str">
        <f t="shared" si="485"/>
        <v>50</v>
      </c>
    </row>
    <row r="834" spans="1:36" x14ac:dyDescent="0.3">
      <c r="A834" t="s">
        <v>45</v>
      </c>
      <c r="AJ834" t="str">
        <f>";"&amp;PROPER(A834)</f>
        <v>;Rockford 17 (Right 3)</v>
      </c>
    </row>
    <row r="835" spans="1:36" x14ac:dyDescent="0.3">
      <c r="B835" s="2">
        <v>0</v>
      </c>
      <c r="C835" s="2">
        <v>0</v>
      </c>
      <c r="D835" s="2">
        <v>0</v>
      </c>
      <c r="E835" s="2">
        <v>3</v>
      </c>
      <c r="F835" s="2">
        <v>3</v>
      </c>
      <c r="G835" s="2">
        <v>0</v>
      </c>
      <c r="H835" s="2">
        <v>0</v>
      </c>
      <c r="I835" s="2">
        <v>0</v>
      </c>
      <c r="K835" s="2" t="str">
        <f t="shared" ref="K835:R850" si="487">DEC2BIN(B835,2)</f>
        <v>00</v>
      </c>
      <c r="L835" s="2" t="str">
        <f t="shared" si="487"/>
        <v>00</v>
      </c>
      <c r="M835" s="2" t="str">
        <f t="shared" si="487"/>
        <v>00</v>
      </c>
      <c r="N835" s="2" t="str">
        <f t="shared" si="487"/>
        <v>11</v>
      </c>
      <c r="O835" s="2" t="str">
        <f t="shared" si="487"/>
        <v>11</v>
      </c>
      <c r="P835" s="2" t="str">
        <f t="shared" si="487"/>
        <v>00</v>
      </c>
      <c r="Q835" s="2" t="str">
        <f t="shared" si="487"/>
        <v>00</v>
      </c>
      <c r="R835" s="2" t="str">
        <f t="shared" si="487"/>
        <v>00</v>
      </c>
      <c r="T835" t="str">
        <f t="shared" si="481"/>
        <v>0000001111000000</v>
      </c>
      <c r="V835" s="8" t="str">
        <f>LEFT(T835,8)</f>
        <v>00000011</v>
      </c>
      <c r="W835" s="8" t="str">
        <f>RIGHT(T835,8)</f>
        <v>11000000</v>
      </c>
      <c r="X835" s="8" t="str">
        <f>BIN2HEX(V835,2)</f>
        <v>03</v>
      </c>
      <c r="Y835" s="8" t="str">
        <f>BIN2HEX(W835,2)</f>
        <v>C0</v>
      </c>
      <c r="AA835" t="str" cm="1">
        <f t="array" ref="AA835:AH835">TRANSPOSE(X835:X842)</f>
        <v>03</v>
      </c>
      <c r="AB835" t="str">
        <v>0F</v>
      </c>
      <c r="AC835" t="str">
        <v>0F</v>
      </c>
      <c r="AD835" t="str">
        <v>0F</v>
      </c>
      <c r="AE835" t="str">
        <v>0F</v>
      </c>
      <c r="AF835" t="str">
        <v>03</v>
      </c>
      <c r="AG835" t="str">
        <v>03</v>
      </c>
      <c r="AH835" t="str">
        <v>03</v>
      </c>
      <c r="AJ835" t="str">
        <f>LOWER("!byte $"&amp;AA835&amp;", $"&amp;AB835&amp;", $"&amp;AC835&amp;", $"&amp;AD835&amp;", $"&amp;AE835&amp;", $"&amp;AF835&amp;", $"&amp;AG835&amp;", $"&amp;AH835)</f>
        <v>!byte $03, $0f, $0f, $0f, $0f, $03, $03, $03</v>
      </c>
    </row>
    <row r="836" spans="1:36" x14ac:dyDescent="0.3">
      <c r="B836" s="2">
        <v>0</v>
      </c>
      <c r="C836" s="2">
        <v>0</v>
      </c>
      <c r="D836" s="2">
        <v>3</v>
      </c>
      <c r="E836" s="2">
        <v>3</v>
      </c>
      <c r="F836" s="2">
        <v>3</v>
      </c>
      <c r="G836" s="2">
        <v>3</v>
      </c>
      <c r="H836" s="2">
        <v>0</v>
      </c>
      <c r="I836" s="2">
        <v>0</v>
      </c>
      <c r="K836" s="2" t="str">
        <f t="shared" si="487"/>
        <v>00</v>
      </c>
      <c r="L836" s="2" t="str">
        <f t="shared" si="487"/>
        <v>00</v>
      </c>
      <c r="M836" s="2" t="str">
        <f t="shared" si="487"/>
        <v>11</v>
      </c>
      <c r="N836" s="2" t="str">
        <f t="shared" si="487"/>
        <v>11</v>
      </c>
      <c r="O836" s="2" t="str">
        <f t="shared" si="487"/>
        <v>11</v>
      </c>
      <c r="P836" s="2" t="str">
        <f t="shared" si="487"/>
        <v>11</v>
      </c>
      <c r="Q836" s="2" t="str">
        <f t="shared" si="487"/>
        <v>00</v>
      </c>
      <c r="R836" s="2" t="str">
        <f t="shared" si="487"/>
        <v>00</v>
      </c>
      <c r="T836" t="str">
        <f t="shared" si="481"/>
        <v>0000111111110000</v>
      </c>
      <c r="V836" s="9" t="str">
        <f t="shared" ref="V836:V850" si="488">LEFT(T836,8)</f>
        <v>00001111</v>
      </c>
      <c r="W836" s="9" t="str">
        <f t="shared" ref="W836:W850" si="489">RIGHT(T836,8)</f>
        <v>11110000</v>
      </c>
      <c r="X836" s="9" t="str">
        <f t="shared" ref="X836:X850" si="490">BIN2HEX(V836,2)</f>
        <v>0F</v>
      </c>
      <c r="Y836" s="9" t="str">
        <f t="shared" ref="Y836:Y850" si="491">BIN2HEX(W836,2)</f>
        <v>F0</v>
      </c>
      <c r="AA836" t="str" cm="1">
        <f t="array" ref="AA836:AH836">TRANSPOSE(X843:X850)</f>
        <v>01</v>
      </c>
      <c r="AB836" t="str">
        <v>03</v>
      </c>
      <c r="AC836" t="str">
        <v>01</v>
      </c>
      <c r="AD836" t="str">
        <v>03</v>
      </c>
      <c r="AE836" t="str">
        <v>0D</v>
      </c>
      <c r="AF836" t="str">
        <v>30</v>
      </c>
      <c r="AG836" t="str">
        <v>10</v>
      </c>
      <c r="AH836" t="str">
        <v>10</v>
      </c>
      <c r="AJ836" t="str">
        <f t="shared" ref="AJ836:AJ838" si="492">LOWER("!byte $"&amp;AA836&amp;", $"&amp;AB836&amp;", $"&amp;AC836&amp;", $"&amp;AD836&amp;", $"&amp;AE836&amp;", $"&amp;AF836&amp;", $"&amp;AG836&amp;", $"&amp;AH836)</f>
        <v>!byte $01, $03, $01, $03, $0d, $30, $10, $10</v>
      </c>
    </row>
    <row r="837" spans="1:36" x14ac:dyDescent="0.3">
      <c r="B837" s="2">
        <v>0</v>
      </c>
      <c r="C837" s="2">
        <v>0</v>
      </c>
      <c r="D837" s="2">
        <v>3</v>
      </c>
      <c r="E837" s="2">
        <v>3</v>
      </c>
      <c r="F837" s="2">
        <v>3</v>
      </c>
      <c r="G837" s="2">
        <v>0</v>
      </c>
      <c r="H837" s="2">
        <v>3</v>
      </c>
      <c r="I837" s="2">
        <v>0</v>
      </c>
      <c r="K837" s="2" t="str">
        <f t="shared" si="487"/>
        <v>00</v>
      </c>
      <c r="L837" s="2" t="str">
        <f t="shared" si="487"/>
        <v>00</v>
      </c>
      <c r="M837" s="2" t="str">
        <f t="shared" si="487"/>
        <v>11</v>
      </c>
      <c r="N837" s="2" t="str">
        <f t="shared" si="487"/>
        <v>11</v>
      </c>
      <c r="O837" s="2" t="str">
        <f t="shared" si="487"/>
        <v>11</v>
      </c>
      <c r="P837" s="2" t="str">
        <f t="shared" si="487"/>
        <v>00</v>
      </c>
      <c r="Q837" s="2" t="str">
        <f t="shared" si="487"/>
        <v>11</v>
      </c>
      <c r="R837" s="2" t="str">
        <f t="shared" si="487"/>
        <v>00</v>
      </c>
      <c r="T837" t="str">
        <f t="shared" si="481"/>
        <v>0000111111001100</v>
      </c>
      <c r="V837" s="9" t="str">
        <f t="shared" si="488"/>
        <v>00001111</v>
      </c>
      <c r="W837" s="9" t="str">
        <f t="shared" si="489"/>
        <v>11001100</v>
      </c>
      <c r="X837" s="9" t="str">
        <f t="shared" si="490"/>
        <v>0F</v>
      </c>
      <c r="Y837" s="9" t="str">
        <f t="shared" si="491"/>
        <v>CC</v>
      </c>
      <c r="AA837" t="str" cm="1">
        <f t="array" ref="AA837:AH837">TRANSPOSE(Y835:Y842)</f>
        <v>C0</v>
      </c>
      <c r="AB837" t="str">
        <v>F0</v>
      </c>
      <c r="AC837" t="str">
        <v>CC</v>
      </c>
      <c r="AD837" t="str">
        <v>CC</v>
      </c>
      <c r="AE837" t="str">
        <v>F0</v>
      </c>
      <c r="AF837" t="str">
        <v>C0</v>
      </c>
      <c r="AG837" t="str">
        <v>C0</v>
      </c>
      <c r="AH837" t="str">
        <v>D0</v>
      </c>
      <c r="AJ837" t="str">
        <f t="shared" si="492"/>
        <v>!byte $c0, $f0, $cc, $cc, $f0, $c0, $c0, $d0</v>
      </c>
    </row>
    <row r="838" spans="1:36" x14ac:dyDescent="0.3">
      <c r="B838" s="2">
        <v>0</v>
      </c>
      <c r="C838" s="2">
        <v>0</v>
      </c>
      <c r="D838" s="2">
        <v>3</v>
      </c>
      <c r="E838" s="2">
        <v>3</v>
      </c>
      <c r="F838" s="2">
        <v>3</v>
      </c>
      <c r="G838" s="2">
        <v>0</v>
      </c>
      <c r="H838" s="2">
        <v>3</v>
      </c>
      <c r="I838" s="2">
        <v>0</v>
      </c>
      <c r="K838" s="2" t="str">
        <f t="shared" si="487"/>
        <v>00</v>
      </c>
      <c r="L838" s="2" t="str">
        <f t="shared" si="487"/>
        <v>00</v>
      </c>
      <c r="M838" s="2" t="str">
        <f t="shared" si="487"/>
        <v>11</v>
      </c>
      <c r="N838" s="2" t="str">
        <f t="shared" si="487"/>
        <v>11</v>
      </c>
      <c r="O838" s="2" t="str">
        <f t="shared" si="487"/>
        <v>11</v>
      </c>
      <c r="P838" s="2" t="str">
        <f t="shared" si="487"/>
        <v>00</v>
      </c>
      <c r="Q838" s="2" t="str">
        <f t="shared" si="487"/>
        <v>11</v>
      </c>
      <c r="R838" s="2" t="str">
        <f t="shared" si="487"/>
        <v>00</v>
      </c>
      <c r="T838" t="str">
        <f t="shared" si="481"/>
        <v>0000111111001100</v>
      </c>
      <c r="V838" s="9" t="str">
        <f t="shared" si="488"/>
        <v>00001111</v>
      </c>
      <c r="W838" s="9" t="str">
        <f t="shared" si="489"/>
        <v>11001100</v>
      </c>
      <c r="X838" s="9" t="str">
        <f t="shared" si="490"/>
        <v>0F</v>
      </c>
      <c r="Y838" s="9" t="str">
        <f t="shared" si="491"/>
        <v>CC</v>
      </c>
      <c r="AA838" t="str" cm="1">
        <f t="array" ref="AA838:AH838">TRANSPOSE(Y843:Y850)</f>
        <v>40</v>
      </c>
      <c r="AB838" t="str">
        <v>C0</v>
      </c>
      <c r="AC838" t="str">
        <v>40</v>
      </c>
      <c r="AD838" t="str">
        <v>C0</v>
      </c>
      <c r="AE838" t="str">
        <v>70</v>
      </c>
      <c r="AF838" t="str">
        <v>30</v>
      </c>
      <c r="AG838" t="str">
        <v>30</v>
      </c>
      <c r="AH838" t="str">
        <v>14</v>
      </c>
      <c r="AJ838" t="str">
        <f t="shared" si="492"/>
        <v>!byte $40, $c0, $40, $c0, $70, $30, $30, $14</v>
      </c>
    </row>
    <row r="839" spans="1:36" x14ac:dyDescent="0.3">
      <c r="B839" s="2">
        <v>0</v>
      </c>
      <c r="C839" s="2">
        <v>0</v>
      </c>
      <c r="D839" s="2">
        <v>3</v>
      </c>
      <c r="E839" s="2">
        <v>3</v>
      </c>
      <c r="F839" s="2">
        <v>3</v>
      </c>
      <c r="G839" s="2">
        <v>3</v>
      </c>
      <c r="H839" s="2">
        <v>0</v>
      </c>
      <c r="I839" s="2">
        <v>0</v>
      </c>
      <c r="K839" s="2" t="str">
        <f t="shared" si="487"/>
        <v>00</v>
      </c>
      <c r="L839" s="2" t="str">
        <f t="shared" si="487"/>
        <v>00</v>
      </c>
      <c r="M839" s="2" t="str">
        <f t="shared" si="487"/>
        <v>11</v>
      </c>
      <c r="N839" s="2" t="str">
        <f t="shared" si="487"/>
        <v>11</v>
      </c>
      <c r="O839" s="2" t="str">
        <f t="shared" si="487"/>
        <v>11</v>
      </c>
      <c r="P839" s="2" t="str">
        <f t="shared" si="487"/>
        <v>11</v>
      </c>
      <c r="Q839" s="2" t="str">
        <f t="shared" si="487"/>
        <v>00</v>
      </c>
      <c r="R839" s="2" t="str">
        <f t="shared" si="487"/>
        <v>00</v>
      </c>
      <c r="T839" t="str">
        <f t="shared" si="481"/>
        <v>0000111111110000</v>
      </c>
      <c r="V839" s="9" t="str">
        <f t="shared" si="488"/>
        <v>00001111</v>
      </c>
      <c r="W839" s="9" t="str">
        <f t="shared" si="489"/>
        <v>11110000</v>
      </c>
      <c r="X839" s="9" t="str">
        <f t="shared" si="490"/>
        <v>0F</v>
      </c>
      <c r="Y839" s="9" t="str">
        <f t="shared" si="491"/>
        <v>F0</v>
      </c>
    </row>
    <row r="840" spans="1:36" x14ac:dyDescent="0.3">
      <c r="B840" s="2">
        <v>0</v>
      </c>
      <c r="C840" s="2">
        <v>0</v>
      </c>
      <c r="D840" s="2">
        <v>0</v>
      </c>
      <c r="E840" s="2">
        <v>3</v>
      </c>
      <c r="F840" s="2">
        <v>3</v>
      </c>
      <c r="G840" s="2">
        <v>0</v>
      </c>
      <c r="H840" s="2">
        <v>0</v>
      </c>
      <c r="I840" s="2">
        <v>0</v>
      </c>
      <c r="K840" s="2" t="str">
        <f t="shared" si="487"/>
        <v>00</v>
      </c>
      <c r="L840" s="2" t="str">
        <f t="shared" si="487"/>
        <v>00</v>
      </c>
      <c r="M840" s="2" t="str">
        <f t="shared" si="487"/>
        <v>00</v>
      </c>
      <c r="N840" s="2" t="str">
        <f t="shared" si="487"/>
        <v>11</v>
      </c>
      <c r="O840" s="2" t="str">
        <f t="shared" si="487"/>
        <v>11</v>
      </c>
      <c r="P840" s="2" t="str">
        <f t="shared" si="487"/>
        <v>00</v>
      </c>
      <c r="Q840" s="2" t="str">
        <f t="shared" si="487"/>
        <v>00</v>
      </c>
      <c r="R840" s="2" t="str">
        <f t="shared" si="487"/>
        <v>00</v>
      </c>
      <c r="T840" t="str">
        <f t="shared" si="481"/>
        <v>0000001111000000</v>
      </c>
      <c r="V840" s="9" t="str">
        <f t="shared" si="488"/>
        <v>00000011</v>
      </c>
      <c r="W840" s="9" t="str">
        <f t="shared" si="489"/>
        <v>11000000</v>
      </c>
      <c r="X840" s="9" t="str">
        <f t="shared" si="490"/>
        <v>03</v>
      </c>
      <c r="Y840" s="9" t="str">
        <f t="shared" si="491"/>
        <v>C0</v>
      </c>
    </row>
    <row r="841" spans="1:36" x14ac:dyDescent="0.3">
      <c r="B841" s="2">
        <v>0</v>
      </c>
      <c r="C841" s="2">
        <v>0</v>
      </c>
      <c r="D841" s="2">
        <v>0</v>
      </c>
      <c r="E841" s="2">
        <v>3</v>
      </c>
      <c r="F841" s="2">
        <v>3</v>
      </c>
      <c r="G841" s="2">
        <v>0</v>
      </c>
      <c r="H841" s="2">
        <v>0</v>
      </c>
      <c r="I841" s="2">
        <v>0</v>
      </c>
      <c r="K841" s="2" t="str">
        <f t="shared" si="487"/>
        <v>00</v>
      </c>
      <c r="L841" s="2" t="str">
        <f t="shared" si="487"/>
        <v>00</v>
      </c>
      <c r="M841" s="2" t="str">
        <f t="shared" si="487"/>
        <v>00</v>
      </c>
      <c r="N841" s="2" t="str">
        <f t="shared" si="487"/>
        <v>11</v>
      </c>
      <c r="O841" s="2" t="str">
        <f t="shared" si="487"/>
        <v>11</v>
      </c>
      <c r="P841" s="2" t="str">
        <f t="shared" si="487"/>
        <v>00</v>
      </c>
      <c r="Q841" s="2" t="str">
        <f t="shared" si="487"/>
        <v>00</v>
      </c>
      <c r="R841" s="2" t="str">
        <f t="shared" si="487"/>
        <v>00</v>
      </c>
      <c r="T841" t="str">
        <f t="shared" si="481"/>
        <v>0000001111000000</v>
      </c>
      <c r="V841" s="9" t="str">
        <f t="shared" si="488"/>
        <v>00000011</v>
      </c>
      <c r="W841" s="9" t="str">
        <f t="shared" si="489"/>
        <v>11000000</v>
      </c>
      <c r="X841" s="9" t="str">
        <f t="shared" si="490"/>
        <v>03</v>
      </c>
      <c r="Y841" s="9" t="str">
        <f t="shared" si="491"/>
        <v>C0</v>
      </c>
    </row>
    <row r="842" spans="1:36" x14ac:dyDescent="0.3">
      <c r="B842" s="2">
        <v>0</v>
      </c>
      <c r="C842" s="2">
        <v>0</v>
      </c>
      <c r="D842" s="2">
        <v>0</v>
      </c>
      <c r="E842" s="2">
        <v>3</v>
      </c>
      <c r="F842" s="2">
        <v>3</v>
      </c>
      <c r="G842" s="2">
        <v>1</v>
      </c>
      <c r="H842" s="2">
        <v>0</v>
      </c>
      <c r="I842" s="2">
        <v>0</v>
      </c>
      <c r="K842" s="2" t="str">
        <f t="shared" si="487"/>
        <v>00</v>
      </c>
      <c r="L842" s="2" t="str">
        <f t="shared" si="487"/>
        <v>00</v>
      </c>
      <c r="M842" s="2" t="str">
        <f t="shared" si="487"/>
        <v>00</v>
      </c>
      <c r="N842" s="2" t="str">
        <f t="shared" si="487"/>
        <v>11</v>
      </c>
      <c r="O842" s="2" t="str">
        <f t="shared" si="487"/>
        <v>11</v>
      </c>
      <c r="P842" s="2" t="str">
        <f t="shared" si="487"/>
        <v>01</v>
      </c>
      <c r="Q842" s="2" t="str">
        <f t="shared" si="487"/>
        <v>00</v>
      </c>
      <c r="R842" s="2" t="str">
        <f t="shared" si="487"/>
        <v>00</v>
      </c>
      <c r="T842" t="str">
        <f t="shared" si="481"/>
        <v>0000001111010000</v>
      </c>
      <c r="V842" s="10" t="str">
        <f t="shared" si="488"/>
        <v>00000011</v>
      </c>
      <c r="W842" s="10" t="str">
        <f t="shared" si="489"/>
        <v>11010000</v>
      </c>
      <c r="X842" s="10" t="str">
        <f t="shared" si="490"/>
        <v>03</v>
      </c>
      <c r="Y842" s="10" t="str">
        <f t="shared" si="491"/>
        <v>D0</v>
      </c>
    </row>
    <row r="843" spans="1:36" x14ac:dyDescent="0.3">
      <c r="B843" s="2">
        <v>0</v>
      </c>
      <c r="C843" s="2">
        <v>0</v>
      </c>
      <c r="D843" s="2">
        <v>0</v>
      </c>
      <c r="E843" s="2">
        <v>1</v>
      </c>
      <c r="F843" s="2">
        <v>1</v>
      </c>
      <c r="G843" s="2">
        <v>0</v>
      </c>
      <c r="H843" s="2">
        <v>0</v>
      </c>
      <c r="I843" s="2">
        <v>0</v>
      </c>
      <c r="K843" s="2" t="str">
        <f t="shared" si="487"/>
        <v>00</v>
      </c>
      <c r="L843" s="2" t="str">
        <f t="shared" si="487"/>
        <v>00</v>
      </c>
      <c r="M843" s="2" t="str">
        <f t="shared" si="487"/>
        <v>00</v>
      </c>
      <c r="N843" s="2" t="str">
        <f t="shared" si="487"/>
        <v>01</v>
      </c>
      <c r="O843" s="2" t="str">
        <f t="shared" si="487"/>
        <v>01</v>
      </c>
      <c r="P843" s="2" t="str">
        <f t="shared" si="487"/>
        <v>00</v>
      </c>
      <c r="Q843" s="2" t="str">
        <f t="shared" si="487"/>
        <v>00</v>
      </c>
      <c r="R843" s="2" t="str">
        <f t="shared" si="487"/>
        <v>00</v>
      </c>
      <c r="T843" t="str">
        <f t="shared" si="481"/>
        <v>0000000101000000</v>
      </c>
      <c r="V843" s="8" t="str">
        <f t="shared" si="488"/>
        <v>00000001</v>
      </c>
      <c r="W843" s="8" t="str">
        <f t="shared" si="489"/>
        <v>01000000</v>
      </c>
      <c r="X843" s="8" t="str">
        <f t="shared" si="490"/>
        <v>01</v>
      </c>
      <c r="Y843" s="8" t="str">
        <f t="shared" si="491"/>
        <v>40</v>
      </c>
    </row>
    <row r="844" spans="1:36" x14ac:dyDescent="0.3">
      <c r="B844" s="2">
        <v>0</v>
      </c>
      <c r="C844" s="2">
        <v>0</v>
      </c>
      <c r="D844" s="2">
        <v>0</v>
      </c>
      <c r="E844" s="2">
        <v>3</v>
      </c>
      <c r="F844" s="2">
        <v>3</v>
      </c>
      <c r="G844" s="2">
        <v>0</v>
      </c>
      <c r="H844" s="2">
        <v>0</v>
      </c>
      <c r="I844" s="2">
        <v>0</v>
      </c>
      <c r="K844" s="2" t="str">
        <f t="shared" si="487"/>
        <v>00</v>
      </c>
      <c r="L844" s="2" t="str">
        <f t="shared" si="487"/>
        <v>00</v>
      </c>
      <c r="M844" s="2" t="str">
        <f t="shared" si="487"/>
        <v>00</v>
      </c>
      <c r="N844" s="2" t="str">
        <f t="shared" si="487"/>
        <v>11</v>
      </c>
      <c r="O844" s="2" t="str">
        <f t="shared" si="487"/>
        <v>11</v>
      </c>
      <c r="P844" s="2" t="str">
        <f t="shared" si="487"/>
        <v>00</v>
      </c>
      <c r="Q844" s="2" t="str">
        <f t="shared" si="487"/>
        <v>00</v>
      </c>
      <c r="R844" s="2" t="str">
        <f t="shared" si="487"/>
        <v>00</v>
      </c>
      <c r="T844" t="str">
        <f t="shared" si="481"/>
        <v>0000001111000000</v>
      </c>
      <c r="V844" s="9" t="str">
        <f t="shared" si="488"/>
        <v>00000011</v>
      </c>
      <c r="W844" s="9" t="str">
        <f t="shared" si="489"/>
        <v>11000000</v>
      </c>
      <c r="X844" s="9" t="str">
        <f t="shared" si="490"/>
        <v>03</v>
      </c>
      <c r="Y844" s="9" t="str">
        <f t="shared" si="491"/>
        <v>C0</v>
      </c>
    </row>
    <row r="845" spans="1:36" x14ac:dyDescent="0.3">
      <c r="B845" s="2">
        <v>0</v>
      </c>
      <c r="C845" s="2">
        <v>0</v>
      </c>
      <c r="D845" s="2">
        <v>0</v>
      </c>
      <c r="E845" s="2">
        <v>1</v>
      </c>
      <c r="F845" s="2">
        <v>1</v>
      </c>
      <c r="G845" s="2">
        <v>0</v>
      </c>
      <c r="H845" s="2">
        <v>0</v>
      </c>
      <c r="I845" s="2">
        <v>0</v>
      </c>
      <c r="K845" s="2" t="str">
        <f t="shared" si="487"/>
        <v>00</v>
      </c>
      <c r="L845" s="2" t="str">
        <f t="shared" si="487"/>
        <v>00</v>
      </c>
      <c r="M845" s="2" t="str">
        <f t="shared" si="487"/>
        <v>00</v>
      </c>
      <c r="N845" s="2" t="str">
        <f t="shared" si="487"/>
        <v>01</v>
      </c>
      <c r="O845" s="2" t="str">
        <f t="shared" si="487"/>
        <v>01</v>
      </c>
      <c r="P845" s="2" t="str">
        <f t="shared" si="487"/>
        <v>00</v>
      </c>
      <c r="Q845" s="2" t="str">
        <f t="shared" si="487"/>
        <v>00</v>
      </c>
      <c r="R845" s="2" t="str">
        <f t="shared" si="487"/>
        <v>00</v>
      </c>
      <c r="T845" t="str">
        <f t="shared" si="481"/>
        <v>0000000101000000</v>
      </c>
      <c r="V845" s="9" t="str">
        <f t="shared" si="488"/>
        <v>00000001</v>
      </c>
      <c r="W845" s="9" t="str">
        <f t="shared" si="489"/>
        <v>01000000</v>
      </c>
      <c r="X845" s="9" t="str">
        <f t="shared" si="490"/>
        <v>01</v>
      </c>
      <c r="Y845" s="9" t="str">
        <f t="shared" si="491"/>
        <v>40</v>
      </c>
    </row>
    <row r="846" spans="1:36" x14ac:dyDescent="0.3">
      <c r="B846" s="2">
        <v>0</v>
      </c>
      <c r="C846" s="2">
        <v>0</v>
      </c>
      <c r="D846" s="2">
        <v>0</v>
      </c>
      <c r="E846" s="2">
        <v>3</v>
      </c>
      <c r="F846" s="2">
        <v>3</v>
      </c>
      <c r="G846" s="2">
        <v>0</v>
      </c>
      <c r="H846" s="2">
        <v>0</v>
      </c>
      <c r="I846" s="2">
        <v>0</v>
      </c>
      <c r="K846" s="2" t="str">
        <f t="shared" si="487"/>
        <v>00</v>
      </c>
      <c r="L846" s="2" t="str">
        <f t="shared" si="487"/>
        <v>00</v>
      </c>
      <c r="M846" s="2" t="str">
        <f t="shared" si="487"/>
        <v>00</v>
      </c>
      <c r="N846" s="2" t="str">
        <f t="shared" si="487"/>
        <v>11</v>
      </c>
      <c r="O846" s="2" t="str">
        <f t="shared" si="487"/>
        <v>11</v>
      </c>
      <c r="P846" s="2" t="str">
        <f t="shared" si="487"/>
        <v>00</v>
      </c>
      <c r="Q846" s="2" t="str">
        <f t="shared" si="487"/>
        <v>00</v>
      </c>
      <c r="R846" s="2" t="str">
        <f t="shared" si="487"/>
        <v>00</v>
      </c>
      <c r="T846" t="str">
        <f t="shared" si="481"/>
        <v>0000001111000000</v>
      </c>
      <c r="V846" s="9" t="str">
        <f t="shared" si="488"/>
        <v>00000011</v>
      </c>
      <c r="W846" s="9" t="str">
        <f t="shared" si="489"/>
        <v>11000000</v>
      </c>
      <c r="X846" s="9" t="str">
        <f t="shared" si="490"/>
        <v>03</v>
      </c>
      <c r="Y846" s="9" t="str">
        <f t="shared" si="491"/>
        <v>C0</v>
      </c>
    </row>
    <row r="847" spans="1:36" x14ac:dyDescent="0.3">
      <c r="B847" s="2">
        <v>0</v>
      </c>
      <c r="C847" s="2">
        <v>0</v>
      </c>
      <c r="D847" s="2">
        <v>3</v>
      </c>
      <c r="E847" s="2">
        <v>1</v>
      </c>
      <c r="F847" s="2">
        <v>1</v>
      </c>
      <c r="G847" s="2">
        <v>3</v>
      </c>
      <c r="H847" s="2">
        <v>0</v>
      </c>
      <c r="I847" s="2">
        <v>0</v>
      </c>
      <c r="K847" s="2" t="str">
        <f t="shared" si="487"/>
        <v>00</v>
      </c>
      <c r="L847" s="2" t="str">
        <f t="shared" si="487"/>
        <v>00</v>
      </c>
      <c r="M847" s="2" t="str">
        <f t="shared" si="487"/>
        <v>11</v>
      </c>
      <c r="N847" s="2" t="str">
        <f t="shared" si="487"/>
        <v>01</v>
      </c>
      <c r="O847" s="2" t="str">
        <f t="shared" si="487"/>
        <v>01</v>
      </c>
      <c r="P847" s="2" t="str">
        <f t="shared" si="487"/>
        <v>11</v>
      </c>
      <c r="Q847" s="2" t="str">
        <f t="shared" si="487"/>
        <v>00</v>
      </c>
      <c r="R847" s="2" t="str">
        <f t="shared" si="487"/>
        <v>00</v>
      </c>
      <c r="T847" t="str">
        <f t="shared" si="481"/>
        <v>0000110101110000</v>
      </c>
      <c r="V847" s="9" t="str">
        <f t="shared" si="488"/>
        <v>00001101</v>
      </c>
      <c r="W847" s="9" t="str">
        <f t="shared" si="489"/>
        <v>01110000</v>
      </c>
      <c r="X847" s="9" t="str">
        <f t="shared" si="490"/>
        <v>0D</v>
      </c>
      <c r="Y847" s="9" t="str">
        <f t="shared" si="491"/>
        <v>70</v>
      </c>
    </row>
    <row r="848" spans="1:36" x14ac:dyDescent="0.3">
      <c r="B848" s="2">
        <v>0</v>
      </c>
      <c r="C848" s="2">
        <v>3</v>
      </c>
      <c r="D848" s="2">
        <v>0</v>
      </c>
      <c r="E848" s="2">
        <v>0</v>
      </c>
      <c r="F848" s="2">
        <v>0</v>
      </c>
      <c r="G848" s="2">
        <v>3</v>
      </c>
      <c r="H848" s="2">
        <v>0</v>
      </c>
      <c r="I848" s="2">
        <v>0</v>
      </c>
      <c r="K848" s="2" t="str">
        <f t="shared" si="487"/>
        <v>00</v>
      </c>
      <c r="L848" s="2" t="str">
        <f t="shared" si="487"/>
        <v>11</v>
      </c>
      <c r="M848" s="2" t="str">
        <f t="shared" si="487"/>
        <v>00</v>
      </c>
      <c r="N848" s="2" t="str">
        <f t="shared" si="487"/>
        <v>00</v>
      </c>
      <c r="O848" s="2" t="str">
        <f t="shared" si="487"/>
        <v>00</v>
      </c>
      <c r="P848" s="2" t="str">
        <f t="shared" si="487"/>
        <v>11</v>
      </c>
      <c r="Q848" s="2" t="str">
        <f t="shared" si="487"/>
        <v>00</v>
      </c>
      <c r="R848" s="2" t="str">
        <f t="shared" si="487"/>
        <v>00</v>
      </c>
      <c r="T848" t="str">
        <f t="shared" si="481"/>
        <v>0011000000110000</v>
      </c>
      <c r="V848" s="9" t="str">
        <f t="shared" si="488"/>
        <v>00110000</v>
      </c>
      <c r="W848" s="9" t="str">
        <f t="shared" si="489"/>
        <v>00110000</v>
      </c>
      <c r="X848" s="9" t="str">
        <f t="shared" si="490"/>
        <v>30</v>
      </c>
      <c r="Y848" s="9" t="str">
        <f t="shared" si="491"/>
        <v>30</v>
      </c>
    </row>
    <row r="849" spans="1:36" x14ac:dyDescent="0.3">
      <c r="B849" s="2">
        <v>0</v>
      </c>
      <c r="C849" s="2">
        <v>1</v>
      </c>
      <c r="D849" s="2">
        <v>0</v>
      </c>
      <c r="E849" s="2">
        <v>0</v>
      </c>
      <c r="F849" s="2">
        <v>0</v>
      </c>
      <c r="G849" s="2">
        <v>3</v>
      </c>
      <c r="H849" s="2">
        <v>0</v>
      </c>
      <c r="I849" s="2">
        <v>0</v>
      </c>
      <c r="K849" s="2" t="str">
        <f t="shared" si="487"/>
        <v>00</v>
      </c>
      <c r="L849" s="2" t="str">
        <f t="shared" si="487"/>
        <v>01</v>
      </c>
      <c r="M849" s="2" t="str">
        <f t="shared" si="487"/>
        <v>00</v>
      </c>
      <c r="N849" s="2" t="str">
        <f t="shared" si="487"/>
        <v>00</v>
      </c>
      <c r="O849" s="2" t="str">
        <f t="shared" si="487"/>
        <v>00</v>
      </c>
      <c r="P849" s="2" t="str">
        <f t="shared" si="487"/>
        <v>11</v>
      </c>
      <c r="Q849" s="2" t="str">
        <f t="shared" si="487"/>
        <v>00</v>
      </c>
      <c r="R849" s="2" t="str">
        <f t="shared" si="487"/>
        <v>00</v>
      </c>
      <c r="T849" t="str">
        <f t="shared" si="481"/>
        <v>0001000000110000</v>
      </c>
      <c r="V849" s="9" t="str">
        <f t="shared" si="488"/>
        <v>00010000</v>
      </c>
      <c r="W849" s="9" t="str">
        <f t="shared" si="489"/>
        <v>00110000</v>
      </c>
      <c r="X849" s="9" t="str">
        <f t="shared" si="490"/>
        <v>10</v>
      </c>
      <c r="Y849" s="9" t="str">
        <f t="shared" si="491"/>
        <v>30</v>
      </c>
    </row>
    <row r="850" spans="1:36" x14ac:dyDescent="0.3">
      <c r="B850" s="2">
        <v>0</v>
      </c>
      <c r="C850" s="2">
        <v>1</v>
      </c>
      <c r="D850" s="2">
        <v>0</v>
      </c>
      <c r="E850" s="2">
        <v>0</v>
      </c>
      <c r="F850" s="2">
        <v>0</v>
      </c>
      <c r="G850" s="2">
        <v>1</v>
      </c>
      <c r="H850" s="2">
        <v>1</v>
      </c>
      <c r="I850" s="2">
        <v>0</v>
      </c>
      <c r="K850" s="2" t="str">
        <f t="shared" si="487"/>
        <v>00</v>
      </c>
      <c r="L850" s="2" t="str">
        <f t="shared" si="487"/>
        <v>01</v>
      </c>
      <c r="M850" s="2" t="str">
        <f t="shared" si="487"/>
        <v>00</v>
      </c>
      <c r="N850" s="2" t="str">
        <f t="shared" si="487"/>
        <v>00</v>
      </c>
      <c r="O850" s="2" t="str">
        <f t="shared" si="487"/>
        <v>00</v>
      </c>
      <c r="P850" s="2" t="str">
        <f t="shared" si="487"/>
        <v>01</v>
      </c>
      <c r="Q850" s="2" t="str">
        <f t="shared" si="487"/>
        <v>01</v>
      </c>
      <c r="R850" s="2" t="str">
        <f t="shared" si="487"/>
        <v>00</v>
      </c>
      <c r="T850" t="str">
        <f t="shared" si="481"/>
        <v>0001000000010100</v>
      </c>
      <c r="V850" s="10" t="str">
        <f t="shared" si="488"/>
        <v>00010000</v>
      </c>
      <c r="W850" s="10" t="str">
        <f t="shared" si="489"/>
        <v>00010100</v>
      </c>
      <c r="X850" s="10" t="str">
        <f t="shared" si="490"/>
        <v>10</v>
      </c>
      <c r="Y850" s="10" t="str">
        <f t="shared" si="491"/>
        <v>14</v>
      </c>
    </row>
    <row r="851" spans="1:36" x14ac:dyDescent="0.3">
      <c r="A851" t="s">
        <v>46</v>
      </c>
      <c r="AJ851" t="str">
        <f>";"&amp;PROPER(A851)</f>
        <v>;Rockford 18 (Right 4)</v>
      </c>
    </row>
    <row r="852" spans="1:36" x14ac:dyDescent="0.3">
      <c r="B852" s="2">
        <v>0</v>
      </c>
      <c r="C852" s="2">
        <v>0</v>
      </c>
      <c r="D852" s="2">
        <v>0</v>
      </c>
      <c r="E852" s="2">
        <v>3</v>
      </c>
      <c r="F852" s="2">
        <v>3</v>
      </c>
      <c r="G852" s="2">
        <v>0</v>
      </c>
      <c r="H852" s="2">
        <v>0</v>
      </c>
      <c r="I852" s="2">
        <v>0</v>
      </c>
      <c r="K852" s="2" t="str">
        <f t="shared" ref="K852:R867" si="493">DEC2BIN(B852,2)</f>
        <v>00</v>
      </c>
      <c r="L852" s="2" t="str">
        <f t="shared" si="493"/>
        <v>00</v>
      </c>
      <c r="M852" s="2" t="str">
        <f t="shared" si="493"/>
        <v>00</v>
      </c>
      <c r="N852" s="2" t="str">
        <f t="shared" si="493"/>
        <v>11</v>
      </c>
      <c r="O852" s="2" t="str">
        <f t="shared" si="493"/>
        <v>11</v>
      </c>
      <c r="P852" s="2" t="str">
        <f t="shared" si="493"/>
        <v>00</v>
      </c>
      <c r="Q852" s="2" t="str">
        <f t="shared" si="493"/>
        <v>00</v>
      </c>
      <c r="R852" s="2" t="str">
        <f t="shared" si="493"/>
        <v>00</v>
      </c>
      <c r="T852" t="str">
        <f t="shared" si="481"/>
        <v>0000001111000000</v>
      </c>
      <c r="V852" s="8" t="str">
        <f>LEFT(T852,8)</f>
        <v>00000011</v>
      </c>
      <c r="W852" s="8" t="str">
        <f>RIGHT(T852,8)</f>
        <v>11000000</v>
      </c>
      <c r="X852" s="8" t="str">
        <f>BIN2HEX(V852,2)</f>
        <v>03</v>
      </c>
      <c r="Y852" s="8" t="str">
        <f>BIN2HEX(W852,2)</f>
        <v>C0</v>
      </c>
      <c r="AA852" t="str" cm="1">
        <f t="array" ref="AA852:AH852">TRANSPOSE(X852:X859)</f>
        <v>03</v>
      </c>
      <c r="AB852" t="str">
        <v>0F</v>
      </c>
      <c r="AC852" t="str">
        <v>0F</v>
      </c>
      <c r="AD852" t="str">
        <v>0F</v>
      </c>
      <c r="AE852" t="str">
        <v>0F</v>
      </c>
      <c r="AF852" t="str">
        <v>03</v>
      </c>
      <c r="AG852" t="str">
        <v>03</v>
      </c>
      <c r="AH852" t="str">
        <v>03</v>
      </c>
      <c r="AJ852" t="str">
        <f>LOWER("!byte $"&amp;AA852&amp;", $"&amp;AB852&amp;", $"&amp;AC852&amp;", $"&amp;AD852&amp;", $"&amp;AE852&amp;", $"&amp;AF852&amp;", $"&amp;AG852&amp;", $"&amp;AH852)</f>
        <v>!byte $03, $0f, $0f, $0f, $0f, $03, $03, $03</v>
      </c>
    </row>
    <row r="853" spans="1:36" x14ac:dyDescent="0.3">
      <c r="B853" s="2">
        <v>0</v>
      </c>
      <c r="C853" s="2">
        <v>0</v>
      </c>
      <c r="D853" s="2">
        <v>3</v>
      </c>
      <c r="E853" s="2">
        <v>3</v>
      </c>
      <c r="F853" s="2">
        <v>3</v>
      </c>
      <c r="G853" s="2">
        <v>3</v>
      </c>
      <c r="H853" s="2">
        <v>0</v>
      </c>
      <c r="I853" s="2">
        <v>0</v>
      </c>
      <c r="K853" s="2" t="str">
        <f t="shared" si="493"/>
        <v>00</v>
      </c>
      <c r="L853" s="2" t="str">
        <f t="shared" si="493"/>
        <v>00</v>
      </c>
      <c r="M853" s="2" t="str">
        <f t="shared" si="493"/>
        <v>11</v>
      </c>
      <c r="N853" s="2" t="str">
        <f t="shared" si="493"/>
        <v>11</v>
      </c>
      <c r="O853" s="2" t="str">
        <f t="shared" si="493"/>
        <v>11</v>
      </c>
      <c r="P853" s="2" t="str">
        <f t="shared" si="493"/>
        <v>11</v>
      </c>
      <c r="Q853" s="2" t="str">
        <f t="shared" si="493"/>
        <v>00</v>
      </c>
      <c r="R853" s="2" t="str">
        <f t="shared" si="493"/>
        <v>00</v>
      </c>
      <c r="T853" t="str">
        <f t="shared" si="481"/>
        <v>0000111111110000</v>
      </c>
      <c r="V853" s="9" t="str">
        <f t="shared" ref="V853:V867" si="494">LEFT(T853,8)</f>
        <v>00001111</v>
      </c>
      <c r="W853" s="9" t="str">
        <f t="shared" ref="W853:W867" si="495">RIGHT(T853,8)</f>
        <v>11110000</v>
      </c>
      <c r="X853" s="9" t="str">
        <f t="shared" ref="X853:X867" si="496">BIN2HEX(V853,2)</f>
        <v>0F</v>
      </c>
      <c r="Y853" s="9" t="str">
        <f t="shared" ref="Y853:Y867" si="497">BIN2HEX(W853,2)</f>
        <v>F0</v>
      </c>
      <c r="AA853" t="str" cm="1">
        <f t="array" ref="AA853:AH853">TRANSPOSE(X860:X867)</f>
        <v>01</v>
      </c>
      <c r="AB853" t="str">
        <v>03</v>
      </c>
      <c r="AC853" t="str">
        <v>01</v>
      </c>
      <c r="AD853" t="str">
        <v>03</v>
      </c>
      <c r="AE853" t="str">
        <v>3D</v>
      </c>
      <c r="AF853" t="str">
        <v>40</v>
      </c>
      <c r="AG853" t="str">
        <v>40</v>
      </c>
      <c r="AH853" t="str">
        <v>00</v>
      </c>
      <c r="AJ853" t="str">
        <f t="shared" ref="AJ853:AJ855" si="498">LOWER("!byte $"&amp;AA853&amp;", $"&amp;AB853&amp;", $"&amp;AC853&amp;", $"&amp;AD853&amp;", $"&amp;AE853&amp;", $"&amp;AF853&amp;", $"&amp;AG853&amp;", $"&amp;AH853)</f>
        <v>!byte $01, $03, $01, $03, $3d, $40, $40, $00</v>
      </c>
    </row>
    <row r="854" spans="1:36" x14ac:dyDescent="0.3">
      <c r="B854" s="2">
        <v>0</v>
      </c>
      <c r="C854" s="2">
        <v>0</v>
      </c>
      <c r="D854" s="2">
        <v>3</v>
      </c>
      <c r="E854" s="2">
        <v>3</v>
      </c>
      <c r="F854" s="2">
        <v>3</v>
      </c>
      <c r="G854" s="2">
        <v>0</v>
      </c>
      <c r="H854" s="2">
        <v>3</v>
      </c>
      <c r="I854" s="2">
        <v>0</v>
      </c>
      <c r="K854" s="2" t="str">
        <f t="shared" si="493"/>
        <v>00</v>
      </c>
      <c r="L854" s="2" t="str">
        <f t="shared" si="493"/>
        <v>00</v>
      </c>
      <c r="M854" s="2" t="str">
        <f t="shared" si="493"/>
        <v>11</v>
      </c>
      <c r="N854" s="2" t="str">
        <f t="shared" si="493"/>
        <v>11</v>
      </c>
      <c r="O854" s="2" t="str">
        <f t="shared" si="493"/>
        <v>11</v>
      </c>
      <c r="P854" s="2" t="str">
        <f t="shared" si="493"/>
        <v>00</v>
      </c>
      <c r="Q854" s="2" t="str">
        <f t="shared" si="493"/>
        <v>11</v>
      </c>
      <c r="R854" s="2" t="str">
        <f t="shared" si="493"/>
        <v>00</v>
      </c>
      <c r="T854" t="str">
        <f t="shared" si="481"/>
        <v>0000111111001100</v>
      </c>
      <c r="V854" s="9" t="str">
        <f t="shared" si="494"/>
        <v>00001111</v>
      </c>
      <c r="W854" s="9" t="str">
        <f t="shared" si="495"/>
        <v>11001100</v>
      </c>
      <c r="X854" s="9" t="str">
        <f t="shared" si="496"/>
        <v>0F</v>
      </c>
      <c r="Y854" s="9" t="str">
        <f t="shared" si="497"/>
        <v>CC</v>
      </c>
      <c r="AA854" t="str" cm="1">
        <f t="array" ref="AA854:AH854">TRANSPOSE(Y852:Y859)</f>
        <v>C0</v>
      </c>
      <c r="AB854" t="str">
        <v>F0</v>
      </c>
      <c r="AC854" t="str">
        <v>CC</v>
      </c>
      <c r="AD854" t="str">
        <v>CC</v>
      </c>
      <c r="AE854" t="str">
        <v>F0</v>
      </c>
      <c r="AF854" t="str">
        <v>C0</v>
      </c>
      <c r="AG854" t="str">
        <v>C0</v>
      </c>
      <c r="AH854" t="str">
        <v>D0</v>
      </c>
      <c r="AJ854" t="str">
        <f t="shared" si="498"/>
        <v>!byte $c0, $f0, $cc, $cc, $f0, $c0, $c0, $d0</v>
      </c>
    </row>
    <row r="855" spans="1:36" x14ac:dyDescent="0.3">
      <c r="B855" s="2">
        <v>0</v>
      </c>
      <c r="C855" s="2">
        <v>0</v>
      </c>
      <c r="D855" s="2">
        <v>3</v>
      </c>
      <c r="E855" s="2">
        <v>3</v>
      </c>
      <c r="F855" s="2">
        <v>3</v>
      </c>
      <c r="G855" s="2">
        <v>0</v>
      </c>
      <c r="H855" s="2">
        <v>3</v>
      </c>
      <c r="I855" s="2">
        <v>0</v>
      </c>
      <c r="K855" s="2" t="str">
        <f t="shared" si="493"/>
        <v>00</v>
      </c>
      <c r="L855" s="2" t="str">
        <f t="shared" si="493"/>
        <v>00</v>
      </c>
      <c r="M855" s="2" t="str">
        <f t="shared" si="493"/>
        <v>11</v>
      </c>
      <c r="N855" s="2" t="str">
        <f t="shared" si="493"/>
        <v>11</v>
      </c>
      <c r="O855" s="2" t="str">
        <f t="shared" si="493"/>
        <v>11</v>
      </c>
      <c r="P855" s="2" t="str">
        <f t="shared" si="493"/>
        <v>00</v>
      </c>
      <c r="Q855" s="2" t="str">
        <f t="shared" si="493"/>
        <v>11</v>
      </c>
      <c r="R855" s="2" t="str">
        <f t="shared" si="493"/>
        <v>00</v>
      </c>
      <c r="T855" t="str">
        <f t="shared" si="481"/>
        <v>0000111111001100</v>
      </c>
      <c r="V855" s="9" t="str">
        <f t="shared" si="494"/>
        <v>00001111</v>
      </c>
      <c r="W855" s="9" t="str">
        <f t="shared" si="495"/>
        <v>11001100</v>
      </c>
      <c r="X855" s="9" t="str">
        <f t="shared" si="496"/>
        <v>0F</v>
      </c>
      <c r="Y855" s="9" t="str">
        <f t="shared" si="497"/>
        <v>CC</v>
      </c>
      <c r="AA855" t="str" cm="1">
        <f t="array" ref="AA855:AH855">TRANSPOSE(Y860:Y867)</f>
        <v>40</v>
      </c>
      <c r="AB855" t="str">
        <v>C0</v>
      </c>
      <c r="AC855" t="str">
        <v>40</v>
      </c>
      <c r="AD855" t="str">
        <v>C0</v>
      </c>
      <c r="AE855" t="str">
        <v>70</v>
      </c>
      <c r="AF855" t="str">
        <v>0C</v>
      </c>
      <c r="AG855" t="str">
        <v>0C</v>
      </c>
      <c r="AH855" t="str">
        <v>05</v>
      </c>
      <c r="AJ855" t="str">
        <f t="shared" si="498"/>
        <v>!byte $40, $c0, $40, $c0, $70, $0c, $0c, $05</v>
      </c>
    </row>
    <row r="856" spans="1:36" x14ac:dyDescent="0.3">
      <c r="B856" s="2">
        <v>0</v>
      </c>
      <c r="C856" s="2">
        <v>0</v>
      </c>
      <c r="D856" s="2">
        <v>3</v>
      </c>
      <c r="E856" s="2">
        <v>3</v>
      </c>
      <c r="F856" s="2">
        <v>3</v>
      </c>
      <c r="G856" s="2">
        <v>3</v>
      </c>
      <c r="H856" s="2">
        <v>0</v>
      </c>
      <c r="I856" s="2">
        <v>0</v>
      </c>
      <c r="K856" s="2" t="str">
        <f t="shared" si="493"/>
        <v>00</v>
      </c>
      <c r="L856" s="2" t="str">
        <f t="shared" si="493"/>
        <v>00</v>
      </c>
      <c r="M856" s="2" t="str">
        <f t="shared" si="493"/>
        <v>11</v>
      </c>
      <c r="N856" s="2" t="str">
        <f t="shared" si="493"/>
        <v>11</v>
      </c>
      <c r="O856" s="2" t="str">
        <f t="shared" si="493"/>
        <v>11</v>
      </c>
      <c r="P856" s="2" t="str">
        <f t="shared" si="493"/>
        <v>11</v>
      </c>
      <c r="Q856" s="2" t="str">
        <f t="shared" si="493"/>
        <v>00</v>
      </c>
      <c r="R856" s="2" t="str">
        <f t="shared" si="493"/>
        <v>00</v>
      </c>
      <c r="T856" t="str">
        <f t="shared" si="481"/>
        <v>0000111111110000</v>
      </c>
      <c r="V856" s="9" t="str">
        <f t="shared" si="494"/>
        <v>00001111</v>
      </c>
      <c r="W856" s="9" t="str">
        <f t="shared" si="495"/>
        <v>11110000</v>
      </c>
      <c r="X856" s="9" t="str">
        <f t="shared" si="496"/>
        <v>0F</v>
      </c>
      <c r="Y856" s="9" t="str">
        <f t="shared" si="497"/>
        <v>F0</v>
      </c>
    </row>
    <row r="857" spans="1:36" x14ac:dyDescent="0.3">
      <c r="B857" s="2">
        <v>0</v>
      </c>
      <c r="C857" s="2">
        <v>0</v>
      </c>
      <c r="D857" s="2">
        <v>0</v>
      </c>
      <c r="E857" s="2">
        <v>3</v>
      </c>
      <c r="F857" s="2">
        <v>3</v>
      </c>
      <c r="G857" s="2">
        <v>0</v>
      </c>
      <c r="H857" s="2">
        <v>0</v>
      </c>
      <c r="I857" s="2">
        <v>0</v>
      </c>
      <c r="K857" s="2" t="str">
        <f t="shared" si="493"/>
        <v>00</v>
      </c>
      <c r="L857" s="2" t="str">
        <f t="shared" si="493"/>
        <v>00</v>
      </c>
      <c r="M857" s="2" t="str">
        <f t="shared" si="493"/>
        <v>00</v>
      </c>
      <c r="N857" s="2" t="str">
        <f t="shared" si="493"/>
        <v>11</v>
      </c>
      <c r="O857" s="2" t="str">
        <f t="shared" si="493"/>
        <v>11</v>
      </c>
      <c r="P857" s="2" t="str">
        <f t="shared" si="493"/>
        <v>00</v>
      </c>
      <c r="Q857" s="2" t="str">
        <f t="shared" si="493"/>
        <v>00</v>
      </c>
      <c r="R857" s="2" t="str">
        <f t="shared" si="493"/>
        <v>00</v>
      </c>
      <c r="T857" t="str">
        <f t="shared" si="481"/>
        <v>0000001111000000</v>
      </c>
      <c r="V857" s="9" t="str">
        <f t="shared" si="494"/>
        <v>00000011</v>
      </c>
      <c r="W857" s="9" t="str">
        <f t="shared" si="495"/>
        <v>11000000</v>
      </c>
      <c r="X857" s="9" t="str">
        <f t="shared" si="496"/>
        <v>03</v>
      </c>
      <c r="Y857" s="9" t="str">
        <f t="shared" si="497"/>
        <v>C0</v>
      </c>
    </row>
    <row r="858" spans="1:36" x14ac:dyDescent="0.3">
      <c r="B858" s="2">
        <v>0</v>
      </c>
      <c r="C858" s="2">
        <v>0</v>
      </c>
      <c r="D858" s="2">
        <v>0</v>
      </c>
      <c r="E858" s="2">
        <v>3</v>
      </c>
      <c r="F858" s="2">
        <v>3</v>
      </c>
      <c r="G858" s="2">
        <v>0</v>
      </c>
      <c r="H858" s="2">
        <v>0</v>
      </c>
      <c r="I858" s="2">
        <v>0</v>
      </c>
      <c r="K858" s="2" t="str">
        <f t="shared" si="493"/>
        <v>00</v>
      </c>
      <c r="L858" s="2" t="str">
        <f t="shared" si="493"/>
        <v>00</v>
      </c>
      <c r="M858" s="2" t="str">
        <f t="shared" si="493"/>
        <v>00</v>
      </c>
      <c r="N858" s="2" t="str">
        <f t="shared" si="493"/>
        <v>11</v>
      </c>
      <c r="O858" s="2" t="str">
        <f t="shared" si="493"/>
        <v>11</v>
      </c>
      <c r="P858" s="2" t="str">
        <f t="shared" si="493"/>
        <v>00</v>
      </c>
      <c r="Q858" s="2" t="str">
        <f t="shared" si="493"/>
        <v>00</v>
      </c>
      <c r="R858" s="2" t="str">
        <f t="shared" si="493"/>
        <v>00</v>
      </c>
      <c r="T858" t="str">
        <f t="shared" si="481"/>
        <v>0000001111000000</v>
      </c>
      <c r="V858" s="9" t="str">
        <f t="shared" si="494"/>
        <v>00000011</v>
      </c>
      <c r="W858" s="9" t="str">
        <f t="shared" si="495"/>
        <v>11000000</v>
      </c>
      <c r="X858" s="9" t="str">
        <f t="shared" si="496"/>
        <v>03</v>
      </c>
      <c r="Y858" s="9" t="str">
        <f t="shared" si="497"/>
        <v>C0</v>
      </c>
    </row>
    <row r="859" spans="1:36" x14ac:dyDescent="0.3">
      <c r="B859" s="2">
        <v>0</v>
      </c>
      <c r="C859" s="2">
        <v>0</v>
      </c>
      <c r="D859" s="2">
        <v>0</v>
      </c>
      <c r="E859" s="2">
        <v>3</v>
      </c>
      <c r="F859" s="2">
        <v>3</v>
      </c>
      <c r="G859" s="2">
        <v>1</v>
      </c>
      <c r="H859" s="2">
        <v>0</v>
      </c>
      <c r="I859" s="2">
        <v>0</v>
      </c>
      <c r="K859" s="2" t="str">
        <f t="shared" si="493"/>
        <v>00</v>
      </c>
      <c r="L859" s="2" t="str">
        <f t="shared" si="493"/>
        <v>00</v>
      </c>
      <c r="M859" s="2" t="str">
        <f t="shared" si="493"/>
        <v>00</v>
      </c>
      <c r="N859" s="2" t="str">
        <f t="shared" si="493"/>
        <v>11</v>
      </c>
      <c r="O859" s="2" t="str">
        <f t="shared" si="493"/>
        <v>11</v>
      </c>
      <c r="P859" s="2" t="str">
        <f t="shared" si="493"/>
        <v>01</v>
      </c>
      <c r="Q859" s="2" t="str">
        <f t="shared" si="493"/>
        <v>00</v>
      </c>
      <c r="R859" s="2" t="str">
        <f t="shared" si="493"/>
        <v>00</v>
      </c>
      <c r="T859" t="str">
        <f t="shared" si="481"/>
        <v>0000001111010000</v>
      </c>
      <c r="V859" s="10" t="str">
        <f t="shared" si="494"/>
        <v>00000011</v>
      </c>
      <c r="W859" s="10" t="str">
        <f t="shared" si="495"/>
        <v>11010000</v>
      </c>
      <c r="X859" s="10" t="str">
        <f t="shared" si="496"/>
        <v>03</v>
      </c>
      <c r="Y859" s="10" t="str">
        <f t="shared" si="497"/>
        <v>D0</v>
      </c>
    </row>
    <row r="860" spans="1:36" x14ac:dyDescent="0.3">
      <c r="B860" s="2">
        <v>0</v>
      </c>
      <c r="C860" s="2">
        <v>0</v>
      </c>
      <c r="D860" s="2">
        <v>0</v>
      </c>
      <c r="E860" s="2">
        <v>1</v>
      </c>
      <c r="F860" s="2">
        <v>1</v>
      </c>
      <c r="G860" s="2">
        <v>0</v>
      </c>
      <c r="H860" s="2">
        <v>0</v>
      </c>
      <c r="I860" s="2">
        <v>0</v>
      </c>
      <c r="K860" s="2" t="str">
        <f t="shared" si="493"/>
        <v>00</v>
      </c>
      <c r="L860" s="2" t="str">
        <f t="shared" si="493"/>
        <v>00</v>
      </c>
      <c r="M860" s="2" t="str">
        <f t="shared" si="493"/>
        <v>00</v>
      </c>
      <c r="N860" s="2" t="str">
        <f t="shared" si="493"/>
        <v>01</v>
      </c>
      <c r="O860" s="2" t="str">
        <f t="shared" si="493"/>
        <v>01</v>
      </c>
      <c r="P860" s="2" t="str">
        <f t="shared" si="493"/>
        <v>00</v>
      </c>
      <c r="Q860" s="2" t="str">
        <f t="shared" si="493"/>
        <v>00</v>
      </c>
      <c r="R860" s="2" t="str">
        <f t="shared" si="493"/>
        <v>00</v>
      </c>
      <c r="T860" t="str">
        <f t="shared" si="481"/>
        <v>0000000101000000</v>
      </c>
      <c r="V860" s="8" t="str">
        <f t="shared" si="494"/>
        <v>00000001</v>
      </c>
      <c r="W860" s="8" t="str">
        <f t="shared" si="495"/>
        <v>01000000</v>
      </c>
      <c r="X860" s="8" t="str">
        <f t="shared" si="496"/>
        <v>01</v>
      </c>
      <c r="Y860" s="8" t="str">
        <f t="shared" si="497"/>
        <v>40</v>
      </c>
    </row>
    <row r="861" spans="1:36" x14ac:dyDescent="0.3">
      <c r="B861" s="2">
        <v>0</v>
      </c>
      <c r="C861" s="2">
        <v>0</v>
      </c>
      <c r="D861" s="2">
        <v>0</v>
      </c>
      <c r="E861" s="2">
        <v>3</v>
      </c>
      <c r="F861" s="2">
        <v>3</v>
      </c>
      <c r="G861" s="2">
        <v>0</v>
      </c>
      <c r="H861" s="2">
        <v>0</v>
      </c>
      <c r="I861" s="2">
        <v>0</v>
      </c>
      <c r="K861" s="2" t="str">
        <f t="shared" si="493"/>
        <v>00</v>
      </c>
      <c r="L861" s="2" t="str">
        <f t="shared" si="493"/>
        <v>00</v>
      </c>
      <c r="M861" s="2" t="str">
        <f t="shared" si="493"/>
        <v>00</v>
      </c>
      <c r="N861" s="2" t="str">
        <f t="shared" si="493"/>
        <v>11</v>
      </c>
      <c r="O861" s="2" t="str">
        <f t="shared" si="493"/>
        <v>11</v>
      </c>
      <c r="P861" s="2" t="str">
        <f t="shared" si="493"/>
        <v>00</v>
      </c>
      <c r="Q861" s="2" t="str">
        <f t="shared" si="493"/>
        <v>00</v>
      </c>
      <c r="R861" s="2" t="str">
        <f t="shared" si="493"/>
        <v>00</v>
      </c>
      <c r="T861" t="str">
        <f t="shared" si="481"/>
        <v>0000001111000000</v>
      </c>
      <c r="V861" s="9" t="str">
        <f t="shared" si="494"/>
        <v>00000011</v>
      </c>
      <c r="W861" s="9" t="str">
        <f t="shared" si="495"/>
        <v>11000000</v>
      </c>
      <c r="X861" s="9" t="str">
        <f t="shared" si="496"/>
        <v>03</v>
      </c>
      <c r="Y861" s="9" t="str">
        <f t="shared" si="497"/>
        <v>C0</v>
      </c>
    </row>
    <row r="862" spans="1:36" x14ac:dyDescent="0.3">
      <c r="B862" s="2">
        <v>0</v>
      </c>
      <c r="C862" s="2">
        <v>0</v>
      </c>
      <c r="D862" s="2">
        <v>0</v>
      </c>
      <c r="E862" s="2">
        <v>1</v>
      </c>
      <c r="F862" s="2">
        <v>1</v>
      </c>
      <c r="G862" s="2">
        <v>0</v>
      </c>
      <c r="H862" s="2">
        <v>0</v>
      </c>
      <c r="I862" s="2">
        <v>0</v>
      </c>
      <c r="K862" s="2" t="str">
        <f t="shared" si="493"/>
        <v>00</v>
      </c>
      <c r="L862" s="2" t="str">
        <f t="shared" si="493"/>
        <v>00</v>
      </c>
      <c r="M862" s="2" t="str">
        <f t="shared" si="493"/>
        <v>00</v>
      </c>
      <c r="N862" s="2" t="str">
        <f t="shared" si="493"/>
        <v>01</v>
      </c>
      <c r="O862" s="2" t="str">
        <f t="shared" si="493"/>
        <v>01</v>
      </c>
      <c r="P862" s="2" t="str">
        <f t="shared" si="493"/>
        <v>00</v>
      </c>
      <c r="Q862" s="2" t="str">
        <f t="shared" si="493"/>
        <v>00</v>
      </c>
      <c r="R862" s="2" t="str">
        <f t="shared" si="493"/>
        <v>00</v>
      </c>
      <c r="T862" t="str">
        <f t="shared" si="481"/>
        <v>0000000101000000</v>
      </c>
      <c r="V862" s="9" t="str">
        <f t="shared" si="494"/>
        <v>00000001</v>
      </c>
      <c r="W862" s="9" t="str">
        <f t="shared" si="495"/>
        <v>01000000</v>
      </c>
      <c r="X862" s="9" t="str">
        <f t="shared" si="496"/>
        <v>01</v>
      </c>
      <c r="Y862" s="9" t="str">
        <f t="shared" si="497"/>
        <v>40</v>
      </c>
    </row>
    <row r="863" spans="1:36" x14ac:dyDescent="0.3">
      <c r="B863" s="2">
        <v>0</v>
      </c>
      <c r="C863" s="2">
        <v>0</v>
      </c>
      <c r="D863" s="2">
        <v>0</v>
      </c>
      <c r="E863" s="2">
        <v>3</v>
      </c>
      <c r="F863" s="2">
        <v>3</v>
      </c>
      <c r="G863" s="2">
        <v>0</v>
      </c>
      <c r="H863" s="2">
        <v>0</v>
      </c>
      <c r="I863" s="2">
        <v>0</v>
      </c>
      <c r="K863" s="2" t="str">
        <f t="shared" si="493"/>
        <v>00</v>
      </c>
      <c r="L863" s="2" t="str">
        <f t="shared" si="493"/>
        <v>00</v>
      </c>
      <c r="M863" s="2" t="str">
        <f t="shared" si="493"/>
        <v>00</v>
      </c>
      <c r="N863" s="2" t="str">
        <f t="shared" si="493"/>
        <v>11</v>
      </c>
      <c r="O863" s="2" t="str">
        <f t="shared" si="493"/>
        <v>11</v>
      </c>
      <c r="P863" s="2" t="str">
        <f t="shared" si="493"/>
        <v>00</v>
      </c>
      <c r="Q863" s="2" t="str">
        <f t="shared" si="493"/>
        <v>00</v>
      </c>
      <c r="R863" s="2" t="str">
        <f t="shared" si="493"/>
        <v>00</v>
      </c>
      <c r="T863" t="str">
        <f t="shared" si="481"/>
        <v>0000001111000000</v>
      </c>
      <c r="V863" s="9" t="str">
        <f t="shared" si="494"/>
        <v>00000011</v>
      </c>
      <c r="W863" s="9" t="str">
        <f t="shared" si="495"/>
        <v>11000000</v>
      </c>
      <c r="X863" s="9" t="str">
        <f t="shared" si="496"/>
        <v>03</v>
      </c>
      <c r="Y863" s="9" t="str">
        <f t="shared" si="497"/>
        <v>C0</v>
      </c>
    </row>
    <row r="864" spans="1:36" x14ac:dyDescent="0.3">
      <c r="B864" s="2">
        <v>0</v>
      </c>
      <c r="C864" s="2">
        <v>3</v>
      </c>
      <c r="D864" s="2">
        <v>3</v>
      </c>
      <c r="E864" s="2">
        <v>1</v>
      </c>
      <c r="F864" s="2">
        <v>1</v>
      </c>
      <c r="G864" s="2">
        <v>3</v>
      </c>
      <c r="H864" s="2">
        <v>0</v>
      </c>
      <c r="I864" s="2">
        <v>0</v>
      </c>
      <c r="K864" s="2" t="str">
        <f t="shared" si="493"/>
        <v>00</v>
      </c>
      <c r="L864" s="2" t="str">
        <f t="shared" si="493"/>
        <v>11</v>
      </c>
      <c r="M864" s="2" t="str">
        <f t="shared" si="493"/>
        <v>11</v>
      </c>
      <c r="N864" s="2" t="str">
        <f t="shared" si="493"/>
        <v>01</v>
      </c>
      <c r="O864" s="2" t="str">
        <f t="shared" si="493"/>
        <v>01</v>
      </c>
      <c r="P864" s="2" t="str">
        <f t="shared" si="493"/>
        <v>11</v>
      </c>
      <c r="Q864" s="2" t="str">
        <f t="shared" si="493"/>
        <v>00</v>
      </c>
      <c r="R864" s="2" t="str">
        <f t="shared" si="493"/>
        <v>00</v>
      </c>
      <c r="T864" t="str">
        <f t="shared" si="481"/>
        <v>0011110101110000</v>
      </c>
      <c r="V864" s="9" t="str">
        <f t="shared" si="494"/>
        <v>00111101</v>
      </c>
      <c r="W864" s="9" t="str">
        <f t="shared" si="495"/>
        <v>01110000</v>
      </c>
      <c r="X864" s="9" t="str">
        <f t="shared" si="496"/>
        <v>3D</v>
      </c>
      <c r="Y864" s="9" t="str">
        <f t="shared" si="497"/>
        <v>70</v>
      </c>
    </row>
    <row r="865" spans="2:25" x14ac:dyDescent="0.3">
      <c r="B865" s="2">
        <v>1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3</v>
      </c>
      <c r="I865" s="2">
        <v>0</v>
      </c>
      <c r="K865" s="2" t="str">
        <f t="shared" si="493"/>
        <v>01</v>
      </c>
      <c r="L865" s="2" t="str">
        <f t="shared" si="493"/>
        <v>00</v>
      </c>
      <c r="M865" s="2" t="str">
        <f t="shared" si="493"/>
        <v>00</v>
      </c>
      <c r="N865" s="2" t="str">
        <f t="shared" si="493"/>
        <v>00</v>
      </c>
      <c r="O865" s="2" t="str">
        <f t="shared" si="493"/>
        <v>00</v>
      </c>
      <c r="P865" s="2" t="str">
        <f t="shared" si="493"/>
        <v>00</v>
      </c>
      <c r="Q865" s="2" t="str">
        <f t="shared" si="493"/>
        <v>11</v>
      </c>
      <c r="R865" s="2" t="str">
        <f t="shared" si="493"/>
        <v>00</v>
      </c>
      <c r="T865" t="str">
        <f t="shared" si="481"/>
        <v>0100000000001100</v>
      </c>
      <c r="V865" s="9" t="str">
        <f t="shared" si="494"/>
        <v>01000000</v>
      </c>
      <c r="W865" s="9" t="str">
        <f t="shared" si="495"/>
        <v>00001100</v>
      </c>
      <c r="X865" s="9" t="str">
        <f t="shared" si="496"/>
        <v>40</v>
      </c>
      <c r="Y865" s="9" t="str">
        <f t="shared" si="497"/>
        <v>0C</v>
      </c>
    </row>
    <row r="866" spans="2:25" x14ac:dyDescent="0.3">
      <c r="B866" s="2">
        <v>1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3</v>
      </c>
      <c r="I866" s="2">
        <v>0</v>
      </c>
      <c r="K866" s="2" t="str">
        <f t="shared" si="493"/>
        <v>01</v>
      </c>
      <c r="L866" s="2" t="str">
        <f t="shared" si="493"/>
        <v>00</v>
      </c>
      <c r="M866" s="2" t="str">
        <f t="shared" si="493"/>
        <v>00</v>
      </c>
      <c r="N866" s="2" t="str">
        <f t="shared" si="493"/>
        <v>00</v>
      </c>
      <c r="O866" s="2" t="str">
        <f t="shared" si="493"/>
        <v>00</v>
      </c>
      <c r="P866" s="2" t="str">
        <f t="shared" si="493"/>
        <v>00</v>
      </c>
      <c r="Q866" s="2" t="str">
        <f t="shared" si="493"/>
        <v>11</v>
      </c>
      <c r="R866" s="2" t="str">
        <f t="shared" si="493"/>
        <v>00</v>
      </c>
      <c r="T866" t="str">
        <f t="shared" si="481"/>
        <v>0100000000001100</v>
      </c>
      <c r="V866" s="9" t="str">
        <f t="shared" si="494"/>
        <v>01000000</v>
      </c>
      <c r="W866" s="9" t="str">
        <f t="shared" si="495"/>
        <v>00001100</v>
      </c>
      <c r="X866" s="9" t="str">
        <f t="shared" si="496"/>
        <v>40</v>
      </c>
      <c r="Y866" s="9" t="str">
        <f t="shared" si="497"/>
        <v>0C</v>
      </c>
    </row>
    <row r="867" spans="2:25" x14ac:dyDescent="0.3"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</v>
      </c>
      <c r="I867" s="2">
        <v>1</v>
      </c>
      <c r="K867" s="2" t="str">
        <f t="shared" si="493"/>
        <v>00</v>
      </c>
      <c r="L867" s="2" t="str">
        <f t="shared" si="493"/>
        <v>00</v>
      </c>
      <c r="M867" s="2" t="str">
        <f t="shared" si="493"/>
        <v>00</v>
      </c>
      <c r="N867" s="2" t="str">
        <f t="shared" si="493"/>
        <v>00</v>
      </c>
      <c r="O867" s="2" t="str">
        <f t="shared" si="493"/>
        <v>00</v>
      </c>
      <c r="P867" s="2" t="str">
        <f t="shared" si="493"/>
        <v>00</v>
      </c>
      <c r="Q867" s="2" t="str">
        <f t="shared" si="493"/>
        <v>01</v>
      </c>
      <c r="R867" s="2" t="str">
        <f t="shared" si="493"/>
        <v>01</v>
      </c>
      <c r="T867" t="str">
        <f t="shared" si="481"/>
        <v>0000000000000101</v>
      </c>
      <c r="V867" s="10" t="str">
        <f t="shared" si="494"/>
        <v>00000000</v>
      </c>
      <c r="W867" s="10" t="str">
        <f t="shared" si="495"/>
        <v>00000101</v>
      </c>
      <c r="X867" s="10" t="str">
        <f t="shared" si="496"/>
        <v>00</v>
      </c>
      <c r="Y867" s="10" t="str">
        <f t="shared" si="497"/>
        <v>05</v>
      </c>
    </row>
  </sheetData>
  <conditionalFormatting sqref="B1:I1048576">
    <cfRule type="cellIs" dxfId="7" priority="1" operator="equal">
      <formula>1</formula>
    </cfRule>
    <cfRule type="cellIs" dxfId="6" priority="2" operator="equal">
      <formula>2</formula>
    </cfRule>
    <cfRule type="cellIs" dxfId="5" priority="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5E87-1A92-4450-A4AC-1B7D96517BB0}">
  <dimension ref="A1:I20"/>
  <sheetViews>
    <sheetView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8.21875" customWidth="1"/>
    <col min="2" max="2" width="10.5546875" bestFit="1" customWidth="1"/>
    <col min="3" max="3" width="11.21875" customWidth="1"/>
    <col min="4" max="4" width="5" customWidth="1"/>
    <col min="5" max="5" width="63.5546875" bestFit="1" customWidth="1"/>
    <col min="6" max="6" width="43.5546875" bestFit="1" customWidth="1"/>
    <col min="7" max="7" width="2.77734375" customWidth="1"/>
  </cols>
  <sheetData>
    <row r="1" spans="1:9" ht="43.2" customHeight="1" x14ac:dyDescent="0.3">
      <c r="A1" s="3" t="s">
        <v>125</v>
      </c>
      <c r="B1" s="3" t="s">
        <v>73</v>
      </c>
      <c r="C1" s="3" t="s">
        <v>72</v>
      </c>
      <c r="D1" s="3" t="s">
        <v>71</v>
      </c>
      <c r="E1" s="3" t="s">
        <v>70</v>
      </c>
      <c r="F1" s="3" t="s">
        <v>214</v>
      </c>
      <c r="H1" s="3" t="s">
        <v>74</v>
      </c>
      <c r="I1" s="3" t="s">
        <v>126</v>
      </c>
    </row>
    <row r="2" spans="1:9" x14ac:dyDescent="0.3">
      <c r="A2" s="2">
        <v>0</v>
      </c>
      <c r="B2" s="4" t="s">
        <v>69</v>
      </c>
      <c r="C2" s="2">
        <v>36879</v>
      </c>
      <c r="D2" s="5" t="s">
        <v>52</v>
      </c>
      <c r="E2" s="4" t="s">
        <v>132</v>
      </c>
      <c r="F2" s="4" t="s">
        <v>216</v>
      </c>
      <c r="H2" s="2">
        <v>0</v>
      </c>
      <c r="I2" s="4" t="s">
        <v>122</v>
      </c>
    </row>
    <row r="3" spans="1:9" x14ac:dyDescent="0.3">
      <c r="A3" s="2">
        <v>1</v>
      </c>
      <c r="B3" s="4" t="s">
        <v>68</v>
      </c>
      <c r="C3" s="2">
        <v>36879</v>
      </c>
      <c r="D3" s="5" t="s">
        <v>67</v>
      </c>
      <c r="E3" s="4" t="s">
        <v>66</v>
      </c>
      <c r="F3" s="4" t="s">
        <v>215</v>
      </c>
      <c r="H3" s="2">
        <v>1</v>
      </c>
      <c r="I3" s="4" t="s">
        <v>120</v>
      </c>
    </row>
    <row r="4" spans="1:9" x14ac:dyDescent="0.3">
      <c r="A4" s="2">
        <v>2</v>
      </c>
      <c r="B4" s="4" t="s">
        <v>65</v>
      </c>
      <c r="C4" s="2" t="s">
        <v>64</v>
      </c>
      <c r="D4" s="2">
        <v>10</v>
      </c>
      <c r="E4" s="4" t="s">
        <v>61</v>
      </c>
      <c r="F4" s="4" t="s">
        <v>215</v>
      </c>
      <c r="H4" s="2">
        <v>2</v>
      </c>
      <c r="I4" s="4" t="s">
        <v>118</v>
      </c>
    </row>
    <row r="5" spans="1:9" x14ac:dyDescent="0.3">
      <c r="A5" s="2">
        <v>3</v>
      </c>
      <c r="B5" s="4" t="s">
        <v>62</v>
      </c>
      <c r="C5" s="2">
        <v>36878</v>
      </c>
      <c r="D5" s="2">
        <v>11</v>
      </c>
      <c r="E5" s="4" t="s">
        <v>63</v>
      </c>
      <c r="F5" s="4" t="s">
        <v>213</v>
      </c>
      <c r="H5" s="2">
        <v>3</v>
      </c>
      <c r="I5" s="4" t="s">
        <v>116</v>
      </c>
    </row>
    <row r="6" spans="1:9" x14ac:dyDescent="0.3">
      <c r="H6" s="2">
        <v>4</v>
      </c>
      <c r="I6" s="4" t="s">
        <v>115</v>
      </c>
    </row>
    <row r="7" spans="1:9" x14ac:dyDescent="0.3">
      <c r="H7" s="2">
        <v>5</v>
      </c>
      <c r="I7" s="4" t="s">
        <v>119</v>
      </c>
    </row>
    <row r="8" spans="1:9" x14ac:dyDescent="0.3">
      <c r="H8" s="2">
        <v>6</v>
      </c>
      <c r="I8" s="4" t="s">
        <v>117</v>
      </c>
    </row>
    <row r="9" spans="1:9" x14ac:dyDescent="0.3">
      <c r="D9" s="6"/>
      <c r="H9" s="2">
        <v>7</v>
      </c>
      <c r="I9" s="4" t="s">
        <v>121</v>
      </c>
    </row>
    <row r="10" spans="1:9" x14ac:dyDescent="0.3">
      <c r="A10" s="2"/>
      <c r="B10" s="4"/>
      <c r="C10" s="2"/>
      <c r="D10" s="5"/>
      <c r="H10" s="2">
        <v>8</v>
      </c>
      <c r="I10" s="4" t="s">
        <v>123</v>
      </c>
    </row>
    <row r="11" spans="1:9" x14ac:dyDescent="0.3">
      <c r="A11" s="2"/>
      <c r="B11" s="4"/>
      <c r="C11" s="2"/>
      <c r="D11" s="5"/>
      <c r="E11" s="4"/>
      <c r="F11" s="4"/>
      <c r="H11" s="2">
        <v>9</v>
      </c>
      <c r="I11" s="4" t="s">
        <v>127</v>
      </c>
    </row>
    <row r="12" spans="1:9" x14ac:dyDescent="0.3">
      <c r="A12" s="2"/>
      <c r="B12" s="4"/>
      <c r="C12" s="2"/>
      <c r="D12" s="2"/>
      <c r="F12" s="4"/>
      <c r="H12" s="2">
        <v>10</v>
      </c>
      <c r="I12" s="4" t="s">
        <v>124</v>
      </c>
    </row>
    <row r="13" spans="1:9" x14ac:dyDescent="0.3">
      <c r="A13" s="2"/>
      <c r="B13" s="4"/>
      <c r="C13" s="2"/>
      <c r="D13" s="2"/>
      <c r="E13" s="4"/>
      <c r="F13" s="4"/>
      <c r="H13" s="2">
        <v>11</v>
      </c>
      <c r="I13" s="4" t="s">
        <v>130</v>
      </c>
    </row>
    <row r="14" spans="1:9" x14ac:dyDescent="0.3">
      <c r="H14" s="2">
        <v>12</v>
      </c>
      <c r="I14" s="4" t="s">
        <v>131</v>
      </c>
    </row>
    <row r="15" spans="1:9" x14ac:dyDescent="0.3">
      <c r="H15" s="2">
        <v>13</v>
      </c>
      <c r="I15" s="4" t="s">
        <v>133</v>
      </c>
    </row>
    <row r="16" spans="1:9" x14ac:dyDescent="0.3">
      <c r="H16" s="2">
        <v>14</v>
      </c>
      <c r="I16" s="4" t="s">
        <v>129</v>
      </c>
    </row>
    <row r="17" spans="1:9" x14ac:dyDescent="0.3">
      <c r="A17" s="2"/>
      <c r="H17" s="2">
        <v>15</v>
      </c>
      <c r="I17" s="4" t="s">
        <v>128</v>
      </c>
    </row>
    <row r="18" spans="1:9" x14ac:dyDescent="0.3">
      <c r="A18" s="2"/>
    </row>
    <row r="19" spans="1:9" x14ac:dyDescent="0.3">
      <c r="A19" s="2"/>
    </row>
    <row r="20" spans="1:9" x14ac:dyDescent="0.3">
      <c r="A2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2BD5-711F-4B1A-B798-E22C27B5BC0A}">
  <dimension ref="A1:I8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3" width="12.77734375" customWidth="1"/>
    <col min="7" max="7" width="54.6640625" bestFit="1" customWidth="1"/>
    <col min="8" max="8" width="20.77734375" customWidth="1"/>
    <col min="9" max="9" width="11.109375" bestFit="1" customWidth="1"/>
  </cols>
  <sheetData>
    <row r="1" spans="1:9" ht="54" x14ac:dyDescent="0.3">
      <c r="A1" s="26" t="s">
        <v>66</v>
      </c>
      <c r="B1" s="26" t="s">
        <v>61</v>
      </c>
      <c r="C1" s="26" t="s">
        <v>63</v>
      </c>
    </row>
    <row r="2" spans="1:9" x14ac:dyDescent="0.3">
      <c r="A2" s="7" t="s">
        <v>139</v>
      </c>
      <c r="B2" s="7" t="s">
        <v>140</v>
      </c>
      <c r="C2" s="7" t="s">
        <v>141</v>
      </c>
      <c r="D2" s="7" t="s">
        <v>142</v>
      </c>
      <c r="E2" s="7" t="s">
        <v>143</v>
      </c>
      <c r="F2" s="7" t="s">
        <v>144</v>
      </c>
      <c r="G2" s="7" t="s">
        <v>145</v>
      </c>
      <c r="H2" s="7" t="s">
        <v>146</v>
      </c>
      <c r="I2" s="7" t="s">
        <v>147</v>
      </c>
    </row>
    <row r="3" spans="1:9" x14ac:dyDescent="0.3">
      <c r="A3" t="s">
        <v>116</v>
      </c>
      <c r="B3" t="s">
        <v>119</v>
      </c>
      <c r="C3" t="s">
        <v>120</v>
      </c>
      <c r="D3">
        <f>_xlfn.XLOOKUP(A3,'Vic colour ref'!I:I,'Vic colour ref'!H:H,"")</f>
        <v>3</v>
      </c>
      <c r="E3">
        <f>_xlfn.XLOOKUP(B3,'Vic colour ref'!I:I,'Vic colour ref'!H:H,"")</f>
        <v>5</v>
      </c>
      <c r="F3">
        <f>_xlfn.XLOOKUP(C3,'Vic colour ref'!I:I,'Vic colour ref'!H:H,"")</f>
        <v>1</v>
      </c>
      <c r="G3" t="str">
        <f t="shared" ref="G3:G23" si="0">""""&amp;I3&amp;""": {""code"": ["&amp;D3&amp;","&amp;E3&amp;","&amp;F3&amp;"], ""colours"": ["""&amp;A3&amp;""","""&amp;B3&amp;""","""&amp;C3&amp;"""]},"</f>
        <v>"1": {"code": [3,5,1], "colours": ["cyan","green","white"]},</v>
      </c>
      <c r="H3" t="str">
        <f t="shared" ref="H3:H36" si="1">PROPER(A3)&amp;" "&amp;PROPER(B3)&amp;" "&amp;PROPER(C3)</f>
        <v>Cyan Green White</v>
      </c>
      <c r="I3">
        <v>1</v>
      </c>
    </row>
    <row r="4" spans="1:9" x14ac:dyDescent="0.3">
      <c r="A4" t="s">
        <v>118</v>
      </c>
      <c r="B4" t="s">
        <v>117</v>
      </c>
      <c r="C4" t="s">
        <v>131</v>
      </c>
      <c r="D4">
        <f>_xlfn.XLOOKUP(A4,'Vic colour ref'!I:I,'Vic colour ref'!H:H,"")</f>
        <v>2</v>
      </c>
      <c r="E4">
        <f>_xlfn.XLOOKUP(B4,'Vic colour ref'!I:I,'Vic colour ref'!H:H,"")</f>
        <v>6</v>
      </c>
      <c r="F4">
        <f>_xlfn.XLOOKUP(C4,'Vic colour ref'!I:I,'Vic colour ref'!H:H,"")</f>
        <v>12</v>
      </c>
      <c r="G4" t="str">
        <f t="shared" si="0"/>
        <v>"2": {"code": [2,6,12], "colours": ["red","blue","lt.purple"]},</v>
      </c>
      <c r="H4" t="str">
        <f t="shared" si="1"/>
        <v>Red Blue Lt.Purple</v>
      </c>
      <c r="I4">
        <v>2</v>
      </c>
    </row>
    <row r="5" spans="1:9" x14ac:dyDescent="0.3">
      <c r="A5" t="s">
        <v>115</v>
      </c>
      <c r="B5" t="s">
        <v>116</v>
      </c>
      <c r="C5" t="s">
        <v>120</v>
      </c>
      <c r="D5">
        <f>_xlfn.XLOOKUP(A5,'Vic colour ref'!I:I,'Vic colour ref'!H:H,"")</f>
        <v>4</v>
      </c>
      <c r="E5">
        <f>_xlfn.XLOOKUP(B5,'Vic colour ref'!I:I,'Vic colour ref'!H:H,"")</f>
        <v>3</v>
      </c>
      <c r="F5">
        <f>_xlfn.XLOOKUP(C5,'Vic colour ref'!I:I,'Vic colour ref'!H:H,"")</f>
        <v>1</v>
      </c>
      <c r="G5" t="str">
        <f t="shared" si="0"/>
        <v>"3": {"code": [4,3,1], "colours": ["purple","cyan","white"]},</v>
      </c>
      <c r="H5" t="str">
        <f t="shared" si="1"/>
        <v>Purple Cyan White</v>
      </c>
      <c r="I5">
        <v>3</v>
      </c>
    </row>
    <row r="6" spans="1:9" x14ac:dyDescent="0.3">
      <c r="A6" t="s">
        <v>116</v>
      </c>
      <c r="B6" t="s">
        <v>119</v>
      </c>
      <c r="C6" t="s">
        <v>124</v>
      </c>
      <c r="D6">
        <f>_xlfn.XLOOKUP(A6,'Vic colour ref'!I:I,'Vic colour ref'!H:H,"")</f>
        <v>3</v>
      </c>
      <c r="E6">
        <f>_xlfn.XLOOKUP(B6,'Vic colour ref'!I:I,'Vic colour ref'!H:H,"")</f>
        <v>5</v>
      </c>
      <c r="F6">
        <f>_xlfn.XLOOKUP(C6,'Vic colour ref'!I:I,'Vic colour ref'!H:H,"")</f>
        <v>10</v>
      </c>
      <c r="G6" t="str">
        <f t="shared" si="0"/>
        <v>"4": {"code": [3,5,10], "colours": ["cyan","green","pink"]},</v>
      </c>
      <c r="H6" t="str">
        <f t="shared" si="1"/>
        <v>Cyan Green Pink</v>
      </c>
      <c r="I6">
        <v>4</v>
      </c>
    </row>
    <row r="7" spans="1:9" x14ac:dyDescent="0.3">
      <c r="A7" t="s">
        <v>115</v>
      </c>
      <c r="B7" t="s">
        <v>117</v>
      </c>
      <c r="C7" t="s">
        <v>120</v>
      </c>
      <c r="D7">
        <f>_xlfn.XLOOKUP(A7,'Vic colour ref'!I:I,'Vic colour ref'!H:H,"")</f>
        <v>4</v>
      </c>
      <c r="E7">
        <f>_xlfn.XLOOKUP(B7,'Vic colour ref'!I:I,'Vic colour ref'!H:H,"")</f>
        <v>6</v>
      </c>
      <c r="F7">
        <f>_xlfn.XLOOKUP(C7,'Vic colour ref'!I:I,'Vic colour ref'!H:H,"")</f>
        <v>1</v>
      </c>
      <c r="G7" t="str">
        <f t="shared" si="0"/>
        <v>"5": {"code": [4,6,1], "colours": ["purple","blue","white"]},</v>
      </c>
      <c r="H7" t="str">
        <f t="shared" si="1"/>
        <v>Purple Blue White</v>
      </c>
      <c r="I7">
        <v>5</v>
      </c>
    </row>
    <row r="8" spans="1:9" x14ac:dyDescent="0.3">
      <c r="A8" t="s">
        <v>116</v>
      </c>
      <c r="B8" t="s">
        <v>115</v>
      </c>
      <c r="C8" t="s">
        <v>124</v>
      </c>
      <c r="D8">
        <f>_xlfn.XLOOKUP(A8,'Vic colour ref'!I:I,'Vic colour ref'!H:H,"")</f>
        <v>3</v>
      </c>
      <c r="E8">
        <f>_xlfn.XLOOKUP(B8,'Vic colour ref'!I:I,'Vic colour ref'!H:H,"")</f>
        <v>4</v>
      </c>
      <c r="F8">
        <f>_xlfn.XLOOKUP(C8,'Vic colour ref'!I:I,'Vic colour ref'!H:H,"")</f>
        <v>10</v>
      </c>
      <c r="G8" t="str">
        <f t="shared" si="0"/>
        <v>"6": {"code": [3,4,10], "colours": ["cyan","purple","pink"]},</v>
      </c>
      <c r="H8" t="str">
        <f t="shared" si="1"/>
        <v>Cyan Purple Pink</v>
      </c>
      <c r="I8">
        <v>6</v>
      </c>
    </row>
    <row r="9" spans="1:9" x14ac:dyDescent="0.3">
      <c r="A9" t="s">
        <v>118</v>
      </c>
      <c r="B9" t="s">
        <v>119</v>
      </c>
      <c r="C9" t="s">
        <v>120</v>
      </c>
      <c r="D9">
        <f>_xlfn.XLOOKUP(A9,'Vic colour ref'!I:I,'Vic colour ref'!H:H,"")</f>
        <v>2</v>
      </c>
      <c r="E9">
        <f>_xlfn.XLOOKUP(B9,'Vic colour ref'!I:I,'Vic colour ref'!H:H,"")</f>
        <v>5</v>
      </c>
      <c r="F9">
        <f>_xlfn.XLOOKUP(C9,'Vic colour ref'!I:I,'Vic colour ref'!H:H,"")</f>
        <v>1</v>
      </c>
      <c r="G9" t="str">
        <f t="shared" si="0"/>
        <v>"7": {"code": [2,5,1], "colours": ["red","green","white"]},</v>
      </c>
      <c r="H9" t="str">
        <f t="shared" si="1"/>
        <v>Red Green White</v>
      </c>
      <c r="I9">
        <v>7</v>
      </c>
    </row>
    <row r="10" spans="1:9" x14ac:dyDescent="0.3">
      <c r="A10" t="s">
        <v>116</v>
      </c>
      <c r="B10" t="s">
        <v>117</v>
      </c>
      <c r="C10" t="s">
        <v>124</v>
      </c>
      <c r="D10">
        <f>_xlfn.XLOOKUP(A10,'Vic colour ref'!I:I,'Vic colour ref'!H:H,"")</f>
        <v>3</v>
      </c>
      <c r="E10">
        <f>_xlfn.XLOOKUP(B10,'Vic colour ref'!I:I,'Vic colour ref'!H:H,"")</f>
        <v>6</v>
      </c>
      <c r="F10">
        <f>_xlfn.XLOOKUP(C10,'Vic colour ref'!I:I,'Vic colour ref'!H:H,"")</f>
        <v>10</v>
      </c>
      <c r="G10" t="str">
        <f t="shared" si="0"/>
        <v>"8": {"code": [3,6,10], "colours": ["cyan","blue","pink"]},</v>
      </c>
      <c r="H10" t="str">
        <f t="shared" si="1"/>
        <v>Cyan Blue Pink</v>
      </c>
      <c r="I10">
        <v>8</v>
      </c>
    </row>
    <row r="11" spans="1:9" x14ac:dyDescent="0.3">
      <c r="A11" t="s">
        <v>115</v>
      </c>
      <c r="B11" t="s">
        <v>119</v>
      </c>
      <c r="C11" t="s">
        <v>127</v>
      </c>
      <c r="D11">
        <f>_xlfn.XLOOKUP(A11,'Vic colour ref'!I:I,'Vic colour ref'!H:H,"")</f>
        <v>4</v>
      </c>
      <c r="E11">
        <f>_xlfn.XLOOKUP(B11,'Vic colour ref'!I:I,'Vic colour ref'!H:H,"")</f>
        <v>5</v>
      </c>
      <c r="F11">
        <f>_xlfn.XLOOKUP(C11,'Vic colour ref'!I:I,'Vic colour ref'!H:H,"")</f>
        <v>9</v>
      </c>
      <c r="G11" t="str">
        <f t="shared" si="0"/>
        <v>"9": {"code": [4,5,9], "colours": ["purple","green","lt.orange"]},</v>
      </c>
      <c r="H11" t="str">
        <f t="shared" si="1"/>
        <v>Purple Green Lt.Orange</v>
      </c>
      <c r="I11">
        <v>9</v>
      </c>
    </row>
    <row r="12" spans="1:9" x14ac:dyDescent="0.3">
      <c r="A12" t="s">
        <v>116</v>
      </c>
      <c r="B12" t="s">
        <v>118</v>
      </c>
      <c r="C12" t="s">
        <v>120</v>
      </c>
      <c r="D12">
        <f>_xlfn.XLOOKUP(A12,'Vic colour ref'!I:I,'Vic colour ref'!H:H,"")</f>
        <v>3</v>
      </c>
      <c r="E12">
        <f>_xlfn.XLOOKUP(B12,'Vic colour ref'!I:I,'Vic colour ref'!H:H,"")</f>
        <v>2</v>
      </c>
      <c r="F12">
        <f>_xlfn.XLOOKUP(C12,'Vic colour ref'!I:I,'Vic colour ref'!H:H,"")</f>
        <v>1</v>
      </c>
      <c r="G12" t="str">
        <f t="shared" si="0"/>
        <v>"10": {"code": [3,2,1], "colours": ["cyan","red","white"]},</v>
      </c>
      <c r="H12" t="str">
        <f t="shared" si="1"/>
        <v>Cyan Red White</v>
      </c>
      <c r="I12">
        <v>10</v>
      </c>
    </row>
    <row r="13" spans="1:9" x14ac:dyDescent="0.3">
      <c r="A13" t="s">
        <v>115</v>
      </c>
      <c r="B13" t="s">
        <v>119</v>
      </c>
      <c r="C13" t="s">
        <v>124</v>
      </c>
      <c r="D13">
        <f>_xlfn.XLOOKUP(A13,'Vic colour ref'!I:I,'Vic colour ref'!H:H,"")</f>
        <v>4</v>
      </c>
      <c r="E13">
        <f>_xlfn.XLOOKUP(B13,'Vic colour ref'!I:I,'Vic colour ref'!H:H,"")</f>
        <v>5</v>
      </c>
      <c r="F13">
        <f>_xlfn.XLOOKUP(C13,'Vic colour ref'!I:I,'Vic colour ref'!H:H,"")</f>
        <v>10</v>
      </c>
      <c r="G13" t="str">
        <f t="shared" si="0"/>
        <v>"11": {"code": [4,5,10], "colours": ["purple","green","pink"]},</v>
      </c>
      <c r="H13" t="str">
        <f t="shared" si="1"/>
        <v>Purple Green Pink</v>
      </c>
      <c r="I13">
        <v>11</v>
      </c>
    </row>
    <row r="14" spans="1:9" x14ac:dyDescent="0.3">
      <c r="A14" t="s">
        <v>116</v>
      </c>
      <c r="B14" t="s">
        <v>115</v>
      </c>
      <c r="C14" t="s">
        <v>120</v>
      </c>
      <c r="D14">
        <f>_xlfn.XLOOKUP(A14,'Vic colour ref'!I:I,'Vic colour ref'!H:H,"")</f>
        <v>3</v>
      </c>
      <c r="E14">
        <f>_xlfn.XLOOKUP(B14,'Vic colour ref'!I:I,'Vic colour ref'!H:H,"")</f>
        <v>4</v>
      </c>
      <c r="F14">
        <f>_xlfn.XLOOKUP(C14,'Vic colour ref'!I:I,'Vic colour ref'!H:H,"")</f>
        <v>1</v>
      </c>
      <c r="G14" t="str">
        <f t="shared" si="0"/>
        <v>"12": {"code": [3,4,1], "colours": ["cyan","purple","white"]},</v>
      </c>
      <c r="H14" t="str">
        <f t="shared" si="1"/>
        <v>Cyan Purple White</v>
      </c>
      <c r="I14">
        <v>12</v>
      </c>
    </row>
    <row r="15" spans="1:9" x14ac:dyDescent="0.3">
      <c r="A15" t="s">
        <v>118</v>
      </c>
      <c r="B15" t="s">
        <v>119</v>
      </c>
      <c r="C15" t="s">
        <v>124</v>
      </c>
      <c r="D15">
        <f>_xlfn.XLOOKUP(A15,'Vic colour ref'!I:I,'Vic colour ref'!H:H,"")</f>
        <v>2</v>
      </c>
      <c r="E15">
        <f>_xlfn.XLOOKUP(B15,'Vic colour ref'!I:I,'Vic colour ref'!H:H,"")</f>
        <v>5</v>
      </c>
      <c r="F15">
        <f>_xlfn.XLOOKUP(C15,'Vic colour ref'!I:I,'Vic colour ref'!H:H,"")</f>
        <v>10</v>
      </c>
      <c r="G15" t="str">
        <f t="shared" si="0"/>
        <v>"13": {"code": [2,5,10], "colours": ["red","green","pink"]},</v>
      </c>
      <c r="H15" t="str">
        <f t="shared" si="1"/>
        <v>Red Green Pink</v>
      </c>
      <c r="I15">
        <v>13</v>
      </c>
    </row>
    <row r="16" spans="1:9" x14ac:dyDescent="0.3">
      <c r="A16" t="s">
        <v>119</v>
      </c>
      <c r="B16" t="s">
        <v>116</v>
      </c>
      <c r="C16" t="s">
        <v>120</v>
      </c>
      <c r="D16">
        <f>_xlfn.XLOOKUP(A16,'Vic colour ref'!I:I,'Vic colour ref'!H:H,"")</f>
        <v>5</v>
      </c>
      <c r="E16">
        <f>_xlfn.XLOOKUP(B16,'Vic colour ref'!I:I,'Vic colour ref'!H:H,"")</f>
        <v>3</v>
      </c>
      <c r="F16">
        <f>_xlfn.XLOOKUP(C16,'Vic colour ref'!I:I,'Vic colour ref'!H:H,"")</f>
        <v>1</v>
      </c>
      <c r="G16" t="str">
        <f t="shared" si="0"/>
        <v>"14": {"code": [5,3,1], "colours": ["green","cyan","white"]},</v>
      </c>
      <c r="H16" t="str">
        <f t="shared" si="1"/>
        <v>Green Cyan White</v>
      </c>
      <c r="I16">
        <v>14</v>
      </c>
    </row>
    <row r="17" spans="1:9" x14ac:dyDescent="0.3">
      <c r="A17" t="s">
        <v>116</v>
      </c>
      <c r="B17" t="s">
        <v>118</v>
      </c>
      <c r="C17" t="s">
        <v>124</v>
      </c>
      <c r="D17">
        <f>_xlfn.XLOOKUP(A17,'Vic colour ref'!I:I,'Vic colour ref'!H:H,"")</f>
        <v>3</v>
      </c>
      <c r="E17">
        <f>_xlfn.XLOOKUP(B17,'Vic colour ref'!I:I,'Vic colour ref'!H:H,"")</f>
        <v>2</v>
      </c>
      <c r="F17">
        <f>_xlfn.XLOOKUP(C17,'Vic colour ref'!I:I,'Vic colour ref'!H:H,"")</f>
        <v>10</v>
      </c>
      <c r="G17" t="str">
        <f t="shared" si="0"/>
        <v>"15": {"code": [3,2,10], "colours": ["cyan","red","pink"]},</v>
      </c>
      <c r="H17" t="str">
        <f t="shared" si="1"/>
        <v>Cyan Red Pink</v>
      </c>
      <c r="I17">
        <v>15</v>
      </c>
    </row>
    <row r="18" spans="1:9" x14ac:dyDescent="0.3">
      <c r="A18" t="s">
        <v>119</v>
      </c>
      <c r="B18" t="s">
        <v>115</v>
      </c>
      <c r="C18" t="s">
        <v>120</v>
      </c>
      <c r="D18">
        <f>_xlfn.XLOOKUP(A18,'Vic colour ref'!I:I,'Vic colour ref'!H:H,"")</f>
        <v>5</v>
      </c>
      <c r="E18">
        <f>_xlfn.XLOOKUP(B18,'Vic colour ref'!I:I,'Vic colour ref'!H:H,"")</f>
        <v>4</v>
      </c>
      <c r="F18">
        <f>_xlfn.XLOOKUP(C18,'Vic colour ref'!I:I,'Vic colour ref'!H:H,"")</f>
        <v>1</v>
      </c>
      <c r="G18" t="str">
        <f t="shared" si="0"/>
        <v>"16": {"code": [5,4,1], "colours": ["green","purple","white"]},</v>
      </c>
      <c r="H18" t="str">
        <f t="shared" si="1"/>
        <v>Green Purple White</v>
      </c>
      <c r="I18">
        <v>16</v>
      </c>
    </row>
    <row r="19" spans="1:9" x14ac:dyDescent="0.3">
      <c r="A19" t="s">
        <v>115</v>
      </c>
      <c r="B19" t="s">
        <v>117</v>
      </c>
      <c r="C19" t="s">
        <v>124</v>
      </c>
      <c r="D19">
        <f>_xlfn.XLOOKUP(A19,'Vic colour ref'!I:I,'Vic colour ref'!H:H,"")</f>
        <v>4</v>
      </c>
      <c r="E19">
        <f>_xlfn.XLOOKUP(B19,'Vic colour ref'!I:I,'Vic colour ref'!H:H,"")</f>
        <v>6</v>
      </c>
      <c r="F19">
        <f>_xlfn.XLOOKUP(C19,'Vic colour ref'!I:I,'Vic colour ref'!H:H,"")</f>
        <v>10</v>
      </c>
      <c r="G19" t="str">
        <f t="shared" si="0"/>
        <v>"17": {"code": [4,6,10], "colours": ["purple","blue","pink"]},</v>
      </c>
      <c r="H19" t="str">
        <f t="shared" si="1"/>
        <v>Purple Blue Pink</v>
      </c>
      <c r="I19">
        <v>17</v>
      </c>
    </row>
    <row r="20" spans="1:9" x14ac:dyDescent="0.3">
      <c r="A20" t="s">
        <v>116</v>
      </c>
      <c r="B20" t="s">
        <v>115</v>
      </c>
      <c r="C20" t="s">
        <v>127</v>
      </c>
      <c r="D20">
        <f>_xlfn.XLOOKUP(A20,'Vic colour ref'!I:I,'Vic colour ref'!H:H,"")</f>
        <v>3</v>
      </c>
      <c r="E20">
        <f>_xlfn.XLOOKUP(B20,'Vic colour ref'!I:I,'Vic colour ref'!H:H,"")</f>
        <v>4</v>
      </c>
      <c r="F20">
        <f>_xlfn.XLOOKUP(C20,'Vic colour ref'!I:I,'Vic colour ref'!H:H,"")</f>
        <v>9</v>
      </c>
      <c r="G20" t="str">
        <f t="shared" si="0"/>
        <v>"18": {"code": [3,4,9], "colours": ["cyan","purple","lt.orange"]},</v>
      </c>
      <c r="H20" t="str">
        <f t="shared" si="1"/>
        <v>Cyan Purple Lt.Orange</v>
      </c>
      <c r="I20">
        <v>18</v>
      </c>
    </row>
    <row r="21" spans="1:9" x14ac:dyDescent="0.3">
      <c r="A21" t="s">
        <v>115</v>
      </c>
      <c r="B21" t="s">
        <v>119</v>
      </c>
      <c r="C21" t="s">
        <v>120</v>
      </c>
      <c r="D21">
        <f>_xlfn.XLOOKUP(A21,'Vic colour ref'!I:I,'Vic colour ref'!H:H,"")</f>
        <v>4</v>
      </c>
      <c r="E21">
        <f>_xlfn.XLOOKUP(B21,'Vic colour ref'!I:I,'Vic colour ref'!H:H,"")</f>
        <v>5</v>
      </c>
      <c r="F21">
        <f>_xlfn.XLOOKUP(C21,'Vic colour ref'!I:I,'Vic colour ref'!H:H,"")</f>
        <v>1</v>
      </c>
      <c r="G21" t="str">
        <f t="shared" si="0"/>
        <v>"19": {"code": [4,5,1], "colours": ["purple","green","white"]},</v>
      </c>
      <c r="H21" t="str">
        <f t="shared" si="1"/>
        <v>Purple Green White</v>
      </c>
      <c r="I21">
        <v>19</v>
      </c>
    </row>
    <row r="22" spans="1:9" x14ac:dyDescent="0.3">
      <c r="A22" t="s">
        <v>116</v>
      </c>
      <c r="B22" t="s">
        <v>117</v>
      </c>
      <c r="C22" t="s">
        <v>127</v>
      </c>
      <c r="D22">
        <f>_xlfn.XLOOKUP(A22,'Vic colour ref'!I:I,'Vic colour ref'!H:H,"")</f>
        <v>3</v>
      </c>
      <c r="E22">
        <f>_xlfn.XLOOKUP(B22,'Vic colour ref'!I:I,'Vic colour ref'!H:H,"")</f>
        <v>6</v>
      </c>
      <c r="F22">
        <f>_xlfn.XLOOKUP(C22,'Vic colour ref'!I:I,'Vic colour ref'!H:H,"")</f>
        <v>9</v>
      </c>
      <c r="G22" t="str">
        <f t="shared" si="0"/>
        <v>"20": {"code": [3,6,9], "colours": ["cyan","blue","lt.orange"]},</v>
      </c>
      <c r="H22" t="str">
        <f t="shared" si="1"/>
        <v>Cyan Blue Lt.Orange</v>
      </c>
      <c r="I22">
        <v>20</v>
      </c>
    </row>
    <row r="23" spans="1:9" x14ac:dyDescent="0.3">
      <c r="A23" t="s">
        <v>115</v>
      </c>
      <c r="B23" t="s">
        <v>118</v>
      </c>
      <c r="C23" t="s">
        <v>120</v>
      </c>
      <c r="D23">
        <f>_xlfn.XLOOKUP(A23,'Vic colour ref'!I:I,'Vic colour ref'!H:H,"")</f>
        <v>4</v>
      </c>
      <c r="E23">
        <f>_xlfn.XLOOKUP(B23,'Vic colour ref'!I:I,'Vic colour ref'!H:H,"")</f>
        <v>2</v>
      </c>
      <c r="F23">
        <f>_xlfn.XLOOKUP(C23,'Vic colour ref'!I:I,'Vic colour ref'!H:H,"")</f>
        <v>1</v>
      </c>
      <c r="G23" t="str">
        <f t="shared" si="0"/>
        <v>"21": {"code": [4,2,1], "colours": ["purple","red","white"]},</v>
      </c>
      <c r="H23" t="str">
        <f t="shared" si="1"/>
        <v>Purple Red White</v>
      </c>
      <c r="I23">
        <v>21</v>
      </c>
    </row>
    <row r="25" spans="1:9" x14ac:dyDescent="0.3">
      <c r="A25" t="s">
        <v>120</v>
      </c>
      <c r="B25" t="s">
        <v>117</v>
      </c>
      <c r="C25" t="s">
        <v>131</v>
      </c>
      <c r="D25">
        <f>_xlfn.XLOOKUP(A25,'Vic colour ref'!I:I,'Vic colour ref'!H:H,"")</f>
        <v>1</v>
      </c>
      <c r="E25">
        <f>_xlfn.XLOOKUP(B25,'Vic colour ref'!I:I,'Vic colour ref'!H:H,"")</f>
        <v>6</v>
      </c>
      <c r="F25">
        <f>_xlfn.XLOOKUP(C25,'Vic colour ref'!I:I,'Vic colour ref'!H:H,"")</f>
        <v>12</v>
      </c>
      <c r="G25" t="str">
        <f t="shared" ref="G25" si="2">""""&amp;I25&amp;""": {""code"": ["&amp;D25&amp;","&amp;E25&amp;","&amp;F25&amp;"], ""colours"": ["""&amp;A25&amp;""","""&amp;B25&amp;""","""&amp;C25&amp;"""]},"</f>
        <v>"Not selected": {"code": [1,6,12], "colours": ["white","blue","lt.purple"]},</v>
      </c>
      <c r="H25" t="str">
        <f t="shared" ref="H25" si="3">PROPER(A25)&amp;" "&amp;PROPER(B25)&amp;" "&amp;PROPER(C25)</f>
        <v>White Blue Lt.Purple</v>
      </c>
      <c r="I25" t="s">
        <v>148</v>
      </c>
    </row>
    <row r="26" spans="1:9" x14ac:dyDescent="0.3">
      <c r="A26" t="s">
        <v>120</v>
      </c>
      <c r="B26" t="s">
        <v>118</v>
      </c>
      <c r="C26" t="s">
        <v>127</v>
      </c>
      <c r="D26">
        <f>_xlfn.XLOOKUP(A26,'Vic colour ref'!I:I,'Vic colour ref'!H:H,"")</f>
        <v>1</v>
      </c>
      <c r="E26">
        <f>_xlfn.XLOOKUP(B26,'Vic colour ref'!I:I,'Vic colour ref'!H:H,"")</f>
        <v>2</v>
      </c>
      <c r="F26">
        <f>_xlfn.XLOOKUP(C26,'Vic colour ref'!I:I,'Vic colour ref'!H:H,"")</f>
        <v>9</v>
      </c>
      <c r="G26" t="str">
        <f t="shared" ref="G26:G56" si="4">""""&amp;I26&amp;""": {""code"": ["&amp;D26&amp;","&amp;E26&amp;","&amp;F26&amp;"], ""colours"": ["""&amp;A26&amp;""","""&amp;B26&amp;""","""&amp;C26&amp;"""]},"</f>
        <v>"Not selected": {"code": [1,2,9], "colours": ["white","red","lt.orange"]},</v>
      </c>
      <c r="H26" t="str">
        <f t="shared" si="1"/>
        <v>White Red Lt.Orange</v>
      </c>
      <c r="I26" t="s">
        <v>148</v>
      </c>
    </row>
    <row r="27" spans="1:9" x14ac:dyDescent="0.3">
      <c r="A27" t="s">
        <v>120</v>
      </c>
      <c r="B27" t="s">
        <v>118</v>
      </c>
      <c r="C27" t="s">
        <v>124</v>
      </c>
      <c r="D27">
        <f>_xlfn.XLOOKUP(A27,'Vic colour ref'!I:I,'Vic colour ref'!H:H,"")</f>
        <v>1</v>
      </c>
      <c r="E27">
        <f>_xlfn.XLOOKUP(B27,'Vic colour ref'!I:I,'Vic colour ref'!H:H,"")</f>
        <v>2</v>
      </c>
      <c r="F27">
        <f>_xlfn.XLOOKUP(C27,'Vic colour ref'!I:I,'Vic colour ref'!H:H,"")</f>
        <v>10</v>
      </c>
      <c r="G27" t="str">
        <f t="shared" si="4"/>
        <v>"Not selected": {"code": [1,2,10], "colours": ["white","red","pink"]},</v>
      </c>
      <c r="H27" t="str">
        <f t="shared" si="1"/>
        <v>White Red Pink</v>
      </c>
      <c r="I27" t="s">
        <v>148</v>
      </c>
    </row>
    <row r="28" spans="1:9" x14ac:dyDescent="0.3">
      <c r="A28" t="s">
        <v>120</v>
      </c>
      <c r="B28" t="s">
        <v>118</v>
      </c>
      <c r="C28" t="s">
        <v>130</v>
      </c>
      <c r="D28">
        <f>_xlfn.XLOOKUP(A28,'Vic colour ref'!I:I,'Vic colour ref'!H:H,"")</f>
        <v>1</v>
      </c>
      <c r="E28">
        <f>_xlfn.XLOOKUP(B28,'Vic colour ref'!I:I,'Vic colour ref'!H:H,"")</f>
        <v>2</v>
      </c>
      <c r="F28">
        <f>_xlfn.XLOOKUP(C28,'Vic colour ref'!I:I,'Vic colour ref'!H:H,"")</f>
        <v>11</v>
      </c>
      <c r="G28" t="str">
        <f t="shared" si="4"/>
        <v>"Not selected": {"code": [1,2,11], "colours": ["white","red","lt.cyan"]},</v>
      </c>
      <c r="H28" t="str">
        <f t="shared" si="1"/>
        <v>White Red Lt.Cyan</v>
      </c>
      <c r="I28" t="s">
        <v>148</v>
      </c>
    </row>
    <row r="29" spans="1:9" x14ac:dyDescent="0.3">
      <c r="A29" t="s">
        <v>120</v>
      </c>
      <c r="B29" t="s">
        <v>118</v>
      </c>
      <c r="C29" t="s">
        <v>131</v>
      </c>
      <c r="D29">
        <f>_xlfn.XLOOKUP(A29,'Vic colour ref'!I:I,'Vic colour ref'!H:H,"")</f>
        <v>1</v>
      </c>
      <c r="E29">
        <f>_xlfn.XLOOKUP(B29,'Vic colour ref'!I:I,'Vic colour ref'!H:H,"")</f>
        <v>2</v>
      </c>
      <c r="F29">
        <f>_xlfn.XLOOKUP(C29,'Vic colour ref'!I:I,'Vic colour ref'!H:H,"")</f>
        <v>12</v>
      </c>
      <c r="G29" t="str">
        <f t="shared" si="4"/>
        <v>"Not selected": {"code": [1,2,12], "colours": ["white","red","lt.purple"]},</v>
      </c>
      <c r="H29" t="str">
        <f t="shared" si="1"/>
        <v>White Red Lt.Purple</v>
      </c>
      <c r="I29" t="s">
        <v>148</v>
      </c>
    </row>
    <row r="30" spans="1:9" x14ac:dyDescent="0.3">
      <c r="A30" t="s">
        <v>120</v>
      </c>
      <c r="B30" t="s">
        <v>118</v>
      </c>
      <c r="C30" t="s">
        <v>129</v>
      </c>
      <c r="D30">
        <f>_xlfn.XLOOKUP(A30,'Vic colour ref'!I:I,'Vic colour ref'!H:H,"")</f>
        <v>1</v>
      </c>
      <c r="E30">
        <f>_xlfn.XLOOKUP(B30,'Vic colour ref'!I:I,'Vic colour ref'!H:H,"")</f>
        <v>2</v>
      </c>
      <c r="F30">
        <f>_xlfn.XLOOKUP(C30,'Vic colour ref'!I:I,'Vic colour ref'!H:H,"")</f>
        <v>14</v>
      </c>
      <c r="G30" t="str">
        <f t="shared" si="4"/>
        <v>"Not selected": {"code": [1,2,14], "colours": ["white","red","lt.blue"]},</v>
      </c>
      <c r="H30" t="str">
        <f t="shared" si="1"/>
        <v>White Red Lt.Blue</v>
      </c>
      <c r="I30" t="s">
        <v>148</v>
      </c>
    </row>
    <row r="31" spans="1:9" x14ac:dyDescent="0.3">
      <c r="A31" t="s">
        <v>120</v>
      </c>
      <c r="B31" t="s">
        <v>115</v>
      </c>
      <c r="C31" t="s">
        <v>127</v>
      </c>
      <c r="D31">
        <f>_xlfn.XLOOKUP(A31,'Vic colour ref'!I:I,'Vic colour ref'!H:H,"")</f>
        <v>1</v>
      </c>
      <c r="E31">
        <f>_xlfn.XLOOKUP(B31,'Vic colour ref'!I:I,'Vic colour ref'!H:H,"")</f>
        <v>4</v>
      </c>
      <c r="F31">
        <f>_xlfn.XLOOKUP(C31,'Vic colour ref'!I:I,'Vic colour ref'!H:H,"")</f>
        <v>9</v>
      </c>
      <c r="G31" t="str">
        <f t="shared" si="4"/>
        <v>"Not selected": {"code": [1,4,9], "colours": ["white","purple","lt.orange"]},</v>
      </c>
      <c r="H31" t="str">
        <f t="shared" si="1"/>
        <v>White Purple Lt.Orange</v>
      </c>
      <c r="I31" t="s">
        <v>148</v>
      </c>
    </row>
    <row r="32" spans="1:9" x14ac:dyDescent="0.3">
      <c r="A32" t="s">
        <v>120</v>
      </c>
      <c r="B32" t="s">
        <v>115</v>
      </c>
      <c r="C32" t="s">
        <v>124</v>
      </c>
      <c r="D32">
        <f>_xlfn.XLOOKUP(A32,'Vic colour ref'!I:I,'Vic colour ref'!H:H,"")</f>
        <v>1</v>
      </c>
      <c r="E32">
        <f>_xlfn.XLOOKUP(B32,'Vic colour ref'!I:I,'Vic colour ref'!H:H,"")</f>
        <v>4</v>
      </c>
      <c r="F32">
        <f>_xlfn.XLOOKUP(C32,'Vic colour ref'!I:I,'Vic colour ref'!H:H,"")</f>
        <v>10</v>
      </c>
      <c r="G32" t="str">
        <f t="shared" si="4"/>
        <v>"Not selected": {"code": [1,4,10], "colours": ["white","purple","pink"]},</v>
      </c>
      <c r="H32" t="str">
        <f t="shared" si="1"/>
        <v>White Purple Pink</v>
      </c>
      <c r="I32" t="s">
        <v>148</v>
      </c>
    </row>
    <row r="33" spans="1:9" x14ac:dyDescent="0.3">
      <c r="A33" t="s">
        <v>120</v>
      </c>
      <c r="B33" t="s">
        <v>115</v>
      </c>
      <c r="C33" t="s">
        <v>130</v>
      </c>
      <c r="D33">
        <f>_xlfn.XLOOKUP(A33,'Vic colour ref'!I:I,'Vic colour ref'!H:H,"")</f>
        <v>1</v>
      </c>
      <c r="E33">
        <f>_xlfn.XLOOKUP(B33,'Vic colour ref'!I:I,'Vic colour ref'!H:H,"")</f>
        <v>4</v>
      </c>
      <c r="F33">
        <f>_xlfn.XLOOKUP(C33,'Vic colour ref'!I:I,'Vic colour ref'!H:H,"")</f>
        <v>11</v>
      </c>
      <c r="G33" t="str">
        <f t="shared" si="4"/>
        <v>"Not selected": {"code": [1,4,11], "colours": ["white","purple","lt.cyan"]},</v>
      </c>
      <c r="H33" t="str">
        <f t="shared" si="1"/>
        <v>White Purple Lt.Cyan</v>
      </c>
      <c r="I33" t="s">
        <v>148</v>
      </c>
    </row>
    <row r="34" spans="1:9" x14ac:dyDescent="0.3">
      <c r="A34" t="s">
        <v>120</v>
      </c>
      <c r="B34" t="s">
        <v>115</v>
      </c>
      <c r="C34" t="s">
        <v>129</v>
      </c>
      <c r="D34">
        <f>_xlfn.XLOOKUP(A34,'Vic colour ref'!I:I,'Vic colour ref'!H:H,"")</f>
        <v>1</v>
      </c>
      <c r="E34">
        <f>_xlfn.XLOOKUP(B34,'Vic colour ref'!I:I,'Vic colour ref'!H:H,"")</f>
        <v>4</v>
      </c>
      <c r="F34">
        <f>_xlfn.XLOOKUP(C34,'Vic colour ref'!I:I,'Vic colour ref'!H:H,"")</f>
        <v>14</v>
      </c>
      <c r="G34" t="str">
        <f t="shared" si="4"/>
        <v>"Not selected": {"code": [1,4,14], "colours": ["white","purple","lt.blue"]},</v>
      </c>
      <c r="H34" t="str">
        <f t="shared" si="1"/>
        <v>White Purple Lt.Blue</v>
      </c>
      <c r="I34" t="s">
        <v>148</v>
      </c>
    </row>
    <row r="35" spans="1:9" x14ac:dyDescent="0.3">
      <c r="A35" t="s">
        <v>120</v>
      </c>
      <c r="B35" t="s">
        <v>119</v>
      </c>
      <c r="C35" t="s">
        <v>127</v>
      </c>
      <c r="D35">
        <f>_xlfn.XLOOKUP(A35,'Vic colour ref'!I:I,'Vic colour ref'!H:H,"")</f>
        <v>1</v>
      </c>
      <c r="E35">
        <f>_xlfn.XLOOKUP(B35,'Vic colour ref'!I:I,'Vic colour ref'!H:H,"")</f>
        <v>5</v>
      </c>
      <c r="F35">
        <f>_xlfn.XLOOKUP(C35,'Vic colour ref'!I:I,'Vic colour ref'!H:H,"")</f>
        <v>9</v>
      </c>
      <c r="G35" t="str">
        <f t="shared" si="4"/>
        <v>"Not selected": {"code": [1,5,9], "colours": ["white","green","lt.orange"]},</v>
      </c>
      <c r="H35" t="str">
        <f t="shared" si="1"/>
        <v>White Green Lt.Orange</v>
      </c>
      <c r="I35" t="s">
        <v>148</v>
      </c>
    </row>
    <row r="36" spans="1:9" x14ac:dyDescent="0.3">
      <c r="A36" t="s">
        <v>120</v>
      </c>
      <c r="B36" t="s">
        <v>119</v>
      </c>
      <c r="C36" t="s">
        <v>124</v>
      </c>
      <c r="D36">
        <f>_xlfn.XLOOKUP(A36,'Vic colour ref'!I:I,'Vic colour ref'!H:H,"")</f>
        <v>1</v>
      </c>
      <c r="E36">
        <f>_xlfn.XLOOKUP(B36,'Vic colour ref'!I:I,'Vic colour ref'!H:H,"")</f>
        <v>5</v>
      </c>
      <c r="F36">
        <f>_xlfn.XLOOKUP(C36,'Vic colour ref'!I:I,'Vic colour ref'!H:H,"")</f>
        <v>10</v>
      </c>
      <c r="G36" t="str">
        <f t="shared" si="4"/>
        <v>"Not selected": {"code": [1,5,10], "colours": ["white","green","pink"]},</v>
      </c>
      <c r="H36" t="str">
        <f t="shared" si="1"/>
        <v>White Green Pink</v>
      </c>
      <c r="I36" t="s">
        <v>148</v>
      </c>
    </row>
    <row r="37" spans="1:9" x14ac:dyDescent="0.3">
      <c r="A37" t="s">
        <v>120</v>
      </c>
      <c r="B37" t="s">
        <v>119</v>
      </c>
      <c r="C37" t="s">
        <v>130</v>
      </c>
      <c r="D37">
        <f>_xlfn.XLOOKUP(A37,'Vic colour ref'!I:I,'Vic colour ref'!H:H,"")</f>
        <v>1</v>
      </c>
      <c r="E37">
        <f>_xlfn.XLOOKUP(B37,'Vic colour ref'!I:I,'Vic colour ref'!H:H,"")</f>
        <v>5</v>
      </c>
      <c r="F37">
        <f>_xlfn.XLOOKUP(C37,'Vic colour ref'!I:I,'Vic colour ref'!H:H,"")</f>
        <v>11</v>
      </c>
      <c r="G37" t="str">
        <f t="shared" si="4"/>
        <v>"Not selected": {"code": [1,5,11], "colours": ["white","green","lt.cyan"]},</v>
      </c>
      <c r="H37" t="str">
        <f t="shared" ref="H37:H67" si="5">PROPER(A37)&amp;" "&amp;PROPER(B37)&amp;" "&amp;PROPER(C37)</f>
        <v>White Green Lt.Cyan</v>
      </c>
      <c r="I37" t="s">
        <v>148</v>
      </c>
    </row>
    <row r="38" spans="1:9" x14ac:dyDescent="0.3">
      <c r="A38" t="s">
        <v>120</v>
      </c>
      <c r="B38" t="s">
        <v>119</v>
      </c>
      <c r="C38" t="s">
        <v>131</v>
      </c>
      <c r="D38">
        <f>_xlfn.XLOOKUP(A38,'Vic colour ref'!I:I,'Vic colour ref'!H:H,"")</f>
        <v>1</v>
      </c>
      <c r="E38">
        <f>_xlfn.XLOOKUP(B38,'Vic colour ref'!I:I,'Vic colour ref'!H:H,"")</f>
        <v>5</v>
      </c>
      <c r="F38">
        <f>_xlfn.XLOOKUP(C38,'Vic colour ref'!I:I,'Vic colour ref'!H:H,"")</f>
        <v>12</v>
      </c>
      <c r="G38" t="str">
        <f t="shared" si="4"/>
        <v>"Not selected": {"code": [1,5,12], "colours": ["white","green","lt.purple"]},</v>
      </c>
      <c r="H38" t="str">
        <f t="shared" si="5"/>
        <v>White Green Lt.Purple</v>
      </c>
      <c r="I38" t="s">
        <v>148</v>
      </c>
    </row>
    <row r="39" spans="1:9" x14ac:dyDescent="0.3">
      <c r="A39" t="s">
        <v>120</v>
      </c>
      <c r="B39" t="s">
        <v>119</v>
      </c>
      <c r="C39" t="s">
        <v>129</v>
      </c>
      <c r="D39">
        <f>_xlfn.XLOOKUP(A39,'Vic colour ref'!I:I,'Vic colour ref'!H:H,"")</f>
        <v>1</v>
      </c>
      <c r="E39">
        <f>_xlfn.XLOOKUP(B39,'Vic colour ref'!I:I,'Vic colour ref'!H:H,"")</f>
        <v>5</v>
      </c>
      <c r="F39">
        <f>_xlfn.XLOOKUP(C39,'Vic colour ref'!I:I,'Vic colour ref'!H:H,"")</f>
        <v>14</v>
      </c>
      <c r="G39" t="str">
        <f t="shared" si="4"/>
        <v>"Not selected": {"code": [1,5,14], "colours": ["white","green","lt.blue"]},</v>
      </c>
      <c r="H39" t="str">
        <f t="shared" si="5"/>
        <v>White Green Lt.Blue</v>
      </c>
      <c r="I39" t="s">
        <v>148</v>
      </c>
    </row>
    <row r="40" spans="1:9" x14ac:dyDescent="0.3">
      <c r="A40" t="s">
        <v>120</v>
      </c>
      <c r="B40" t="s">
        <v>117</v>
      </c>
      <c r="C40" t="s">
        <v>127</v>
      </c>
      <c r="D40">
        <f>_xlfn.XLOOKUP(A40,'Vic colour ref'!I:I,'Vic colour ref'!H:H,"")</f>
        <v>1</v>
      </c>
      <c r="E40">
        <f>_xlfn.XLOOKUP(B40,'Vic colour ref'!I:I,'Vic colour ref'!H:H,"")</f>
        <v>6</v>
      </c>
      <c r="F40">
        <f>_xlfn.XLOOKUP(C40,'Vic colour ref'!I:I,'Vic colour ref'!H:H,"")</f>
        <v>9</v>
      </c>
      <c r="G40" t="str">
        <f t="shared" si="4"/>
        <v>"Not selected": {"code": [1,6,9], "colours": ["white","blue","lt.orange"]},</v>
      </c>
      <c r="H40" t="str">
        <f t="shared" si="5"/>
        <v>White Blue Lt.Orange</v>
      </c>
      <c r="I40" t="s">
        <v>148</v>
      </c>
    </row>
    <row r="41" spans="1:9" x14ac:dyDescent="0.3">
      <c r="A41" t="s">
        <v>120</v>
      </c>
      <c r="B41" t="s">
        <v>117</v>
      </c>
      <c r="C41" t="s">
        <v>124</v>
      </c>
      <c r="D41">
        <f>_xlfn.XLOOKUP(A41,'Vic colour ref'!I:I,'Vic colour ref'!H:H,"")</f>
        <v>1</v>
      </c>
      <c r="E41">
        <f>_xlfn.XLOOKUP(B41,'Vic colour ref'!I:I,'Vic colour ref'!H:H,"")</f>
        <v>6</v>
      </c>
      <c r="F41">
        <f>_xlfn.XLOOKUP(C41,'Vic colour ref'!I:I,'Vic colour ref'!H:H,"")</f>
        <v>10</v>
      </c>
      <c r="G41" t="str">
        <f t="shared" si="4"/>
        <v>"Not selected": {"code": [1,6,10], "colours": ["white","blue","pink"]},</v>
      </c>
      <c r="H41" t="str">
        <f t="shared" si="5"/>
        <v>White Blue Pink</v>
      </c>
      <c r="I41" t="s">
        <v>148</v>
      </c>
    </row>
    <row r="42" spans="1:9" x14ac:dyDescent="0.3">
      <c r="A42" t="s">
        <v>120</v>
      </c>
      <c r="B42" t="s">
        <v>117</v>
      </c>
      <c r="C42" t="s">
        <v>130</v>
      </c>
      <c r="D42">
        <f>_xlfn.XLOOKUP(A42,'Vic colour ref'!I:I,'Vic colour ref'!H:H,"")</f>
        <v>1</v>
      </c>
      <c r="E42">
        <f>_xlfn.XLOOKUP(B42,'Vic colour ref'!I:I,'Vic colour ref'!H:H,"")</f>
        <v>6</v>
      </c>
      <c r="F42">
        <f>_xlfn.XLOOKUP(C42,'Vic colour ref'!I:I,'Vic colour ref'!H:H,"")</f>
        <v>11</v>
      </c>
      <c r="G42" t="str">
        <f t="shared" si="4"/>
        <v>"Not selected": {"code": [1,6,11], "colours": ["white","blue","lt.cyan"]},</v>
      </c>
      <c r="H42" t="str">
        <f t="shared" si="5"/>
        <v>White Blue Lt.Cyan</v>
      </c>
      <c r="I42" t="s">
        <v>148</v>
      </c>
    </row>
    <row r="43" spans="1:9" x14ac:dyDescent="0.3">
      <c r="A43" t="s">
        <v>118</v>
      </c>
      <c r="B43" t="s">
        <v>116</v>
      </c>
      <c r="C43" t="s">
        <v>120</v>
      </c>
      <c r="D43">
        <f>_xlfn.XLOOKUP(A43,'Vic colour ref'!I:I,'Vic colour ref'!H:H,"")</f>
        <v>2</v>
      </c>
      <c r="E43">
        <f>_xlfn.XLOOKUP(B43,'Vic colour ref'!I:I,'Vic colour ref'!H:H,"")</f>
        <v>3</v>
      </c>
      <c r="F43">
        <f>_xlfn.XLOOKUP(C43,'Vic colour ref'!I:I,'Vic colour ref'!H:H,"")</f>
        <v>1</v>
      </c>
      <c r="G43" t="str">
        <f t="shared" si="4"/>
        <v>"Not selected": {"code": [2,3,1], "colours": ["red","cyan","white"]},</v>
      </c>
      <c r="H43" t="str">
        <f t="shared" si="5"/>
        <v>Red Cyan White</v>
      </c>
      <c r="I43" t="s">
        <v>148</v>
      </c>
    </row>
    <row r="44" spans="1:9" x14ac:dyDescent="0.3">
      <c r="A44" t="s">
        <v>118</v>
      </c>
      <c r="B44" t="s">
        <v>115</v>
      </c>
      <c r="C44" t="s">
        <v>120</v>
      </c>
      <c r="D44">
        <f>_xlfn.XLOOKUP(A44,'Vic colour ref'!I:I,'Vic colour ref'!H:H,"")</f>
        <v>2</v>
      </c>
      <c r="E44">
        <f>_xlfn.XLOOKUP(B44,'Vic colour ref'!I:I,'Vic colour ref'!H:H,"")</f>
        <v>4</v>
      </c>
      <c r="F44">
        <f>_xlfn.XLOOKUP(C44,'Vic colour ref'!I:I,'Vic colour ref'!H:H,"")</f>
        <v>1</v>
      </c>
      <c r="G44" t="str">
        <f t="shared" si="4"/>
        <v>"Not selected": {"code": [2,4,1], "colours": ["red","purple","white"]},</v>
      </c>
      <c r="H44" t="str">
        <f t="shared" si="5"/>
        <v>Red Purple White</v>
      </c>
      <c r="I44" t="s">
        <v>148</v>
      </c>
    </row>
    <row r="45" spans="1:9" x14ac:dyDescent="0.3">
      <c r="A45" t="s">
        <v>118</v>
      </c>
      <c r="B45" t="s">
        <v>115</v>
      </c>
      <c r="C45" t="s">
        <v>127</v>
      </c>
      <c r="D45">
        <f>_xlfn.XLOOKUP(A45,'Vic colour ref'!I:I,'Vic colour ref'!H:H,"")</f>
        <v>2</v>
      </c>
      <c r="E45">
        <f>_xlfn.XLOOKUP(B45,'Vic colour ref'!I:I,'Vic colour ref'!H:H,"")</f>
        <v>4</v>
      </c>
      <c r="F45">
        <f>_xlfn.XLOOKUP(C45,'Vic colour ref'!I:I,'Vic colour ref'!H:H,"")</f>
        <v>9</v>
      </c>
      <c r="G45" t="str">
        <f t="shared" si="4"/>
        <v>"Not selected": {"code": [2,4,9], "colours": ["red","purple","lt.orange"]},</v>
      </c>
      <c r="H45" t="str">
        <f t="shared" si="5"/>
        <v>Red Purple Lt.Orange</v>
      </c>
      <c r="I45" t="s">
        <v>148</v>
      </c>
    </row>
    <row r="46" spans="1:9" x14ac:dyDescent="0.3">
      <c r="A46" t="s">
        <v>118</v>
      </c>
      <c r="B46" t="s">
        <v>115</v>
      </c>
      <c r="C46" t="s">
        <v>124</v>
      </c>
      <c r="D46">
        <f>_xlfn.XLOOKUP(A46,'Vic colour ref'!I:I,'Vic colour ref'!H:H,"")</f>
        <v>2</v>
      </c>
      <c r="E46">
        <f>_xlfn.XLOOKUP(B46,'Vic colour ref'!I:I,'Vic colour ref'!H:H,"")</f>
        <v>4</v>
      </c>
      <c r="F46">
        <f>_xlfn.XLOOKUP(C46,'Vic colour ref'!I:I,'Vic colour ref'!H:H,"")</f>
        <v>10</v>
      </c>
      <c r="G46" t="str">
        <f t="shared" si="4"/>
        <v>"Not selected": {"code": [2,4,10], "colours": ["red","purple","pink"]},</v>
      </c>
      <c r="H46" t="str">
        <f t="shared" si="5"/>
        <v>Red Purple Pink</v>
      </c>
      <c r="I46" t="s">
        <v>148</v>
      </c>
    </row>
    <row r="47" spans="1:9" x14ac:dyDescent="0.3">
      <c r="A47" t="s">
        <v>118</v>
      </c>
      <c r="B47" t="s">
        <v>115</v>
      </c>
      <c r="C47" t="s">
        <v>130</v>
      </c>
      <c r="D47">
        <f>_xlfn.XLOOKUP(A47,'Vic colour ref'!I:I,'Vic colour ref'!H:H,"")</f>
        <v>2</v>
      </c>
      <c r="E47">
        <f>_xlfn.XLOOKUP(B47,'Vic colour ref'!I:I,'Vic colour ref'!H:H,"")</f>
        <v>4</v>
      </c>
      <c r="F47">
        <f>_xlfn.XLOOKUP(C47,'Vic colour ref'!I:I,'Vic colour ref'!H:H,"")</f>
        <v>11</v>
      </c>
      <c r="G47" t="str">
        <f t="shared" si="4"/>
        <v>"Not selected": {"code": [2,4,11], "colours": ["red","purple","lt.cyan"]},</v>
      </c>
      <c r="H47" t="str">
        <f t="shared" si="5"/>
        <v>Red Purple Lt.Cyan</v>
      </c>
      <c r="I47" t="s">
        <v>148</v>
      </c>
    </row>
    <row r="48" spans="1:9" x14ac:dyDescent="0.3">
      <c r="A48" t="s">
        <v>118</v>
      </c>
      <c r="B48" t="s">
        <v>115</v>
      </c>
      <c r="C48" t="s">
        <v>129</v>
      </c>
      <c r="D48">
        <f>_xlfn.XLOOKUP(A48,'Vic colour ref'!I:I,'Vic colour ref'!H:H,"")</f>
        <v>2</v>
      </c>
      <c r="E48">
        <f>_xlfn.XLOOKUP(B48,'Vic colour ref'!I:I,'Vic colour ref'!H:H,"")</f>
        <v>4</v>
      </c>
      <c r="F48">
        <f>_xlfn.XLOOKUP(C48,'Vic colour ref'!I:I,'Vic colour ref'!H:H,"")</f>
        <v>14</v>
      </c>
      <c r="G48" t="str">
        <f t="shared" si="4"/>
        <v>"Not selected": {"code": [2,4,14], "colours": ["red","purple","lt.blue"]},</v>
      </c>
      <c r="H48" t="str">
        <f t="shared" si="5"/>
        <v>Red Purple Lt.Blue</v>
      </c>
      <c r="I48" t="s">
        <v>148</v>
      </c>
    </row>
    <row r="49" spans="1:9" x14ac:dyDescent="0.3">
      <c r="A49" t="s">
        <v>118</v>
      </c>
      <c r="B49" t="s">
        <v>119</v>
      </c>
      <c r="C49" t="s">
        <v>127</v>
      </c>
      <c r="D49">
        <f>_xlfn.XLOOKUP(A49,'Vic colour ref'!I:I,'Vic colour ref'!H:H,"")</f>
        <v>2</v>
      </c>
      <c r="E49">
        <f>_xlfn.XLOOKUP(B49,'Vic colour ref'!I:I,'Vic colour ref'!H:H,"")</f>
        <v>5</v>
      </c>
      <c r="F49">
        <f>_xlfn.XLOOKUP(C49,'Vic colour ref'!I:I,'Vic colour ref'!H:H,"")</f>
        <v>9</v>
      </c>
      <c r="G49" t="str">
        <f t="shared" si="4"/>
        <v>"Not selected": {"code": [2,5,9], "colours": ["red","green","lt.orange"]},</v>
      </c>
      <c r="H49" t="str">
        <f t="shared" si="5"/>
        <v>Red Green Lt.Orange</v>
      </c>
      <c r="I49" t="s">
        <v>148</v>
      </c>
    </row>
    <row r="50" spans="1:9" x14ac:dyDescent="0.3">
      <c r="A50" t="s">
        <v>118</v>
      </c>
      <c r="B50" t="s">
        <v>119</v>
      </c>
      <c r="C50" t="s">
        <v>130</v>
      </c>
      <c r="D50">
        <f>_xlfn.XLOOKUP(A50,'Vic colour ref'!I:I,'Vic colour ref'!H:H,"")</f>
        <v>2</v>
      </c>
      <c r="E50">
        <f>_xlfn.XLOOKUP(B50,'Vic colour ref'!I:I,'Vic colour ref'!H:H,"")</f>
        <v>5</v>
      </c>
      <c r="F50">
        <f>_xlfn.XLOOKUP(C50,'Vic colour ref'!I:I,'Vic colour ref'!H:H,"")</f>
        <v>11</v>
      </c>
      <c r="G50" t="str">
        <f t="shared" si="4"/>
        <v>"Not selected": {"code": [2,5,11], "colours": ["red","green","lt.cyan"]},</v>
      </c>
      <c r="H50" t="str">
        <f t="shared" si="5"/>
        <v>Red Green Lt.Cyan</v>
      </c>
      <c r="I50" t="s">
        <v>148</v>
      </c>
    </row>
    <row r="51" spans="1:9" x14ac:dyDescent="0.3">
      <c r="A51" t="s">
        <v>118</v>
      </c>
      <c r="B51" t="s">
        <v>119</v>
      </c>
      <c r="C51" t="s">
        <v>131</v>
      </c>
      <c r="D51">
        <f>_xlfn.XLOOKUP(A51,'Vic colour ref'!I:I,'Vic colour ref'!H:H,"")</f>
        <v>2</v>
      </c>
      <c r="E51">
        <f>_xlfn.XLOOKUP(B51,'Vic colour ref'!I:I,'Vic colour ref'!H:H,"")</f>
        <v>5</v>
      </c>
      <c r="F51">
        <f>_xlfn.XLOOKUP(C51,'Vic colour ref'!I:I,'Vic colour ref'!H:H,"")</f>
        <v>12</v>
      </c>
      <c r="G51" t="str">
        <f t="shared" si="4"/>
        <v>"Not selected": {"code": [2,5,12], "colours": ["red","green","lt.purple"]},</v>
      </c>
      <c r="H51" t="str">
        <f t="shared" si="5"/>
        <v>Red Green Lt.Purple</v>
      </c>
      <c r="I51" t="s">
        <v>148</v>
      </c>
    </row>
    <row r="52" spans="1:9" x14ac:dyDescent="0.3">
      <c r="A52" t="s">
        <v>118</v>
      </c>
      <c r="B52" t="s">
        <v>119</v>
      </c>
      <c r="C52" t="s">
        <v>129</v>
      </c>
      <c r="D52">
        <f>_xlfn.XLOOKUP(A52,'Vic colour ref'!I:I,'Vic colour ref'!H:H,"")</f>
        <v>2</v>
      </c>
      <c r="E52">
        <f>_xlfn.XLOOKUP(B52,'Vic colour ref'!I:I,'Vic colour ref'!H:H,"")</f>
        <v>5</v>
      </c>
      <c r="F52">
        <f>_xlfn.XLOOKUP(C52,'Vic colour ref'!I:I,'Vic colour ref'!H:H,"")</f>
        <v>14</v>
      </c>
      <c r="G52" t="str">
        <f t="shared" si="4"/>
        <v>"Not selected": {"code": [2,5,14], "colours": ["red","green","lt.blue"]},</v>
      </c>
      <c r="H52" t="str">
        <f t="shared" si="5"/>
        <v>Red Green Lt.Blue</v>
      </c>
      <c r="I52" t="s">
        <v>148</v>
      </c>
    </row>
    <row r="53" spans="1:9" x14ac:dyDescent="0.3">
      <c r="A53" t="s">
        <v>118</v>
      </c>
      <c r="B53" t="s">
        <v>117</v>
      </c>
      <c r="C53" t="s">
        <v>120</v>
      </c>
      <c r="D53">
        <f>_xlfn.XLOOKUP(A53,'Vic colour ref'!I:I,'Vic colour ref'!H:H,"")</f>
        <v>2</v>
      </c>
      <c r="E53">
        <f>_xlfn.XLOOKUP(B53,'Vic colour ref'!I:I,'Vic colour ref'!H:H,"")</f>
        <v>6</v>
      </c>
      <c r="F53">
        <f>_xlfn.XLOOKUP(C53,'Vic colour ref'!I:I,'Vic colour ref'!H:H,"")</f>
        <v>1</v>
      </c>
      <c r="G53" t="str">
        <f t="shared" si="4"/>
        <v>"Not selected": {"code": [2,6,1], "colours": ["red","blue","white"]},</v>
      </c>
      <c r="H53" t="str">
        <f t="shared" si="5"/>
        <v>Red Blue White</v>
      </c>
      <c r="I53" t="s">
        <v>148</v>
      </c>
    </row>
    <row r="54" spans="1:9" x14ac:dyDescent="0.3">
      <c r="A54" t="s">
        <v>118</v>
      </c>
      <c r="B54" t="s">
        <v>117</v>
      </c>
      <c r="C54" t="s">
        <v>127</v>
      </c>
      <c r="D54">
        <f>_xlfn.XLOOKUP(A54,'Vic colour ref'!I:I,'Vic colour ref'!H:H,"")</f>
        <v>2</v>
      </c>
      <c r="E54">
        <f>_xlfn.XLOOKUP(B54,'Vic colour ref'!I:I,'Vic colour ref'!H:H,"")</f>
        <v>6</v>
      </c>
      <c r="F54">
        <f>_xlfn.XLOOKUP(C54,'Vic colour ref'!I:I,'Vic colour ref'!H:H,"")</f>
        <v>9</v>
      </c>
      <c r="G54" t="str">
        <f t="shared" si="4"/>
        <v>"Not selected": {"code": [2,6,9], "colours": ["red","blue","lt.orange"]},</v>
      </c>
      <c r="H54" t="str">
        <f t="shared" si="5"/>
        <v>Red Blue Lt.Orange</v>
      </c>
      <c r="I54" t="s">
        <v>148</v>
      </c>
    </row>
    <row r="55" spans="1:9" x14ac:dyDescent="0.3">
      <c r="A55" t="s">
        <v>118</v>
      </c>
      <c r="B55" t="s">
        <v>117</v>
      </c>
      <c r="C55" t="s">
        <v>124</v>
      </c>
      <c r="D55">
        <f>_xlfn.XLOOKUP(A55,'Vic colour ref'!I:I,'Vic colour ref'!H:H,"")</f>
        <v>2</v>
      </c>
      <c r="E55">
        <f>_xlfn.XLOOKUP(B55,'Vic colour ref'!I:I,'Vic colour ref'!H:H,"")</f>
        <v>6</v>
      </c>
      <c r="F55">
        <f>_xlfn.XLOOKUP(C55,'Vic colour ref'!I:I,'Vic colour ref'!H:H,"")</f>
        <v>10</v>
      </c>
      <c r="G55" t="str">
        <f t="shared" si="4"/>
        <v>"Not selected": {"code": [2,6,10], "colours": ["red","blue","pink"]},</v>
      </c>
      <c r="H55" t="str">
        <f t="shared" si="5"/>
        <v>Red Blue Pink</v>
      </c>
      <c r="I55" t="s">
        <v>148</v>
      </c>
    </row>
    <row r="56" spans="1:9" x14ac:dyDescent="0.3">
      <c r="A56" t="s">
        <v>118</v>
      </c>
      <c r="B56" t="s">
        <v>117</v>
      </c>
      <c r="C56" t="s">
        <v>130</v>
      </c>
      <c r="D56">
        <f>_xlfn.XLOOKUP(A56,'Vic colour ref'!I:I,'Vic colour ref'!H:H,"")</f>
        <v>2</v>
      </c>
      <c r="E56">
        <f>_xlfn.XLOOKUP(B56,'Vic colour ref'!I:I,'Vic colour ref'!H:H,"")</f>
        <v>6</v>
      </c>
      <c r="F56">
        <f>_xlfn.XLOOKUP(C56,'Vic colour ref'!I:I,'Vic colour ref'!H:H,"")</f>
        <v>11</v>
      </c>
      <c r="G56" t="str">
        <f t="shared" si="4"/>
        <v>"Not selected": {"code": [2,6,11], "colours": ["red","blue","lt.cyan"]},</v>
      </c>
      <c r="H56" t="str">
        <f t="shared" si="5"/>
        <v>Red Blue Lt.Cyan</v>
      </c>
      <c r="I56" t="s">
        <v>148</v>
      </c>
    </row>
    <row r="57" spans="1:9" x14ac:dyDescent="0.3">
      <c r="A57" t="s">
        <v>116</v>
      </c>
      <c r="B57" t="s">
        <v>118</v>
      </c>
      <c r="C57" t="s">
        <v>127</v>
      </c>
      <c r="D57">
        <f>_xlfn.XLOOKUP(A57,'Vic colour ref'!I:I,'Vic colour ref'!H:H,"")</f>
        <v>3</v>
      </c>
      <c r="E57">
        <f>_xlfn.XLOOKUP(B57,'Vic colour ref'!I:I,'Vic colour ref'!H:H,"")</f>
        <v>2</v>
      </c>
      <c r="F57">
        <f>_xlfn.XLOOKUP(C57,'Vic colour ref'!I:I,'Vic colour ref'!H:H,"")</f>
        <v>9</v>
      </c>
      <c r="G57" t="str">
        <f t="shared" ref="G57:G83" si="6">""""&amp;I57&amp;""": {""code"": ["&amp;D57&amp;","&amp;E57&amp;","&amp;F57&amp;"], ""colours"": ["""&amp;A57&amp;""","""&amp;B57&amp;""","""&amp;C57&amp;"""]},"</f>
        <v>"Not selected": {"code": [3,2,9], "colours": ["cyan","red","lt.orange"]},</v>
      </c>
      <c r="H57" t="str">
        <f t="shared" si="5"/>
        <v>Cyan Red Lt.Orange</v>
      </c>
      <c r="I57" t="s">
        <v>148</v>
      </c>
    </row>
    <row r="58" spans="1:9" x14ac:dyDescent="0.3">
      <c r="A58" t="s">
        <v>116</v>
      </c>
      <c r="B58" t="s">
        <v>118</v>
      </c>
      <c r="C58" t="s">
        <v>131</v>
      </c>
      <c r="D58">
        <f>_xlfn.XLOOKUP(A58,'Vic colour ref'!I:I,'Vic colour ref'!H:H,"")</f>
        <v>3</v>
      </c>
      <c r="E58">
        <f>_xlfn.XLOOKUP(B58,'Vic colour ref'!I:I,'Vic colour ref'!H:H,"")</f>
        <v>2</v>
      </c>
      <c r="F58">
        <f>_xlfn.XLOOKUP(C58,'Vic colour ref'!I:I,'Vic colour ref'!H:H,"")</f>
        <v>12</v>
      </c>
      <c r="G58" t="str">
        <f t="shared" si="6"/>
        <v>"Not selected": {"code": [3,2,12], "colours": ["cyan","red","lt.purple"]},</v>
      </c>
      <c r="H58" t="str">
        <f t="shared" si="5"/>
        <v>Cyan Red Lt.Purple</v>
      </c>
      <c r="I58" t="s">
        <v>148</v>
      </c>
    </row>
    <row r="59" spans="1:9" x14ac:dyDescent="0.3">
      <c r="A59" t="s">
        <v>116</v>
      </c>
      <c r="B59" t="s">
        <v>118</v>
      </c>
      <c r="C59" t="s">
        <v>129</v>
      </c>
      <c r="D59">
        <f>_xlfn.XLOOKUP(A59,'Vic colour ref'!I:I,'Vic colour ref'!H:H,"")</f>
        <v>3</v>
      </c>
      <c r="E59">
        <f>_xlfn.XLOOKUP(B59,'Vic colour ref'!I:I,'Vic colour ref'!H:H,"")</f>
        <v>2</v>
      </c>
      <c r="F59">
        <f>_xlfn.XLOOKUP(C59,'Vic colour ref'!I:I,'Vic colour ref'!H:H,"")</f>
        <v>14</v>
      </c>
      <c r="G59" t="str">
        <f t="shared" si="6"/>
        <v>"Not selected": {"code": [3,2,14], "colours": ["cyan","red","lt.blue"]},</v>
      </c>
      <c r="H59" t="str">
        <f t="shared" si="5"/>
        <v>Cyan Red Lt.Blue</v>
      </c>
      <c r="I59" t="s">
        <v>148</v>
      </c>
    </row>
    <row r="60" spans="1:9" x14ac:dyDescent="0.3">
      <c r="A60" t="s">
        <v>116</v>
      </c>
      <c r="B60" t="s">
        <v>115</v>
      </c>
      <c r="C60" t="s">
        <v>129</v>
      </c>
      <c r="D60">
        <f>_xlfn.XLOOKUP(A60,'Vic colour ref'!I:I,'Vic colour ref'!H:H,"")</f>
        <v>3</v>
      </c>
      <c r="E60">
        <f>_xlfn.XLOOKUP(B60,'Vic colour ref'!I:I,'Vic colour ref'!H:H,"")</f>
        <v>4</v>
      </c>
      <c r="F60">
        <f>_xlfn.XLOOKUP(C60,'Vic colour ref'!I:I,'Vic colour ref'!H:H,"")</f>
        <v>14</v>
      </c>
      <c r="G60" t="str">
        <f t="shared" si="6"/>
        <v>"Not selected": {"code": [3,4,14], "colours": ["cyan","purple","lt.blue"]},</v>
      </c>
      <c r="H60" t="str">
        <f t="shared" si="5"/>
        <v>Cyan Purple Lt.Blue</v>
      </c>
      <c r="I60" t="s">
        <v>148</v>
      </c>
    </row>
    <row r="61" spans="1:9" x14ac:dyDescent="0.3">
      <c r="A61" t="s">
        <v>116</v>
      </c>
      <c r="B61" t="s">
        <v>119</v>
      </c>
      <c r="C61" t="s">
        <v>127</v>
      </c>
      <c r="D61">
        <f>_xlfn.XLOOKUP(A61,'Vic colour ref'!I:I,'Vic colour ref'!H:H,"")</f>
        <v>3</v>
      </c>
      <c r="E61">
        <f>_xlfn.XLOOKUP(B61,'Vic colour ref'!I:I,'Vic colour ref'!H:H,"")</f>
        <v>5</v>
      </c>
      <c r="F61">
        <f>_xlfn.XLOOKUP(C61,'Vic colour ref'!I:I,'Vic colour ref'!H:H,"")</f>
        <v>9</v>
      </c>
      <c r="G61" t="str">
        <f t="shared" si="6"/>
        <v>"Not selected": {"code": [3,5,9], "colours": ["cyan","green","lt.orange"]},</v>
      </c>
      <c r="H61" t="str">
        <f t="shared" si="5"/>
        <v>Cyan Green Lt.Orange</v>
      </c>
      <c r="I61" t="s">
        <v>148</v>
      </c>
    </row>
    <row r="62" spans="1:9" x14ac:dyDescent="0.3">
      <c r="A62" t="s">
        <v>116</v>
      </c>
      <c r="B62" t="s">
        <v>119</v>
      </c>
      <c r="C62" t="s">
        <v>131</v>
      </c>
      <c r="D62">
        <f>_xlfn.XLOOKUP(A62,'Vic colour ref'!I:I,'Vic colour ref'!H:H,"")</f>
        <v>3</v>
      </c>
      <c r="E62">
        <f>_xlfn.XLOOKUP(B62,'Vic colour ref'!I:I,'Vic colour ref'!H:H,"")</f>
        <v>5</v>
      </c>
      <c r="F62">
        <f>_xlfn.XLOOKUP(C62,'Vic colour ref'!I:I,'Vic colour ref'!H:H,"")</f>
        <v>12</v>
      </c>
      <c r="G62" t="str">
        <f t="shared" si="6"/>
        <v>"Not selected": {"code": [3,5,12], "colours": ["cyan","green","lt.purple"]},</v>
      </c>
      <c r="H62" t="str">
        <f t="shared" si="5"/>
        <v>Cyan Green Lt.Purple</v>
      </c>
      <c r="I62" t="s">
        <v>148</v>
      </c>
    </row>
    <row r="63" spans="1:9" x14ac:dyDescent="0.3">
      <c r="A63" t="s">
        <v>116</v>
      </c>
      <c r="B63" t="s">
        <v>119</v>
      </c>
      <c r="C63" t="s">
        <v>129</v>
      </c>
      <c r="D63">
        <f>_xlfn.XLOOKUP(A63,'Vic colour ref'!I:I,'Vic colour ref'!H:H,"")</f>
        <v>3</v>
      </c>
      <c r="E63">
        <f>_xlfn.XLOOKUP(B63,'Vic colour ref'!I:I,'Vic colour ref'!H:H,"")</f>
        <v>5</v>
      </c>
      <c r="F63">
        <f>_xlfn.XLOOKUP(C63,'Vic colour ref'!I:I,'Vic colour ref'!H:H,"")</f>
        <v>14</v>
      </c>
      <c r="G63" t="str">
        <f t="shared" si="6"/>
        <v>"Not selected": {"code": [3,5,14], "colours": ["cyan","green","lt.blue"]},</v>
      </c>
      <c r="H63" t="str">
        <f t="shared" si="5"/>
        <v>Cyan Green Lt.Blue</v>
      </c>
      <c r="I63" t="s">
        <v>148</v>
      </c>
    </row>
    <row r="64" spans="1:9" x14ac:dyDescent="0.3">
      <c r="A64" t="s">
        <v>116</v>
      </c>
      <c r="B64" t="s">
        <v>117</v>
      </c>
      <c r="C64" t="s">
        <v>120</v>
      </c>
      <c r="D64">
        <f>_xlfn.XLOOKUP(A64,'Vic colour ref'!I:I,'Vic colour ref'!H:H,"")</f>
        <v>3</v>
      </c>
      <c r="E64">
        <f>_xlfn.XLOOKUP(B64,'Vic colour ref'!I:I,'Vic colour ref'!H:H,"")</f>
        <v>6</v>
      </c>
      <c r="F64">
        <f>_xlfn.XLOOKUP(C64,'Vic colour ref'!I:I,'Vic colour ref'!H:H,"")</f>
        <v>1</v>
      </c>
      <c r="G64" t="str">
        <f t="shared" si="6"/>
        <v>"Not selected": {"code": [3,6,1], "colours": ["cyan","blue","white"]},</v>
      </c>
      <c r="H64" t="str">
        <f t="shared" si="5"/>
        <v>Cyan Blue White</v>
      </c>
      <c r="I64" t="s">
        <v>148</v>
      </c>
    </row>
    <row r="65" spans="1:9" x14ac:dyDescent="0.3">
      <c r="A65" t="s">
        <v>116</v>
      </c>
      <c r="B65" t="s">
        <v>117</v>
      </c>
      <c r="C65" t="s">
        <v>131</v>
      </c>
      <c r="D65">
        <f>_xlfn.XLOOKUP(A65,'Vic colour ref'!I:I,'Vic colour ref'!H:H,"")</f>
        <v>3</v>
      </c>
      <c r="E65">
        <f>_xlfn.XLOOKUP(B65,'Vic colour ref'!I:I,'Vic colour ref'!H:H,"")</f>
        <v>6</v>
      </c>
      <c r="F65">
        <f>_xlfn.XLOOKUP(C65,'Vic colour ref'!I:I,'Vic colour ref'!H:H,"")</f>
        <v>12</v>
      </c>
      <c r="G65" t="str">
        <f t="shared" si="6"/>
        <v>"Not selected": {"code": [3,6,12], "colours": ["cyan","blue","lt.purple"]},</v>
      </c>
      <c r="H65" t="str">
        <f t="shared" si="5"/>
        <v>Cyan Blue Lt.Purple</v>
      </c>
      <c r="I65" t="s">
        <v>148</v>
      </c>
    </row>
    <row r="66" spans="1:9" x14ac:dyDescent="0.3">
      <c r="A66" t="s">
        <v>115</v>
      </c>
      <c r="B66" t="s">
        <v>118</v>
      </c>
      <c r="C66" t="s">
        <v>127</v>
      </c>
      <c r="D66">
        <f>_xlfn.XLOOKUP(A66,'Vic colour ref'!I:I,'Vic colour ref'!H:H,"")</f>
        <v>4</v>
      </c>
      <c r="E66">
        <f>_xlfn.XLOOKUP(B66,'Vic colour ref'!I:I,'Vic colour ref'!H:H,"")</f>
        <v>2</v>
      </c>
      <c r="F66">
        <f>_xlfn.XLOOKUP(C66,'Vic colour ref'!I:I,'Vic colour ref'!H:H,"")</f>
        <v>9</v>
      </c>
      <c r="G66" t="str">
        <f t="shared" si="6"/>
        <v>"Not selected": {"code": [4,2,9], "colours": ["purple","red","lt.orange"]},</v>
      </c>
      <c r="H66" t="str">
        <f t="shared" si="5"/>
        <v>Purple Red Lt.Orange</v>
      </c>
      <c r="I66" t="s">
        <v>148</v>
      </c>
    </row>
    <row r="67" spans="1:9" x14ac:dyDescent="0.3">
      <c r="A67" t="s">
        <v>115</v>
      </c>
      <c r="B67" t="s">
        <v>118</v>
      </c>
      <c r="C67" t="s">
        <v>124</v>
      </c>
      <c r="D67">
        <f>_xlfn.XLOOKUP(A67,'Vic colour ref'!I:I,'Vic colour ref'!H:H,"")</f>
        <v>4</v>
      </c>
      <c r="E67">
        <f>_xlfn.XLOOKUP(B67,'Vic colour ref'!I:I,'Vic colour ref'!H:H,"")</f>
        <v>2</v>
      </c>
      <c r="F67">
        <f>_xlfn.XLOOKUP(C67,'Vic colour ref'!I:I,'Vic colour ref'!H:H,"")</f>
        <v>10</v>
      </c>
      <c r="G67" t="str">
        <f t="shared" si="6"/>
        <v>"Not selected": {"code": [4,2,10], "colours": ["purple","red","pink"]},</v>
      </c>
      <c r="H67" t="str">
        <f t="shared" si="5"/>
        <v>Purple Red Pink</v>
      </c>
      <c r="I67" t="s">
        <v>148</v>
      </c>
    </row>
    <row r="68" spans="1:9" x14ac:dyDescent="0.3">
      <c r="A68" t="s">
        <v>115</v>
      </c>
      <c r="B68" t="s">
        <v>118</v>
      </c>
      <c r="C68" t="s">
        <v>130</v>
      </c>
      <c r="D68">
        <f>_xlfn.XLOOKUP(A68,'Vic colour ref'!I:I,'Vic colour ref'!H:H,"")</f>
        <v>4</v>
      </c>
      <c r="E68">
        <f>_xlfn.XLOOKUP(B68,'Vic colour ref'!I:I,'Vic colour ref'!H:H,"")</f>
        <v>2</v>
      </c>
      <c r="F68">
        <f>_xlfn.XLOOKUP(C68,'Vic colour ref'!I:I,'Vic colour ref'!H:H,"")</f>
        <v>11</v>
      </c>
      <c r="G68" t="str">
        <f t="shared" si="6"/>
        <v>"Not selected": {"code": [4,2,11], "colours": ["purple","red","lt.cyan"]},</v>
      </c>
      <c r="H68" t="str">
        <f t="shared" ref="H68:H83" si="7">PROPER(A68)&amp;" "&amp;PROPER(B68)&amp;" "&amp;PROPER(C68)</f>
        <v>Purple Red Lt.Cyan</v>
      </c>
      <c r="I68" t="s">
        <v>148</v>
      </c>
    </row>
    <row r="69" spans="1:9" x14ac:dyDescent="0.3">
      <c r="A69" t="s">
        <v>115</v>
      </c>
      <c r="B69" t="s">
        <v>118</v>
      </c>
      <c r="C69" t="s">
        <v>129</v>
      </c>
      <c r="D69">
        <f>_xlfn.XLOOKUP(A69,'Vic colour ref'!I:I,'Vic colour ref'!H:H,"")</f>
        <v>4</v>
      </c>
      <c r="E69">
        <f>_xlfn.XLOOKUP(B69,'Vic colour ref'!I:I,'Vic colour ref'!H:H,"")</f>
        <v>2</v>
      </c>
      <c r="F69">
        <f>_xlfn.XLOOKUP(C69,'Vic colour ref'!I:I,'Vic colour ref'!H:H,"")</f>
        <v>14</v>
      </c>
      <c r="G69" t="str">
        <f t="shared" si="6"/>
        <v>"Not selected": {"code": [4,2,14], "colours": ["purple","red","lt.blue"]},</v>
      </c>
      <c r="H69" t="str">
        <f t="shared" si="7"/>
        <v>Purple Red Lt.Blue</v>
      </c>
      <c r="I69" t="s">
        <v>148</v>
      </c>
    </row>
    <row r="70" spans="1:9" x14ac:dyDescent="0.3">
      <c r="A70" t="s">
        <v>115</v>
      </c>
      <c r="B70" t="s">
        <v>119</v>
      </c>
      <c r="C70" t="s">
        <v>130</v>
      </c>
      <c r="D70">
        <f>_xlfn.XLOOKUP(A70,'Vic colour ref'!I:I,'Vic colour ref'!H:H,"")</f>
        <v>4</v>
      </c>
      <c r="E70">
        <f>_xlfn.XLOOKUP(B70,'Vic colour ref'!I:I,'Vic colour ref'!H:H,"")</f>
        <v>5</v>
      </c>
      <c r="F70">
        <f>_xlfn.XLOOKUP(C70,'Vic colour ref'!I:I,'Vic colour ref'!H:H,"")</f>
        <v>11</v>
      </c>
      <c r="G70" t="str">
        <f t="shared" si="6"/>
        <v>"Not selected": {"code": [4,5,11], "colours": ["purple","green","lt.cyan"]},</v>
      </c>
      <c r="H70" t="str">
        <f t="shared" si="7"/>
        <v>Purple Green Lt.Cyan</v>
      </c>
      <c r="I70" t="s">
        <v>148</v>
      </c>
    </row>
    <row r="71" spans="1:9" x14ac:dyDescent="0.3">
      <c r="A71" t="s">
        <v>115</v>
      </c>
      <c r="B71" t="s">
        <v>119</v>
      </c>
      <c r="C71" t="s">
        <v>129</v>
      </c>
      <c r="D71">
        <f>_xlfn.XLOOKUP(A71,'Vic colour ref'!I:I,'Vic colour ref'!H:H,"")</f>
        <v>4</v>
      </c>
      <c r="E71">
        <f>_xlfn.XLOOKUP(B71,'Vic colour ref'!I:I,'Vic colour ref'!H:H,"")</f>
        <v>5</v>
      </c>
      <c r="F71">
        <f>_xlfn.XLOOKUP(C71,'Vic colour ref'!I:I,'Vic colour ref'!H:H,"")</f>
        <v>14</v>
      </c>
      <c r="G71" t="str">
        <f t="shared" si="6"/>
        <v>"Not selected": {"code": [4,5,14], "colours": ["purple","green","lt.blue"]},</v>
      </c>
      <c r="H71" t="str">
        <f t="shared" si="7"/>
        <v>Purple Green Lt.Blue</v>
      </c>
      <c r="I71" t="s">
        <v>148</v>
      </c>
    </row>
    <row r="72" spans="1:9" x14ac:dyDescent="0.3">
      <c r="A72" t="s">
        <v>115</v>
      </c>
      <c r="B72" t="s">
        <v>117</v>
      </c>
      <c r="C72" t="s">
        <v>127</v>
      </c>
      <c r="D72">
        <f>_xlfn.XLOOKUP(A72,'Vic colour ref'!I:I,'Vic colour ref'!H:H,"")</f>
        <v>4</v>
      </c>
      <c r="E72">
        <f>_xlfn.XLOOKUP(B72,'Vic colour ref'!I:I,'Vic colour ref'!H:H,"")</f>
        <v>6</v>
      </c>
      <c r="F72">
        <f>_xlfn.XLOOKUP(C72,'Vic colour ref'!I:I,'Vic colour ref'!H:H,"")</f>
        <v>9</v>
      </c>
      <c r="G72" t="str">
        <f t="shared" si="6"/>
        <v>"Not selected": {"code": [4,6,9], "colours": ["purple","blue","lt.orange"]},</v>
      </c>
      <c r="H72" t="str">
        <f t="shared" si="7"/>
        <v>Purple Blue Lt.Orange</v>
      </c>
      <c r="I72" t="s">
        <v>148</v>
      </c>
    </row>
    <row r="73" spans="1:9" x14ac:dyDescent="0.3">
      <c r="A73" t="s">
        <v>115</v>
      </c>
      <c r="B73" t="s">
        <v>117</v>
      </c>
      <c r="C73" t="s">
        <v>130</v>
      </c>
      <c r="D73">
        <f>_xlfn.XLOOKUP(A73,'Vic colour ref'!I:I,'Vic colour ref'!H:H,"")</f>
        <v>4</v>
      </c>
      <c r="E73">
        <f>_xlfn.XLOOKUP(B73,'Vic colour ref'!I:I,'Vic colour ref'!H:H,"")</f>
        <v>6</v>
      </c>
      <c r="F73">
        <f>_xlfn.XLOOKUP(C73,'Vic colour ref'!I:I,'Vic colour ref'!H:H,"")</f>
        <v>11</v>
      </c>
      <c r="G73" t="str">
        <f t="shared" si="6"/>
        <v>"Not selected": {"code": [4,6,11], "colours": ["purple","blue","lt.cyan"]},</v>
      </c>
      <c r="H73" t="str">
        <f t="shared" si="7"/>
        <v>Purple Blue Lt.Cyan</v>
      </c>
      <c r="I73" t="s">
        <v>148</v>
      </c>
    </row>
    <row r="74" spans="1:9" x14ac:dyDescent="0.3">
      <c r="A74" t="s">
        <v>119</v>
      </c>
      <c r="B74" t="s">
        <v>118</v>
      </c>
      <c r="C74" t="s">
        <v>120</v>
      </c>
      <c r="D74">
        <f>_xlfn.XLOOKUP(A74,'Vic colour ref'!I:I,'Vic colour ref'!H:H,"")</f>
        <v>5</v>
      </c>
      <c r="E74">
        <f>_xlfn.XLOOKUP(B74,'Vic colour ref'!I:I,'Vic colour ref'!H:H,"")</f>
        <v>2</v>
      </c>
      <c r="F74">
        <f>_xlfn.XLOOKUP(C74,'Vic colour ref'!I:I,'Vic colour ref'!H:H,"")</f>
        <v>1</v>
      </c>
      <c r="G74" t="str">
        <f t="shared" si="6"/>
        <v>"Not selected": {"code": [5,2,1], "colours": ["green","red","white"]},</v>
      </c>
      <c r="H74" t="str">
        <f t="shared" si="7"/>
        <v>Green Red White</v>
      </c>
      <c r="I74" t="s">
        <v>148</v>
      </c>
    </row>
    <row r="75" spans="1:9" x14ac:dyDescent="0.3">
      <c r="A75" t="s">
        <v>119</v>
      </c>
      <c r="B75" t="s">
        <v>118</v>
      </c>
      <c r="C75" t="s">
        <v>127</v>
      </c>
      <c r="D75">
        <f>_xlfn.XLOOKUP(A75,'Vic colour ref'!I:I,'Vic colour ref'!H:H,"")</f>
        <v>5</v>
      </c>
      <c r="E75">
        <f>_xlfn.XLOOKUP(B75,'Vic colour ref'!I:I,'Vic colour ref'!H:H,"")</f>
        <v>2</v>
      </c>
      <c r="F75">
        <f>_xlfn.XLOOKUP(C75,'Vic colour ref'!I:I,'Vic colour ref'!H:H,"")</f>
        <v>9</v>
      </c>
      <c r="G75" t="str">
        <f t="shared" si="6"/>
        <v>"Not selected": {"code": [5,2,9], "colours": ["green","red","lt.orange"]},</v>
      </c>
      <c r="H75" t="str">
        <f t="shared" si="7"/>
        <v>Green Red Lt.Orange</v>
      </c>
      <c r="I75" t="s">
        <v>148</v>
      </c>
    </row>
    <row r="76" spans="1:9" x14ac:dyDescent="0.3">
      <c r="A76" t="s">
        <v>119</v>
      </c>
      <c r="B76" t="s">
        <v>118</v>
      </c>
      <c r="C76" t="s">
        <v>124</v>
      </c>
      <c r="D76">
        <f>_xlfn.XLOOKUP(A76,'Vic colour ref'!I:I,'Vic colour ref'!H:H,"")</f>
        <v>5</v>
      </c>
      <c r="E76">
        <f>_xlfn.XLOOKUP(B76,'Vic colour ref'!I:I,'Vic colour ref'!H:H,"")</f>
        <v>2</v>
      </c>
      <c r="F76">
        <f>_xlfn.XLOOKUP(C76,'Vic colour ref'!I:I,'Vic colour ref'!H:H,"")</f>
        <v>10</v>
      </c>
      <c r="G76" t="str">
        <f t="shared" si="6"/>
        <v>"Not selected": {"code": [5,2,10], "colours": ["green","red","pink"]},</v>
      </c>
      <c r="H76" t="str">
        <f t="shared" si="7"/>
        <v>Green Red Pink</v>
      </c>
      <c r="I76" t="s">
        <v>148</v>
      </c>
    </row>
    <row r="77" spans="1:9" x14ac:dyDescent="0.3">
      <c r="A77" t="s">
        <v>119</v>
      </c>
      <c r="B77" t="s">
        <v>118</v>
      </c>
      <c r="C77" t="s">
        <v>130</v>
      </c>
      <c r="D77">
        <f>_xlfn.XLOOKUP(A77,'Vic colour ref'!I:I,'Vic colour ref'!H:H,"")</f>
        <v>5</v>
      </c>
      <c r="E77">
        <f>_xlfn.XLOOKUP(B77,'Vic colour ref'!I:I,'Vic colour ref'!H:H,"")</f>
        <v>2</v>
      </c>
      <c r="F77">
        <f>_xlfn.XLOOKUP(C77,'Vic colour ref'!I:I,'Vic colour ref'!H:H,"")</f>
        <v>11</v>
      </c>
      <c r="G77" t="str">
        <f t="shared" si="6"/>
        <v>"Not selected": {"code": [5,2,11], "colours": ["green","red","lt.cyan"]},</v>
      </c>
      <c r="H77" t="str">
        <f t="shared" si="7"/>
        <v>Green Red Lt.Cyan</v>
      </c>
      <c r="I77" t="s">
        <v>148</v>
      </c>
    </row>
    <row r="78" spans="1:9" x14ac:dyDescent="0.3">
      <c r="A78" t="s">
        <v>119</v>
      </c>
      <c r="B78" t="s">
        <v>118</v>
      </c>
      <c r="C78" t="s">
        <v>131</v>
      </c>
      <c r="D78">
        <f>_xlfn.XLOOKUP(A78,'Vic colour ref'!I:I,'Vic colour ref'!H:H,"")</f>
        <v>5</v>
      </c>
      <c r="E78">
        <f>_xlfn.XLOOKUP(B78,'Vic colour ref'!I:I,'Vic colour ref'!H:H,"")</f>
        <v>2</v>
      </c>
      <c r="F78">
        <f>_xlfn.XLOOKUP(C78,'Vic colour ref'!I:I,'Vic colour ref'!H:H,"")</f>
        <v>12</v>
      </c>
      <c r="G78" t="str">
        <f t="shared" si="6"/>
        <v>"Not selected": {"code": [5,2,12], "colours": ["green","red","lt.purple"]},</v>
      </c>
      <c r="H78" t="str">
        <f t="shared" si="7"/>
        <v>Green Red Lt.Purple</v>
      </c>
      <c r="I78" t="s">
        <v>148</v>
      </c>
    </row>
    <row r="79" spans="1:9" x14ac:dyDescent="0.3">
      <c r="A79" t="s">
        <v>119</v>
      </c>
      <c r="B79" t="s">
        <v>118</v>
      </c>
      <c r="C79" t="s">
        <v>129</v>
      </c>
      <c r="D79">
        <f>_xlfn.XLOOKUP(A79,'Vic colour ref'!I:I,'Vic colour ref'!H:H,"")</f>
        <v>5</v>
      </c>
      <c r="E79">
        <f>_xlfn.XLOOKUP(B79,'Vic colour ref'!I:I,'Vic colour ref'!H:H,"")</f>
        <v>2</v>
      </c>
      <c r="F79">
        <f>_xlfn.XLOOKUP(C79,'Vic colour ref'!I:I,'Vic colour ref'!H:H,"")</f>
        <v>14</v>
      </c>
      <c r="G79" t="str">
        <f t="shared" si="6"/>
        <v>"Not selected": {"code": [5,2,14], "colours": ["green","red","lt.blue"]},</v>
      </c>
      <c r="H79" t="str">
        <f t="shared" si="7"/>
        <v>Green Red Lt.Blue</v>
      </c>
      <c r="I79" t="s">
        <v>148</v>
      </c>
    </row>
    <row r="80" spans="1:9" x14ac:dyDescent="0.3">
      <c r="A80" t="s">
        <v>119</v>
      </c>
      <c r="B80" t="s">
        <v>115</v>
      </c>
      <c r="C80" t="s">
        <v>127</v>
      </c>
      <c r="D80">
        <f>_xlfn.XLOOKUP(A80,'Vic colour ref'!I:I,'Vic colour ref'!H:H,"")</f>
        <v>5</v>
      </c>
      <c r="E80">
        <f>_xlfn.XLOOKUP(B80,'Vic colour ref'!I:I,'Vic colour ref'!H:H,"")</f>
        <v>4</v>
      </c>
      <c r="F80">
        <f>_xlfn.XLOOKUP(C80,'Vic colour ref'!I:I,'Vic colour ref'!H:H,"")</f>
        <v>9</v>
      </c>
      <c r="G80" t="str">
        <f t="shared" si="6"/>
        <v>"Not selected": {"code": [5,4,9], "colours": ["green","purple","lt.orange"]},</v>
      </c>
      <c r="H80" t="str">
        <f t="shared" si="7"/>
        <v>Green Purple Lt.Orange</v>
      </c>
      <c r="I80" t="s">
        <v>148</v>
      </c>
    </row>
    <row r="81" spans="1:9" x14ac:dyDescent="0.3">
      <c r="A81" t="s">
        <v>119</v>
      </c>
      <c r="B81" t="s">
        <v>115</v>
      </c>
      <c r="C81" t="s">
        <v>124</v>
      </c>
      <c r="D81">
        <f>_xlfn.XLOOKUP(A81,'Vic colour ref'!I:I,'Vic colour ref'!H:H,"")</f>
        <v>5</v>
      </c>
      <c r="E81">
        <f>_xlfn.XLOOKUP(B81,'Vic colour ref'!I:I,'Vic colour ref'!H:H,"")</f>
        <v>4</v>
      </c>
      <c r="F81">
        <f>_xlfn.XLOOKUP(C81,'Vic colour ref'!I:I,'Vic colour ref'!H:H,"")</f>
        <v>10</v>
      </c>
      <c r="G81" t="str">
        <f t="shared" si="6"/>
        <v>"Not selected": {"code": [5,4,10], "colours": ["green","purple","pink"]},</v>
      </c>
      <c r="H81" t="str">
        <f t="shared" si="7"/>
        <v>Green Purple Pink</v>
      </c>
      <c r="I81" t="s">
        <v>148</v>
      </c>
    </row>
    <row r="82" spans="1:9" x14ac:dyDescent="0.3">
      <c r="A82" t="s">
        <v>119</v>
      </c>
      <c r="B82" t="s">
        <v>115</v>
      </c>
      <c r="C82" t="s">
        <v>130</v>
      </c>
      <c r="D82">
        <f>_xlfn.XLOOKUP(A82,'Vic colour ref'!I:I,'Vic colour ref'!H:H,"")</f>
        <v>5</v>
      </c>
      <c r="E82">
        <f>_xlfn.XLOOKUP(B82,'Vic colour ref'!I:I,'Vic colour ref'!H:H,"")</f>
        <v>4</v>
      </c>
      <c r="F82">
        <f>_xlfn.XLOOKUP(C82,'Vic colour ref'!I:I,'Vic colour ref'!H:H,"")</f>
        <v>11</v>
      </c>
      <c r="G82" t="str">
        <f t="shared" si="6"/>
        <v>"Not selected": {"code": [5,4,11], "colours": ["green","purple","lt.cyan"]},</v>
      </c>
      <c r="H82" t="str">
        <f t="shared" si="7"/>
        <v>Green Purple Lt.Cyan</v>
      </c>
      <c r="I82" t="s">
        <v>148</v>
      </c>
    </row>
    <row r="83" spans="1:9" x14ac:dyDescent="0.3">
      <c r="A83" t="s">
        <v>119</v>
      </c>
      <c r="B83" t="s">
        <v>115</v>
      </c>
      <c r="C83" t="s">
        <v>129</v>
      </c>
      <c r="D83">
        <f>_xlfn.XLOOKUP(A83,'Vic colour ref'!I:I,'Vic colour ref'!H:H,"")</f>
        <v>5</v>
      </c>
      <c r="E83">
        <f>_xlfn.XLOOKUP(B83,'Vic colour ref'!I:I,'Vic colour ref'!H:H,"")</f>
        <v>4</v>
      </c>
      <c r="F83">
        <f>_xlfn.XLOOKUP(C83,'Vic colour ref'!I:I,'Vic colour ref'!H:H,"")</f>
        <v>14</v>
      </c>
      <c r="G83" t="str">
        <f t="shared" si="6"/>
        <v>"Not selected": {"code": [5,4,14], "colours": ["green","purple","lt.blue"]},</v>
      </c>
      <c r="H83" t="str">
        <f t="shared" si="7"/>
        <v>Green Purple Lt.Blue</v>
      </c>
      <c r="I83" t="s">
        <v>148</v>
      </c>
    </row>
  </sheetData>
  <autoFilter ref="A2:I91" xr:uid="{01112BD5-711F-4B1A-B798-E22C27B5BC0A}"/>
  <sortState xmlns:xlrd2="http://schemas.microsoft.com/office/spreadsheetml/2017/richdata2" ref="A3:I83">
    <sortCondition ref="I3:I83"/>
  </sortState>
  <conditionalFormatting sqref="I2 H1:H1048576">
    <cfRule type="duplicateValues" dxfId="4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9F42-C143-4CDD-8ACB-7652330B2E87}">
  <dimension ref="A1:AE52"/>
  <sheetViews>
    <sheetView workbookViewId="0"/>
  </sheetViews>
  <sheetFormatPr defaultRowHeight="14.4" x14ac:dyDescent="0.3"/>
  <cols>
    <col min="1" max="2" width="12.5546875" customWidth="1"/>
  </cols>
  <sheetData>
    <row r="1" spans="1:31" ht="28.8" x14ac:dyDescent="0.3">
      <c r="A1" s="1" t="s">
        <v>55</v>
      </c>
      <c r="B1" s="1" t="s">
        <v>60</v>
      </c>
      <c r="C1" s="1" t="s">
        <v>59</v>
      </c>
      <c r="D1" s="1" t="s">
        <v>58</v>
      </c>
      <c r="E1" s="1" t="s">
        <v>56</v>
      </c>
      <c r="F1" s="1" t="s">
        <v>57</v>
      </c>
    </row>
    <row r="2" spans="1:31" x14ac:dyDescent="0.3">
      <c r="A2" s="6" t="s">
        <v>212</v>
      </c>
      <c r="B2" s="6">
        <v>448</v>
      </c>
      <c r="C2">
        <f>HEX2DEC(A2)</f>
        <v>15872</v>
      </c>
      <c r="D2" t="str">
        <f>DEC2HEX(C2,4)</f>
        <v>3E00</v>
      </c>
      <c r="E2" t="str">
        <f>"$"&amp;LOWER(LEFT(D2,2))</f>
        <v>$3e</v>
      </c>
      <c r="F2" t="str">
        <f>"$"&amp;LOWER(MID(D2,3,2))</f>
        <v>$00</v>
      </c>
      <c r="H2" t="s">
        <v>54</v>
      </c>
    </row>
    <row r="3" spans="1:31" x14ac:dyDescent="0.3">
      <c r="C3">
        <f>C2+$B$2</f>
        <v>16320</v>
      </c>
      <c r="D3" t="str">
        <f t="shared" ref="D3:D22" si="0">DEC2HEX(C3,4)</f>
        <v>3FC0</v>
      </c>
      <c r="E3" t="str">
        <f t="shared" ref="E3:E22" si="1">"$"&amp;LOWER(LEFT(D3,2))</f>
        <v>$3f</v>
      </c>
      <c r="F3" t="str">
        <f t="shared" ref="F3:F22" si="2">"$"&amp;LOWER(MID(D3,3,2))</f>
        <v>$c0</v>
      </c>
      <c r="H3" s="7" t="str" cm="1">
        <f t="array" ref="H3:AE3">CONCATENATE(TRANSPOSE(E2:E25),", ")</f>
        <v xml:space="preserve">$3e, </v>
      </c>
      <c r="I3" s="7" t="str">
        <v xml:space="preserve">$3f, </v>
      </c>
      <c r="J3" s="7" t="str">
        <v xml:space="preserve">$41, </v>
      </c>
      <c r="K3" s="7" t="str">
        <v xml:space="preserve">$43, </v>
      </c>
      <c r="L3" s="7" t="str">
        <v xml:space="preserve">$45, </v>
      </c>
      <c r="M3" s="7" t="str">
        <v xml:space="preserve">$46, </v>
      </c>
      <c r="N3" s="7" t="str">
        <v xml:space="preserve">$48, </v>
      </c>
      <c r="O3" s="7" t="str">
        <v xml:space="preserve">$4a, </v>
      </c>
      <c r="P3" s="7" t="str">
        <v xml:space="preserve">$4c, </v>
      </c>
      <c r="Q3" s="7" t="str">
        <v xml:space="preserve">$4d, </v>
      </c>
      <c r="R3" s="7" t="str">
        <v xml:space="preserve">$4f, </v>
      </c>
      <c r="S3" s="7" t="str">
        <v xml:space="preserve">$51, </v>
      </c>
      <c r="T3" t="str">
        <v xml:space="preserve">$53, </v>
      </c>
      <c r="U3" t="str">
        <v xml:space="preserve">$54, </v>
      </c>
      <c r="V3" t="str">
        <v xml:space="preserve">$56, </v>
      </c>
      <c r="W3" t="str">
        <v xml:space="preserve">$58, </v>
      </c>
      <c r="X3" t="str">
        <v xml:space="preserve">$5a, </v>
      </c>
      <c r="Y3" t="str">
        <v xml:space="preserve">$5b, </v>
      </c>
      <c r="Z3" t="str">
        <v xml:space="preserve">$5d, </v>
      </c>
      <c r="AA3" t="str">
        <v xml:space="preserve">$5f, </v>
      </c>
      <c r="AB3" t="str">
        <v xml:space="preserve">$61, </v>
      </c>
      <c r="AC3" t="str">
        <v xml:space="preserve">$62, </v>
      </c>
      <c r="AD3" t="str">
        <v xml:space="preserve">$64, </v>
      </c>
      <c r="AE3" t="str">
        <v xml:space="preserve">$66, </v>
      </c>
    </row>
    <row r="4" spans="1:31" x14ac:dyDescent="0.3">
      <c r="C4">
        <f t="shared" ref="C4:C25" si="3">C3+$B$2</f>
        <v>16768</v>
      </c>
      <c r="D4" t="str">
        <f t="shared" si="0"/>
        <v>4180</v>
      </c>
      <c r="E4" t="str">
        <f t="shared" si="1"/>
        <v>$41</v>
      </c>
      <c r="F4" t="str">
        <f t="shared" si="2"/>
        <v>$80</v>
      </c>
    </row>
    <row r="5" spans="1:31" x14ac:dyDescent="0.3">
      <c r="C5">
        <f t="shared" si="3"/>
        <v>17216</v>
      </c>
      <c r="D5" t="str">
        <f t="shared" si="0"/>
        <v>4340</v>
      </c>
      <c r="E5" t="str">
        <f t="shared" si="1"/>
        <v>$43</v>
      </c>
      <c r="F5" t="str">
        <f t="shared" si="2"/>
        <v>$40</v>
      </c>
      <c r="H5" t="s">
        <v>53</v>
      </c>
    </row>
    <row r="6" spans="1:31" x14ac:dyDescent="0.3">
      <c r="C6">
        <f t="shared" si="3"/>
        <v>17664</v>
      </c>
      <c r="D6" t="str">
        <f t="shared" si="0"/>
        <v>4500</v>
      </c>
      <c r="E6" t="str">
        <f t="shared" si="1"/>
        <v>$45</v>
      </c>
      <c r="F6" t="str">
        <f t="shared" si="2"/>
        <v>$00</v>
      </c>
      <c r="H6" s="7" t="str" cm="1">
        <f t="array" ref="H6:AE6">CONCATENATE(TRANSPOSE(F2:F25),", ")</f>
        <v xml:space="preserve">$00, </v>
      </c>
      <c r="I6" s="7" t="str">
        <v xml:space="preserve">$c0, </v>
      </c>
      <c r="J6" s="7" t="str">
        <v xml:space="preserve">$80, </v>
      </c>
      <c r="K6" s="7" t="str">
        <v xml:space="preserve">$40, </v>
      </c>
      <c r="L6" s="7" t="str">
        <v xml:space="preserve">$00, </v>
      </c>
      <c r="M6" s="7" t="str">
        <v xml:space="preserve">$c0, </v>
      </c>
      <c r="N6" s="7" t="str">
        <v xml:space="preserve">$80, </v>
      </c>
      <c r="O6" s="7" t="str">
        <v xml:space="preserve">$40, </v>
      </c>
      <c r="P6" s="7" t="str">
        <v xml:space="preserve">$00, </v>
      </c>
      <c r="Q6" s="7" t="str">
        <v xml:space="preserve">$c0, </v>
      </c>
      <c r="R6" s="7" t="str">
        <v xml:space="preserve">$80, </v>
      </c>
      <c r="S6" s="7" t="str">
        <v xml:space="preserve">$40, </v>
      </c>
      <c r="T6" t="str">
        <v xml:space="preserve">$00, </v>
      </c>
      <c r="U6" t="str">
        <v xml:space="preserve">$c0, </v>
      </c>
      <c r="V6" t="str">
        <v xml:space="preserve">$80, </v>
      </c>
      <c r="W6" t="str">
        <v xml:space="preserve">$40, </v>
      </c>
      <c r="X6" t="str">
        <v xml:space="preserve">$00, </v>
      </c>
      <c r="Y6" t="str">
        <v xml:space="preserve">$c0, </v>
      </c>
      <c r="Z6" t="str">
        <v xml:space="preserve">$80, </v>
      </c>
      <c r="AA6" t="str">
        <v xml:space="preserve">$40, </v>
      </c>
      <c r="AB6" t="str">
        <v xml:space="preserve">$00, </v>
      </c>
      <c r="AC6" t="str">
        <v xml:space="preserve">$c0, </v>
      </c>
      <c r="AD6" t="str">
        <v xml:space="preserve">$80, </v>
      </c>
      <c r="AE6" t="str">
        <v xml:space="preserve">$40, </v>
      </c>
    </row>
    <row r="7" spans="1:31" x14ac:dyDescent="0.3">
      <c r="C7">
        <f t="shared" si="3"/>
        <v>18112</v>
      </c>
      <c r="D7" t="str">
        <f t="shared" si="0"/>
        <v>46C0</v>
      </c>
      <c r="E7" t="str">
        <f t="shared" si="1"/>
        <v>$46</v>
      </c>
      <c r="F7" t="str">
        <f t="shared" si="2"/>
        <v>$c0</v>
      </c>
    </row>
    <row r="8" spans="1:31" x14ac:dyDescent="0.3">
      <c r="C8">
        <f t="shared" si="3"/>
        <v>18560</v>
      </c>
      <c r="D8" t="str">
        <f t="shared" si="0"/>
        <v>4880</v>
      </c>
      <c r="E8" t="str">
        <f t="shared" si="1"/>
        <v>$48</v>
      </c>
      <c r="F8" t="str">
        <f t="shared" si="2"/>
        <v>$80</v>
      </c>
    </row>
    <row r="9" spans="1:31" x14ac:dyDescent="0.3">
      <c r="C9">
        <f t="shared" si="3"/>
        <v>19008</v>
      </c>
      <c r="D9" t="str">
        <f t="shared" si="0"/>
        <v>4A40</v>
      </c>
      <c r="E9" t="str">
        <f t="shared" si="1"/>
        <v>$4a</v>
      </c>
      <c r="F9" t="str">
        <f t="shared" si="2"/>
        <v>$40</v>
      </c>
    </row>
    <row r="10" spans="1:31" x14ac:dyDescent="0.3">
      <c r="C10">
        <f t="shared" si="3"/>
        <v>19456</v>
      </c>
      <c r="D10" t="str">
        <f t="shared" si="0"/>
        <v>4C00</v>
      </c>
      <c r="E10" t="str">
        <f t="shared" si="1"/>
        <v>$4c</v>
      </c>
      <c r="F10" t="str">
        <f t="shared" si="2"/>
        <v>$00</v>
      </c>
    </row>
    <row r="11" spans="1:31" x14ac:dyDescent="0.3">
      <c r="C11">
        <f t="shared" si="3"/>
        <v>19904</v>
      </c>
      <c r="D11" t="str">
        <f t="shared" si="0"/>
        <v>4DC0</v>
      </c>
      <c r="E11" t="str">
        <f t="shared" si="1"/>
        <v>$4d</v>
      </c>
      <c r="F11" t="str">
        <f t="shared" si="2"/>
        <v>$c0</v>
      </c>
    </row>
    <row r="12" spans="1:31" x14ac:dyDescent="0.3">
      <c r="C12">
        <f t="shared" si="3"/>
        <v>20352</v>
      </c>
      <c r="D12" t="str">
        <f t="shared" si="0"/>
        <v>4F80</v>
      </c>
      <c r="E12" t="str">
        <f t="shared" si="1"/>
        <v>$4f</v>
      </c>
      <c r="F12" t="str">
        <f t="shared" si="2"/>
        <v>$80</v>
      </c>
    </row>
    <row r="13" spans="1:31" x14ac:dyDescent="0.3">
      <c r="C13">
        <f t="shared" si="3"/>
        <v>20800</v>
      </c>
      <c r="D13" t="str">
        <f t="shared" si="0"/>
        <v>5140</v>
      </c>
      <c r="E13" t="str">
        <f t="shared" si="1"/>
        <v>$51</v>
      </c>
      <c r="F13" t="str">
        <f t="shared" si="2"/>
        <v>$40</v>
      </c>
    </row>
    <row r="14" spans="1:31" x14ac:dyDescent="0.3">
      <c r="C14">
        <f t="shared" si="3"/>
        <v>21248</v>
      </c>
      <c r="D14" t="str">
        <f t="shared" si="0"/>
        <v>5300</v>
      </c>
      <c r="E14" t="str">
        <f t="shared" si="1"/>
        <v>$53</v>
      </c>
      <c r="F14" t="str">
        <f t="shared" si="2"/>
        <v>$00</v>
      </c>
    </row>
    <row r="15" spans="1:31" x14ac:dyDescent="0.3">
      <c r="C15">
        <f t="shared" si="3"/>
        <v>21696</v>
      </c>
      <c r="D15" t="str">
        <f t="shared" si="0"/>
        <v>54C0</v>
      </c>
      <c r="E15" t="str">
        <f t="shared" si="1"/>
        <v>$54</v>
      </c>
      <c r="F15" t="str">
        <f t="shared" si="2"/>
        <v>$c0</v>
      </c>
    </row>
    <row r="16" spans="1:31" x14ac:dyDescent="0.3">
      <c r="C16">
        <f t="shared" si="3"/>
        <v>22144</v>
      </c>
      <c r="D16" t="str">
        <f t="shared" si="0"/>
        <v>5680</v>
      </c>
      <c r="E16" t="str">
        <f t="shared" si="1"/>
        <v>$56</v>
      </c>
      <c r="F16" t="str">
        <f t="shared" si="2"/>
        <v>$80</v>
      </c>
    </row>
    <row r="17" spans="1:31" x14ac:dyDescent="0.3">
      <c r="C17">
        <f t="shared" si="3"/>
        <v>22592</v>
      </c>
      <c r="D17" t="str">
        <f t="shared" si="0"/>
        <v>5840</v>
      </c>
      <c r="E17" t="str">
        <f t="shared" si="1"/>
        <v>$58</v>
      </c>
      <c r="F17" t="str">
        <f t="shared" si="2"/>
        <v>$40</v>
      </c>
    </row>
    <row r="18" spans="1:31" x14ac:dyDescent="0.3">
      <c r="C18">
        <f t="shared" si="3"/>
        <v>23040</v>
      </c>
      <c r="D18" t="str">
        <f t="shared" si="0"/>
        <v>5A00</v>
      </c>
      <c r="E18" t="str">
        <f t="shared" si="1"/>
        <v>$5a</v>
      </c>
      <c r="F18" t="str">
        <f t="shared" si="2"/>
        <v>$00</v>
      </c>
    </row>
    <row r="19" spans="1:31" x14ac:dyDescent="0.3">
      <c r="C19">
        <f t="shared" si="3"/>
        <v>23488</v>
      </c>
      <c r="D19" t="str">
        <f t="shared" si="0"/>
        <v>5BC0</v>
      </c>
      <c r="E19" t="str">
        <f t="shared" si="1"/>
        <v>$5b</v>
      </c>
      <c r="F19" t="str">
        <f t="shared" si="2"/>
        <v>$c0</v>
      </c>
    </row>
    <row r="20" spans="1:31" x14ac:dyDescent="0.3">
      <c r="C20">
        <f t="shared" si="3"/>
        <v>23936</v>
      </c>
      <c r="D20" t="str">
        <f t="shared" si="0"/>
        <v>5D80</v>
      </c>
      <c r="E20" t="str">
        <f t="shared" si="1"/>
        <v>$5d</v>
      </c>
      <c r="F20" t="str">
        <f t="shared" si="2"/>
        <v>$80</v>
      </c>
    </row>
    <row r="21" spans="1:31" x14ac:dyDescent="0.3">
      <c r="C21">
        <f t="shared" si="3"/>
        <v>24384</v>
      </c>
      <c r="D21" t="str">
        <f t="shared" si="0"/>
        <v>5F40</v>
      </c>
      <c r="E21" t="str">
        <f t="shared" si="1"/>
        <v>$5f</v>
      </c>
      <c r="F21" t="str">
        <f t="shared" si="2"/>
        <v>$40</v>
      </c>
    </row>
    <row r="22" spans="1:31" x14ac:dyDescent="0.3">
      <c r="C22">
        <f t="shared" si="3"/>
        <v>24832</v>
      </c>
      <c r="D22" t="str">
        <f t="shared" si="0"/>
        <v>6100</v>
      </c>
      <c r="E22" t="str">
        <f t="shared" si="1"/>
        <v>$61</v>
      </c>
      <c r="F22" t="str">
        <f t="shared" si="2"/>
        <v>$00</v>
      </c>
    </row>
    <row r="23" spans="1:31" x14ac:dyDescent="0.3">
      <c r="C23">
        <f t="shared" si="3"/>
        <v>25280</v>
      </c>
      <c r="D23" t="str">
        <f t="shared" ref="D23:D25" si="4">DEC2HEX(C23,4)</f>
        <v>62C0</v>
      </c>
      <c r="E23" t="str">
        <f t="shared" ref="E23:E25" si="5">"$"&amp;LOWER(LEFT(D23,2))</f>
        <v>$62</v>
      </c>
      <c r="F23" t="str">
        <f t="shared" ref="F23:F25" si="6">"$"&amp;LOWER(MID(D23,3,2))</f>
        <v>$c0</v>
      </c>
    </row>
    <row r="24" spans="1:31" x14ac:dyDescent="0.3">
      <c r="C24">
        <f t="shared" si="3"/>
        <v>25728</v>
      </c>
      <c r="D24" t="str">
        <f t="shared" si="4"/>
        <v>6480</v>
      </c>
      <c r="E24" t="str">
        <f t="shared" si="5"/>
        <v>$64</v>
      </c>
      <c r="F24" t="str">
        <f t="shared" si="6"/>
        <v>$80</v>
      </c>
    </row>
    <row r="25" spans="1:31" x14ac:dyDescent="0.3">
      <c r="C25">
        <f t="shared" si="3"/>
        <v>26176</v>
      </c>
      <c r="D25" t="str">
        <f t="shared" si="4"/>
        <v>6640</v>
      </c>
      <c r="E25" t="str">
        <f t="shared" si="5"/>
        <v>$66</v>
      </c>
      <c r="F25" t="str">
        <f t="shared" si="6"/>
        <v>$40</v>
      </c>
    </row>
    <row r="28" spans="1:31" ht="28.8" x14ac:dyDescent="0.3">
      <c r="A28" s="1" t="s">
        <v>55</v>
      </c>
      <c r="B28" s="1" t="s">
        <v>60</v>
      </c>
      <c r="C28" s="1" t="s">
        <v>59</v>
      </c>
      <c r="D28" s="1" t="s">
        <v>58</v>
      </c>
      <c r="E28" s="1" t="s">
        <v>56</v>
      </c>
      <c r="F28" s="1" t="s">
        <v>57</v>
      </c>
    </row>
    <row r="29" spans="1:31" x14ac:dyDescent="0.3">
      <c r="A29" s="6">
        <v>1078</v>
      </c>
      <c r="B29" s="6">
        <v>48</v>
      </c>
      <c r="C29">
        <f>HEX2DEC(A29)</f>
        <v>4216</v>
      </c>
      <c r="D29" t="str">
        <f>DEC2HEX(C29,4)</f>
        <v>1078</v>
      </c>
      <c r="E29" t="str">
        <f>"$"&amp;LOWER(LEFT(D29,2))</f>
        <v>$10</v>
      </c>
      <c r="F29" t="str">
        <f>"$"&amp;LOWER(MID(D29,3,2))</f>
        <v>$78</v>
      </c>
      <c r="H29" t="s">
        <v>54</v>
      </c>
    </row>
    <row r="30" spans="1:31" x14ac:dyDescent="0.3">
      <c r="C30">
        <f>C29+$B$29</f>
        <v>4264</v>
      </c>
      <c r="D30" t="str">
        <f t="shared" ref="D30:D52" si="7">DEC2HEX(C30,4)</f>
        <v>10A8</v>
      </c>
      <c r="E30" t="str">
        <f t="shared" ref="E30:E52" si="8">"$"&amp;LOWER(LEFT(D30,2))</f>
        <v>$10</v>
      </c>
      <c r="F30" t="str">
        <f t="shared" ref="F30:F52" si="9">"$"&amp;LOWER(MID(D30,3,2))</f>
        <v>$a8</v>
      </c>
      <c r="H30" s="7" t="str" cm="1">
        <f t="array" ref="H30:AE30">CONCATENATE(TRANSPOSE(E29:E52),", ")</f>
        <v xml:space="preserve">$10, </v>
      </c>
      <c r="I30" s="7" t="str">
        <v xml:space="preserve">$10, </v>
      </c>
      <c r="J30" s="7" t="str">
        <v xml:space="preserve">$10, </v>
      </c>
      <c r="K30" s="7" t="str">
        <v xml:space="preserve">$11, </v>
      </c>
      <c r="L30" s="7" t="str">
        <v xml:space="preserve">$11, </v>
      </c>
      <c r="M30" s="7" t="str">
        <v xml:space="preserve">$11, </v>
      </c>
      <c r="N30" s="7" t="str">
        <v xml:space="preserve">$11, </v>
      </c>
      <c r="O30" s="7" t="str">
        <v xml:space="preserve">$11, </v>
      </c>
      <c r="P30" s="7" t="str">
        <v xml:space="preserve">$11, </v>
      </c>
      <c r="Q30" s="7" t="str">
        <v xml:space="preserve">$12, </v>
      </c>
      <c r="R30" s="7" t="str">
        <v xml:space="preserve">$12, </v>
      </c>
      <c r="S30" s="7" t="str">
        <v xml:space="preserve">$12, </v>
      </c>
      <c r="T30" t="str">
        <v xml:space="preserve">$12, </v>
      </c>
      <c r="U30" t="str">
        <v xml:space="preserve">$12, </v>
      </c>
      <c r="V30" t="str">
        <v xml:space="preserve">$13, </v>
      </c>
      <c r="W30" t="str">
        <v xml:space="preserve">$13, </v>
      </c>
      <c r="X30" t="str">
        <v xml:space="preserve">$13, </v>
      </c>
      <c r="Y30" t="str">
        <v xml:space="preserve">$13, </v>
      </c>
      <c r="Z30" t="str">
        <v xml:space="preserve">$13, </v>
      </c>
      <c r="AA30" t="str">
        <v xml:space="preserve">$14, </v>
      </c>
      <c r="AB30" t="str">
        <v xml:space="preserve">$14, </v>
      </c>
      <c r="AC30" t="str">
        <v xml:space="preserve">$14, </v>
      </c>
      <c r="AD30" t="str">
        <v xml:space="preserve">$14, </v>
      </c>
      <c r="AE30" t="str">
        <v xml:space="preserve">$14, </v>
      </c>
    </row>
    <row r="31" spans="1:31" x14ac:dyDescent="0.3">
      <c r="C31">
        <f t="shared" ref="C31:C52" si="10">C30+$B$29</f>
        <v>4312</v>
      </c>
      <c r="D31" t="str">
        <f t="shared" si="7"/>
        <v>10D8</v>
      </c>
      <c r="E31" t="str">
        <f t="shared" si="8"/>
        <v>$10</v>
      </c>
      <c r="F31" t="str">
        <f t="shared" si="9"/>
        <v>$d8</v>
      </c>
    </row>
    <row r="32" spans="1:31" x14ac:dyDescent="0.3">
      <c r="C32">
        <f t="shared" si="10"/>
        <v>4360</v>
      </c>
      <c r="D32" t="str">
        <f t="shared" si="7"/>
        <v>1108</v>
      </c>
      <c r="E32" t="str">
        <f t="shared" si="8"/>
        <v>$11</v>
      </c>
      <c r="F32" t="str">
        <f t="shared" si="9"/>
        <v>$08</v>
      </c>
      <c r="H32" t="s">
        <v>53</v>
      </c>
    </row>
    <row r="33" spans="3:31" x14ac:dyDescent="0.3">
      <c r="C33">
        <f t="shared" si="10"/>
        <v>4408</v>
      </c>
      <c r="D33" t="str">
        <f t="shared" si="7"/>
        <v>1138</v>
      </c>
      <c r="E33" t="str">
        <f t="shared" si="8"/>
        <v>$11</v>
      </c>
      <c r="F33" t="str">
        <f t="shared" si="9"/>
        <v>$38</v>
      </c>
      <c r="H33" s="7" t="str" cm="1">
        <f t="array" ref="H33:AE33">CONCATENATE(TRANSPOSE(F29:F52),", ")</f>
        <v xml:space="preserve">$78, </v>
      </c>
      <c r="I33" s="7" t="str">
        <v xml:space="preserve">$a8, </v>
      </c>
      <c r="J33" s="7" t="str">
        <v xml:space="preserve">$d8, </v>
      </c>
      <c r="K33" s="7" t="str">
        <v xml:space="preserve">$08, </v>
      </c>
      <c r="L33" s="7" t="str">
        <v xml:space="preserve">$38, </v>
      </c>
      <c r="M33" s="7" t="str">
        <v xml:space="preserve">$68, </v>
      </c>
      <c r="N33" s="7" t="str">
        <v xml:space="preserve">$98, </v>
      </c>
      <c r="O33" s="7" t="str">
        <v xml:space="preserve">$c8, </v>
      </c>
      <c r="P33" s="7" t="str">
        <v xml:space="preserve">$f8, </v>
      </c>
      <c r="Q33" s="7" t="str">
        <v xml:space="preserve">$28, </v>
      </c>
      <c r="R33" s="7" t="str">
        <v xml:space="preserve">$58, </v>
      </c>
      <c r="S33" s="7" t="str">
        <v xml:space="preserve">$88, </v>
      </c>
      <c r="T33" t="str">
        <v xml:space="preserve">$b8, </v>
      </c>
      <c r="U33" t="str">
        <v xml:space="preserve">$e8, </v>
      </c>
      <c r="V33" t="str">
        <v xml:space="preserve">$18, </v>
      </c>
      <c r="W33" t="str">
        <v xml:space="preserve">$48, </v>
      </c>
      <c r="X33" t="str">
        <v xml:space="preserve">$78, </v>
      </c>
      <c r="Y33" t="str">
        <v xml:space="preserve">$a8, </v>
      </c>
      <c r="Z33" t="str">
        <v xml:space="preserve">$d8, </v>
      </c>
      <c r="AA33" t="str">
        <v xml:space="preserve">$08, </v>
      </c>
      <c r="AB33" t="str">
        <v xml:space="preserve">$38, </v>
      </c>
      <c r="AC33" t="str">
        <v xml:space="preserve">$68, </v>
      </c>
      <c r="AD33" t="str">
        <v xml:space="preserve">$98, </v>
      </c>
      <c r="AE33" t="str">
        <v xml:space="preserve">$c8, </v>
      </c>
    </row>
    <row r="34" spans="3:31" x14ac:dyDescent="0.3">
      <c r="C34">
        <f t="shared" si="10"/>
        <v>4456</v>
      </c>
      <c r="D34" t="str">
        <f t="shared" si="7"/>
        <v>1168</v>
      </c>
      <c r="E34" t="str">
        <f t="shared" si="8"/>
        <v>$11</v>
      </c>
      <c r="F34" t="str">
        <f t="shared" si="9"/>
        <v>$68</v>
      </c>
    </row>
    <row r="35" spans="3:31" x14ac:dyDescent="0.3">
      <c r="C35">
        <f t="shared" si="10"/>
        <v>4504</v>
      </c>
      <c r="D35" t="str">
        <f t="shared" si="7"/>
        <v>1198</v>
      </c>
      <c r="E35" t="str">
        <f t="shared" si="8"/>
        <v>$11</v>
      </c>
      <c r="F35" t="str">
        <f t="shared" si="9"/>
        <v>$98</v>
      </c>
    </row>
    <row r="36" spans="3:31" x14ac:dyDescent="0.3">
      <c r="C36">
        <f t="shared" si="10"/>
        <v>4552</v>
      </c>
      <c r="D36" t="str">
        <f t="shared" si="7"/>
        <v>11C8</v>
      </c>
      <c r="E36" t="str">
        <f t="shared" si="8"/>
        <v>$11</v>
      </c>
      <c r="F36" t="str">
        <f t="shared" si="9"/>
        <v>$c8</v>
      </c>
    </row>
    <row r="37" spans="3:31" x14ac:dyDescent="0.3">
      <c r="C37">
        <f t="shared" si="10"/>
        <v>4600</v>
      </c>
      <c r="D37" t="str">
        <f t="shared" si="7"/>
        <v>11F8</v>
      </c>
      <c r="E37" t="str">
        <f t="shared" si="8"/>
        <v>$11</v>
      </c>
      <c r="F37" t="str">
        <f t="shared" si="9"/>
        <v>$f8</v>
      </c>
    </row>
    <row r="38" spans="3:31" x14ac:dyDescent="0.3">
      <c r="C38">
        <f t="shared" si="10"/>
        <v>4648</v>
      </c>
      <c r="D38" t="str">
        <f t="shared" si="7"/>
        <v>1228</v>
      </c>
      <c r="E38" t="str">
        <f t="shared" si="8"/>
        <v>$12</v>
      </c>
      <c r="F38" t="str">
        <f t="shared" si="9"/>
        <v>$28</v>
      </c>
    </row>
    <row r="39" spans="3:31" x14ac:dyDescent="0.3">
      <c r="C39">
        <f t="shared" si="10"/>
        <v>4696</v>
      </c>
      <c r="D39" t="str">
        <f t="shared" si="7"/>
        <v>1258</v>
      </c>
      <c r="E39" t="str">
        <f t="shared" si="8"/>
        <v>$12</v>
      </c>
      <c r="F39" t="str">
        <f t="shared" si="9"/>
        <v>$58</v>
      </c>
    </row>
    <row r="40" spans="3:31" x14ac:dyDescent="0.3">
      <c r="C40">
        <f t="shared" si="10"/>
        <v>4744</v>
      </c>
      <c r="D40" t="str">
        <f t="shared" si="7"/>
        <v>1288</v>
      </c>
      <c r="E40" t="str">
        <f t="shared" si="8"/>
        <v>$12</v>
      </c>
      <c r="F40" t="str">
        <f t="shared" si="9"/>
        <v>$88</v>
      </c>
    </row>
    <row r="41" spans="3:31" x14ac:dyDescent="0.3">
      <c r="C41">
        <f t="shared" si="10"/>
        <v>4792</v>
      </c>
      <c r="D41" t="str">
        <f t="shared" si="7"/>
        <v>12B8</v>
      </c>
      <c r="E41" t="str">
        <f t="shared" si="8"/>
        <v>$12</v>
      </c>
      <c r="F41" t="str">
        <f t="shared" si="9"/>
        <v>$b8</v>
      </c>
    </row>
    <row r="42" spans="3:31" x14ac:dyDescent="0.3">
      <c r="C42">
        <f t="shared" si="10"/>
        <v>4840</v>
      </c>
      <c r="D42" t="str">
        <f t="shared" si="7"/>
        <v>12E8</v>
      </c>
      <c r="E42" t="str">
        <f t="shared" si="8"/>
        <v>$12</v>
      </c>
      <c r="F42" t="str">
        <f t="shared" si="9"/>
        <v>$e8</v>
      </c>
    </row>
    <row r="43" spans="3:31" x14ac:dyDescent="0.3">
      <c r="C43">
        <f t="shared" si="10"/>
        <v>4888</v>
      </c>
      <c r="D43" t="str">
        <f t="shared" si="7"/>
        <v>1318</v>
      </c>
      <c r="E43" t="str">
        <f t="shared" si="8"/>
        <v>$13</v>
      </c>
      <c r="F43" t="str">
        <f t="shared" si="9"/>
        <v>$18</v>
      </c>
    </row>
    <row r="44" spans="3:31" x14ac:dyDescent="0.3">
      <c r="C44">
        <f t="shared" si="10"/>
        <v>4936</v>
      </c>
      <c r="D44" t="str">
        <f t="shared" si="7"/>
        <v>1348</v>
      </c>
      <c r="E44" t="str">
        <f t="shared" si="8"/>
        <v>$13</v>
      </c>
      <c r="F44" t="str">
        <f t="shared" si="9"/>
        <v>$48</v>
      </c>
    </row>
    <row r="45" spans="3:31" x14ac:dyDescent="0.3">
      <c r="C45">
        <f t="shared" si="10"/>
        <v>4984</v>
      </c>
      <c r="D45" t="str">
        <f t="shared" si="7"/>
        <v>1378</v>
      </c>
      <c r="E45" t="str">
        <f t="shared" si="8"/>
        <v>$13</v>
      </c>
      <c r="F45" t="str">
        <f t="shared" si="9"/>
        <v>$78</v>
      </c>
    </row>
    <row r="46" spans="3:31" x14ac:dyDescent="0.3">
      <c r="C46">
        <f t="shared" si="10"/>
        <v>5032</v>
      </c>
      <c r="D46" t="str">
        <f t="shared" si="7"/>
        <v>13A8</v>
      </c>
      <c r="E46" t="str">
        <f t="shared" si="8"/>
        <v>$13</v>
      </c>
      <c r="F46" t="str">
        <f t="shared" si="9"/>
        <v>$a8</v>
      </c>
    </row>
    <row r="47" spans="3:31" x14ac:dyDescent="0.3">
      <c r="C47">
        <f t="shared" si="10"/>
        <v>5080</v>
      </c>
      <c r="D47" t="str">
        <f t="shared" si="7"/>
        <v>13D8</v>
      </c>
      <c r="E47" t="str">
        <f t="shared" si="8"/>
        <v>$13</v>
      </c>
      <c r="F47" t="str">
        <f t="shared" si="9"/>
        <v>$d8</v>
      </c>
    </row>
    <row r="48" spans="3:31" x14ac:dyDescent="0.3">
      <c r="C48">
        <f t="shared" si="10"/>
        <v>5128</v>
      </c>
      <c r="D48" t="str">
        <f t="shared" si="7"/>
        <v>1408</v>
      </c>
      <c r="E48" t="str">
        <f t="shared" si="8"/>
        <v>$14</v>
      </c>
      <c r="F48" t="str">
        <f t="shared" si="9"/>
        <v>$08</v>
      </c>
    </row>
    <row r="49" spans="3:6" x14ac:dyDescent="0.3">
      <c r="C49">
        <f t="shared" si="10"/>
        <v>5176</v>
      </c>
      <c r="D49" t="str">
        <f t="shared" si="7"/>
        <v>1438</v>
      </c>
      <c r="E49" t="str">
        <f t="shared" si="8"/>
        <v>$14</v>
      </c>
      <c r="F49" t="str">
        <f t="shared" si="9"/>
        <v>$38</v>
      </c>
    </row>
    <row r="50" spans="3:6" x14ac:dyDescent="0.3">
      <c r="C50">
        <f t="shared" si="10"/>
        <v>5224</v>
      </c>
      <c r="D50" t="str">
        <f t="shared" si="7"/>
        <v>1468</v>
      </c>
      <c r="E50" t="str">
        <f t="shared" si="8"/>
        <v>$14</v>
      </c>
      <c r="F50" t="str">
        <f t="shared" si="9"/>
        <v>$68</v>
      </c>
    </row>
    <row r="51" spans="3:6" x14ac:dyDescent="0.3">
      <c r="C51">
        <f t="shared" si="10"/>
        <v>5272</v>
      </c>
      <c r="D51" t="str">
        <f t="shared" si="7"/>
        <v>1498</v>
      </c>
      <c r="E51" t="str">
        <f t="shared" si="8"/>
        <v>$14</v>
      </c>
      <c r="F51" t="str">
        <f t="shared" si="9"/>
        <v>$98</v>
      </c>
    </row>
    <row r="52" spans="3:6" x14ac:dyDescent="0.3">
      <c r="C52">
        <f t="shared" si="10"/>
        <v>5320</v>
      </c>
      <c r="D52" t="str">
        <f t="shared" si="7"/>
        <v>14C8</v>
      </c>
      <c r="E52" t="str">
        <f t="shared" si="8"/>
        <v>$14</v>
      </c>
      <c r="F52" t="str">
        <f t="shared" si="9"/>
        <v>$c8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EE54-720C-4D4C-95C8-56885DC36DC9}">
  <dimension ref="A1:X10"/>
  <sheetViews>
    <sheetView workbookViewId="0">
      <selection activeCell="AB16" sqref="AB16"/>
    </sheetView>
  </sheetViews>
  <sheetFormatPr defaultRowHeight="14.4" x14ac:dyDescent="0.3"/>
  <cols>
    <col min="1" max="24" width="2.77734375" customWidth="1"/>
  </cols>
  <sheetData>
    <row r="1" spans="1:24" x14ac:dyDescent="0.3">
      <c r="A1" s="15" t="s">
        <v>94</v>
      </c>
      <c r="B1" s="15" t="s">
        <v>94</v>
      </c>
      <c r="C1" s="2"/>
      <c r="D1" s="2"/>
      <c r="E1" s="15" t="s">
        <v>96</v>
      </c>
      <c r="F1" s="15" t="s">
        <v>96</v>
      </c>
      <c r="G1" s="2"/>
      <c r="H1" s="2"/>
      <c r="I1" s="2" t="s">
        <v>108</v>
      </c>
      <c r="J1" s="2" t="s">
        <v>110</v>
      </c>
      <c r="K1" s="2" t="s">
        <v>111</v>
      </c>
      <c r="L1" s="2" t="s">
        <v>105</v>
      </c>
      <c r="M1" s="2"/>
      <c r="O1" s="2" t="s">
        <v>102</v>
      </c>
      <c r="P1" s="2" t="s">
        <v>103</v>
      </c>
      <c r="Q1" s="2" t="s">
        <v>104</v>
      </c>
      <c r="R1" s="2" t="s">
        <v>105</v>
      </c>
      <c r="S1" s="2"/>
      <c r="T1" s="2" t="s">
        <v>103</v>
      </c>
      <c r="U1" s="2">
        <v>1</v>
      </c>
      <c r="V1" s="2"/>
      <c r="W1" s="15" t="s">
        <v>99</v>
      </c>
      <c r="X1" s="15" t="s">
        <v>99</v>
      </c>
    </row>
    <row r="2" spans="1:24" x14ac:dyDescent="0.3">
      <c r="A2" s="15" t="s">
        <v>94</v>
      </c>
      <c r="B2" s="15" t="s">
        <v>94</v>
      </c>
      <c r="C2" s="2"/>
      <c r="D2" s="2"/>
      <c r="E2" s="15" t="s">
        <v>96</v>
      </c>
      <c r="F2" s="15" t="s">
        <v>96</v>
      </c>
      <c r="G2" s="2"/>
      <c r="H2" s="2"/>
      <c r="I2" s="2" t="s">
        <v>98</v>
      </c>
      <c r="J2" s="2" t="s">
        <v>98</v>
      </c>
      <c r="K2" s="2" t="s">
        <v>98</v>
      </c>
      <c r="L2" s="2"/>
      <c r="M2" s="2"/>
      <c r="O2" s="2"/>
      <c r="P2" s="2"/>
      <c r="Q2" s="2" t="s">
        <v>101</v>
      </c>
      <c r="R2" s="2" t="s">
        <v>101</v>
      </c>
      <c r="S2" s="2" t="s">
        <v>101</v>
      </c>
      <c r="T2" s="2" t="s">
        <v>101</v>
      </c>
      <c r="U2" s="2" t="s">
        <v>101</v>
      </c>
      <c r="V2" s="2"/>
      <c r="W2" s="15" t="s">
        <v>99</v>
      </c>
      <c r="X2" s="15" t="s">
        <v>99</v>
      </c>
    </row>
    <row r="3" spans="1:24" x14ac:dyDescent="0.3">
      <c r="A3" s="2" t="s">
        <v>95</v>
      </c>
      <c r="B3" s="2" t="s">
        <v>95</v>
      </c>
      <c r="C3" s="2" t="s">
        <v>95</v>
      </c>
      <c r="D3" s="2"/>
      <c r="E3" s="2" t="s">
        <v>97</v>
      </c>
      <c r="F3" s="2" t="s">
        <v>97</v>
      </c>
      <c r="G3" s="2" t="s">
        <v>97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100</v>
      </c>
      <c r="X3" s="2" t="s">
        <v>100</v>
      </c>
    </row>
    <row r="4" spans="1:24" x14ac:dyDescent="0.3">
      <c r="A4" s="2"/>
      <c r="B4" s="2"/>
      <c r="C4" s="2"/>
      <c r="D4" s="2"/>
      <c r="E4" s="2" t="s">
        <v>106</v>
      </c>
      <c r="F4" s="2" t="s">
        <v>107</v>
      </c>
      <c r="G4" s="2" t="s">
        <v>108</v>
      </c>
      <c r="H4" s="2"/>
      <c r="I4" s="2" t="s">
        <v>103</v>
      </c>
      <c r="J4" s="2" t="s">
        <v>109</v>
      </c>
      <c r="K4" s="2" t="s">
        <v>109</v>
      </c>
      <c r="L4" s="2"/>
      <c r="M4" s="2" t="s">
        <v>94</v>
      </c>
      <c r="N4" s="2" t="s">
        <v>110</v>
      </c>
      <c r="O4" s="2" t="s">
        <v>103</v>
      </c>
      <c r="P4" s="2" t="s">
        <v>111</v>
      </c>
      <c r="Q4" s="2" t="s">
        <v>107</v>
      </c>
      <c r="R4" s="2" t="s">
        <v>112</v>
      </c>
      <c r="S4" s="2" t="s">
        <v>94</v>
      </c>
      <c r="T4" s="2" t="s">
        <v>113</v>
      </c>
      <c r="U4" s="2"/>
      <c r="V4" s="2"/>
      <c r="W4" s="2"/>
      <c r="X4" s="2"/>
    </row>
    <row r="5" spans="1:2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A8" s="2"/>
      <c r="B8" s="2"/>
      <c r="C8" s="2"/>
      <c r="D8" s="2"/>
      <c r="E8" s="2"/>
      <c r="F8" s="2"/>
      <c r="G8" s="2"/>
      <c r="H8" s="2"/>
      <c r="I8" s="2"/>
      <c r="J8" s="2"/>
      <c r="R8" s="2"/>
      <c r="S8" s="2"/>
      <c r="T8" s="2"/>
      <c r="U8" s="2"/>
      <c r="V8" s="2"/>
      <c r="W8" s="2"/>
      <c r="X8" s="2"/>
    </row>
    <row r="9" spans="1:2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6825-5437-4B40-819B-5C5B590B193E}">
  <dimension ref="A1:CP64"/>
  <sheetViews>
    <sheetView topLeftCell="AL1" zoomScale="55" zoomScaleNormal="55" workbookViewId="0">
      <selection activeCell="CP1" sqref="CP1"/>
    </sheetView>
  </sheetViews>
  <sheetFormatPr defaultRowHeight="14.4" x14ac:dyDescent="0.3"/>
  <cols>
    <col min="1" max="32" width="4.77734375" style="2" customWidth="1"/>
    <col min="33" max="33" width="2.77734375" style="2" customWidth="1"/>
    <col min="34" max="65" width="3" style="2" customWidth="1"/>
    <col min="66" max="66" width="8.88671875" style="2"/>
    <col min="67" max="74" width="10.77734375" style="16" customWidth="1"/>
    <col min="75" max="84" width="8.88671875" style="2"/>
    <col min="85" max="92" width="3.77734375" style="2" customWidth="1"/>
    <col min="93" max="93" width="8.88671875" style="2"/>
    <col min="94" max="94" width="43.77734375" style="2" bestFit="1" customWidth="1"/>
    <col min="95" max="16384" width="8.88671875" style="2"/>
  </cols>
  <sheetData>
    <row r="1" spans="1:94" x14ac:dyDescent="0.3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H1" s="2" t="str">
        <f>_xlfn.XLOOKUP(A1,'Vic colour ref'!$A$2:$A$5,'Vic colour ref'!$D$2:$D$5,"")</f>
        <v>00</v>
      </c>
      <c r="AI1" s="2" t="str">
        <f>_xlfn.XLOOKUP(B1,'Vic colour ref'!$A$2:$A$5,'Vic colour ref'!$D$2:$D$5,"")</f>
        <v>00</v>
      </c>
      <c r="AJ1" s="2" t="str">
        <f>_xlfn.XLOOKUP(C1,'Vic colour ref'!$A$2:$A$5,'Vic colour ref'!$D$2:$D$5,"")</f>
        <v>00</v>
      </c>
      <c r="AK1" s="2" t="str">
        <f>_xlfn.XLOOKUP(D1,'Vic colour ref'!$A$2:$A$5,'Vic colour ref'!$D$2:$D$5,"")</f>
        <v>00</v>
      </c>
      <c r="AL1" s="2" t="str">
        <f>_xlfn.XLOOKUP(E1,'Vic colour ref'!$A$2:$A$5,'Vic colour ref'!$D$2:$D$5,"")</f>
        <v>00</v>
      </c>
      <c r="AM1" s="2" t="str">
        <f>_xlfn.XLOOKUP(F1,'Vic colour ref'!$A$2:$A$5,'Vic colour ref'!$D$2:$D$5,"")</f>
        <v>00</v>
      </c>
      <c r="AN1" s="2" t="str">
        <f>_xlfn.XLOOKUP(G1,'Vic colour ref'!$A$2:$A$5,'Vic colour ref'!$D$2:$D$5,"")</f>
        <v>00</v>
      </c>
      <c r="AO1" s="2" t="str">
        <f>_xlfn.XLOOKUP(H1,'Vic colour ref'!$A$2:$A$5,'Vic colour ref'!$D$2:$D$5,"")</f>
        <v>00</v>
      </c>
      <c r="AP1" s="2" t="str">
        <f>_xlfn.XLOOKUP(I1,'Vic colour ref'!$A$2:$A$5,'Vic colour ref'!$D$2:$D$5,"")</f>
        <v>00</v>
      </c>
      <c r="AQ1" s="2" t="str">
        <f>_xlfn.XLOOKUP(J1,'Vic colour ref'!$A$2:$A$5,'Vic colour ref'!$D$2:$D$5,"")</f>
        <v>00</v>
      </c>
      <c r="AR1" s="2" t="str">
        <f>_xlfn.XLOOKUP(K1,'Vic colour ref'!$A$2:$A$5,'Vic colour ref'!$D$2:$D$5,"")</f>
        <v>00</v>
      </c>
      <c r="AS1" s="2" t="str">
        <f>_xlfn.XLOOKUP(L1,'Vic colour ref'!$A$2:$A$5,'Vic colour ref'!$D$2:$D$5,"")</f>
        <v>00</v>
      </c>
      <c r="AT1" s="2" t="str">
        <f>_xlfn.XLOOKUP(M1,'Vic colour ref'!$A$2:$A$5,'Vic colour ref'!$D$2:$D$5,"")</f>
        <v>00</v>
      </c>
      <c r="AU1" s="2" t="str">
        <f>_xlfn.XLOOKUP(N1,'Vic colour ref'!$A$2:$A$5,'Vic colour ref'!$D$2:$D$5,"")</f>
        <v>00</v>
      </c>
      <c r="AV1" s="2" t="str">
        <f>_xlfn.XLOOKUP(O1,'Vic colour ref'!$A$2:$A$5,'Vic colour ref'!$D$2:$D$5,"")</f>
        <v>00</v>
      </c>
      <c r="AW1" s="2" t="str">
        <f>_xlfn.XLOOKUP(P1,'Vic colour ref'!$A$2:$A$5,'Vic colour ref'!$D$2:$D$5,"")</f>
        <v>00</v>
      </c>
      <c r="AX1" s="2" t="str">
        <f>_xlfn.XLOOKUP(Q1,'Vic colour ref'!$A$2:$A$5,'Vic colour ref'!$D$2:$D$5,"")</f>
        <v>00</v>
      </c>
      <c r="AY1" s="2" t="str">
        <f>_xlfn.XLOOKUP(R1,'Vic colour ref'!$A$2:$A$5,'Vic colour ref'!$D$2:$D$5,"")</f>
        <v>00</v>
      </c>
      <c r="AZ1" s="2" t="str">
        <f>_xlfn.XLOOKUP(S1,'Vic colour ref'!$A$2:$A$5,'Vic colour ref'!$D$2:$D$5,"")</f>
        <v>00</v>
      </c>
      <c r="BA1" s="2" t="str">
        <f>_xlfn.XLOOKUP(T1,'Vic colour ref'!$A$2:$A$5,'Vic colour ref'!$D$2:$D$5,"")</f>
        <v>00</v>
      </c>
      <c r="BB1" s="2" t="str">
        <f>_xlfn.XLOOKUP(U1,'Vic colour ref'!$A$2:$A$5,'Vic colour ref'!$D$2:$D$5,"")</f>
        <v>00</v>
      </c>
      <c r="BC1" s="2" t="str">
        <f>_xlfn.XLOOKUP(V1,'Vic colour ref'!$A$2:$A$5,'Vic colour ref'!$D$2:$D$5,"")</f>
        <v>00</v>
      </c>
      <c r="BD1" s="2" t="str">
        <f>_xlfn.XLOOKUP(W1,'Vic colour ref'!$A$2:$A$5,'Vic colour ref'!$D$2:$D$5,"")</f>
        <v>00</v>
      </c>
      <c r="BE1" s="2" t="str">
        <f>_xlfn.XLOOKUP(X1,'Vic colour ref'!$A$2:$A$5,'Vic colour ref'!$D$2:$D$5,"")</f>
        <v>00</v>
      </c>
      <c r="BF1" s="2" t="str">
        <f>_xlfn.XLOOKUP(Y1,'Vic colour ref'!$A$2:$A$5,'Vic colour ref'!$D$2:$D$5,"")</f>
        <v>00</v>
      </c>
      <c r="BG1" s="2" t="str">
        <f>_xlfn.XLOOKUP(Z1,'Vic colour ref'!$A$2:$A$5,'Vic colour ref'!$D$2:$D$5,"")</f>
        <v>00</v>
      </c>
      <c r="BH1" s="2" t="str">
        <f>_xlfn.XLOOKUP(AA1,'Vic colour ref'!$A$2:$A$5,'Vic colour ref'!$D$2:$D$5,"")</f>
        <v>00</v>
      </c>
      <c r="BI1" s="2" t="str">
        <f>_xlfn.XLOOKUP(AB1,'Vic colour ref'!$A$2:$A$5,'Vic colour ref'!$D$2:$D$5,"")</f>
        <v>00</v>
      </c>
      <c r="BJ1" s="2" t="str">
        <f>_xlfn.XLOOKUP(AC1,'Vic colour ref'!$A$2:$A$5,'Vic colour ref'!$D$2:$D$5,"")</f>
        <v>00</v>
      </c>
      <c r="BK1" s="2" t="str">
        <f>_xlfn.XLOOKUP(AD1,'Vic colour ref'!$A$2:$A$5,'Vic colour ref'!$D$2:$D$5,"")</f>
        <v>00</v>
      </c>
      <c r="BL1" s="2" t="str">
        <f>_xlfn.XLOOKUP(AE1,'Vic colour ref'!$A$2:$A$5,'Vic colour ref'!$D$2:$D$5,"")</f>
        <v>00</v>
      </c>
      <c r="BM1" s="2" t="str">
        <f>_xlfn.XLOOKUP(AF1,'Vic colour ref'!$A$2:$A$5,'Vic colour ref'!$D$2:$D$5,"")</f>
        <v>00</v>
      </c>
      <c r="BO1" s="17" t="str">
        <f>_xlfn.CONCAT(AH1:AK1)</f>
        <v>00000000</v>
      </c>
      <c r="BP1" s="17" t="str">
        <f>_xlfn.CONCAT(AL1:AO1)</f>
        <v>00000000</v>
      </c>
      <c r="BQ1" s="17" t="str">
        <f>_xlfn.CONCAT(AP1:AS1)</f>
        <v>00000000</v>
      </c>
      <c r="BR1" s="17" t="str">
        <f>_xlfn.CONCAT(AT1:AW1)</f>
        <v>00000000</v>
      </c>
      <c r="BS1" s="17" t="str">
        <f>_xlfn.CONCAT(AX1:BA1)</f>
        <v>00000000</v>
      </c>
      <c r="BT1" s="17" t="str">
        <f>_xlfn.CONCAT(BB1:BE1)</f>
        <v>00000000</v>
      </c>
      <c r="BU1" s="17" t="str">
        <f>_xlfn.CONCAT(BF1:BI1)</f>
        <v>00000000</v>
      </c>
      <c r="BV1" s="17" t="str">
        <f>_xlfn.CONCAT(BJ1:BM1)</f>
        <v>00000000</v>
      </c>
      <c r="BX1" s="20" t="str">
        <f t="shared" ref="BX1:CE1" si="0">BIN2HEX(BO1,2)</f>
        <v>00</v>
      </c>
      <c r="BY1" s="20" t="str">
        <f t="shared" si="0"/>
        <v>00</v>
      </c>
      <c r="BZ1" s="20" t="str">
        <f t="shared" si="0"/>
        <v>00</v>
      </c>
      <c r="CA1" s="20" t="str">
        <f t="shared" si="0"/>
        <v>00</v>
      </c>
      <c r="CB1" s="23" t="str">
        <f t="shared" si="0"/>
        <v>00</v>
      </c>
      <c r="CC1" s="23" t="str">
        <f t="shared" si="0"/>
        <v>00</v>
      </c>
      <c r="CD1" s="23" t="str">
        <f t="shared" si="0"/>
        <v>00</v>
      </c>
      <c r="CE1" s="23" t="str">
        <f t="shared" si="0"/>
        <v>00</v>
      </c>
      <c r="CG1" s="2" t="str" cm="1">
        <f t="array" ref="CG1:CN1">TRANSPOSE(BX1:BX8)</f>
        <v>00</v>
      </c>
      <c r="CH1" s="2" t="str">
        <v>00</v>
      </c>
      <c r="CI1" s="2" t="str">
        <v>03</v>
      </c>
      <c r="CJ1" s="2" t="str">
        <v>03</v>
      </c>
      <c r="CK1" s="2" t="str">
        <v>03</v>
      </c>
      <c r="CL1" s="2" t="str">
        <v>03</v>
      </c>
      <c r="CM1" s="2" t="str">
        <v>03</v>
      </c>
      <c r="CN1" s="2" t="str">
        <v>03</v>
      </c>
      <c r="CP1" s="4" t="str">
        <f>LOWER("!byte $"&amp;CG1&amp;", $"&amp;CH1&amp;", $"&amp;CI1&amp;", $"&amp;CJ1&amp;", $"&amp;CK1&amp;", $"&amp;CL1&amp;", $"&amp;CM1&amp;", $"&amp;CN1)</f>
        <v>!byte $00, $00, $03, $03, $03, $03, $03, $03</v>
      </c>
    </row>
    <row r="2" spans="1:94" x14ac:dyDescent="0.3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H2" s="2" t="str">
        <f>_xlfn.XLOOKUP(A2,'Vic colour ref'!$A$2:$A$5,'Vic colour ref'!$D$2:$D$5,"")</f>
        <v>00</v>
      </c>
      <c r="AI2" s="2" t="str">
        <f>_xlfn.XLOOKUP(B2,'Vic colour ref'!$A$2:$A$5,'Vic colour ref'!$D$2:$D$5,"")</f>
        <v>00</v>
      </c>
      <c r="AJ2" s="2" t="str">
        <f>_xlfn.XLOOKUP(C2,'Vic colour ref'!$A$2:$A$5,'Vic colour ref'!$D$2:$D$5,"")</f>
        <v>00</v>
      </c>
      <c r="AK2" s="2" t="str">
        <f>_xlfn.XLOOKUP(D2,'Vic colour ref'!$A$2:$A$5,'Vic colour ref'!$D$2:$D$5,"")</f>
        <v>00</v>
      </c>
      <c r="AL2" s="2" t="str">
        <f>_xlfn.XLOOKUP(E2,'Vic colour ref'!$A$2:$A$5,'Vic colour ref'!$D$2:$D$5,"")</f>
        <v>00</v>
      </c>
      <c r="AM2" s="2" t="str">
        <f>_xlfn.XLOOKUP(F2,'Vic colour ref'!$A$2:$A$5,'Vic colour ref'!$D$2:$D$5,"")</f>
        <v>00</v>
      </c>
      <c r="AN2" s="2" t="str">
        <f>_xlfn.XLOOKUP(G2,'Vic colour ref'!$A$2:$A$5,'Vic colour ref'!$D$2:$D$5,"")</f>
        <v>00</v>
      </c>
      <c r="AO2" s="2" t="str">
        <f>_xlfn.XLOOKUP(H2,'Vic colour ref'!$A$2:$A$5,'Vic colour ref'!$D$2:$D$5,"")</f>
        <v>00</v>
      </c>
      <c r="AP2" s="2" t="str">
        <f>_xlfn.XLOOKUP(I2,'Vic colour ref'!$A$2:$A$5,'Vic colour ref'!$D$2:$D$5,"")</f>
        <v>00</v>
      </c>
      <c r="AQ2" s="2" t="str">
        <f>_xlfn.XLOOKUP(J2,'Vic colour ref'!$A$2:$A$5,'Vic colour ref'!$D$2:$D$5,"")</f>
        <v>00</v>
      </c>
      <c r="AR2" s="2" t="str">
        <f>_xlfn.XLOOKUP(K2,'Vic colour ref'!$A$2:$A$5,'Vic colour ref'!$D$2:$D$5,"")</f>
        <v>00</v>
      </c>
      <c r="AS2" s="2" t="str">
        <f>_xlfn.XLOOKUP(L2,'Vic colour ref'!$A$2:$A$5,'Vic colour ref'!$D$2:$D$5,"")</f>
        <v>00</v>
      </c>
      <c r="AT2" s="2" t="str">
        <f>_xlfn.XLOOKUP(M2,'Vic colour ref'!$A$2:$A$5,'Vic colour ref'!$D$2:$D$5,"")</f>
        <v>00</v>
      </c>
      <c r="AU2" s="2" t="str">
        <f>_xlfn.XLOOKUP(N2,'Vic colour ref'!$A$2:$A$5,'Vic colour ref'!$D$2:$D$5,"")</f>
        <v>00</v>
      </c>
      <c r="AV2" s="2" t="str">
        <f>_xlfn.XLOOKUP(O2,'Vic colour ref'!$A$2:$A$5,'Vic colour ref'!$D$2:$D$5,"")</f>
        <v>00</v>
      </c>
      <c r="AW2" s="2" t="str">
        <f>_xlfn.XLOOKUP(P2,'Vic colour ref'!$A$2:$A$5,'Vic colour ref'!$D$2:$D$5,"")</f>
        <v>00</v>
      </c>
      <c r="AX2" s="2" t="str">
        <f>_xlfn.XLOOKUP(Q2,'Vic colour ref'!$A$2:$A$5,'Vic colour ref'!$D$2:$D$5,"")</f>
        <v>00</v>
      </c>
      <c r="AY2" s="2" t="str">
        <f>_xlfn.XLOOKUP(R2,'Vic colour ref'!$A$2:$A$5,'Vic colour ref'!$D$2:$D$5,"")</f>
        <v>00</v>
      </c>
      <c r="AZ2" s="2" t="str">
        <f>_xlfn.XLOOKUP(S2,'Vic colour ref'!$A$2:$A$5,'Vic colour ref'!$D$2:$D$5,"")</f>
        <v>00</v>
      </c>
      <c r="BA2" s="2" t="str">
        <f>_xlfn.XLOOKUP(T2,'Vic colour ref'!$A$2:$A$5,'Vic colour ref'!$D$2:$D$5,"")</f>
        <v>00</v>
      </c>
      <c r="BB2" s="2" t="str">
        <f>_xlfn.XLOOKUP(U2,'Vic colour ref'!$A$2:$A$5,'Vic colour ref'!$D$2:$D$5,"")</f>
        <v>00</v>
      </c>
      <c r="BC2" s="2" t="str">
        <f>_xlfn.XLOOKUP(V2,'Vic colour ref'!$A$2:$A$5,'Vic colour ref'!$D$2:$D$5,"")</f>
        <v>00</v>
      </c>
      <c r="BD2" s="2" t="str">
        <f>_xlfn.XLOOKUP(W2,'Vic colour ref'!$A$2:$A$5,'Vic colour ref'!$D$2:$D$5,"")</f>
        <v>00</v>
      </c>
      <c r="BE2" s="2" t="str">
        <f>_xlfn.XLOOKUP(X2,'Vic colour ref'!$A$2:$A$5,'Vic colour ref'!$D$2:$D$5,"")</f>
        <v>00</v>
      </c>
      <c r="BF2" s="2" t="str">
        <f>_xlfn.XLOOKUP(Y2,'Vic colour ref'!$A$2:$A$5,'Vic colour ref'!$D$2:$D$5,"")</f>
        <v>00</v>
      </c>
      <c r="BG2" s="2" t="str">
        <f>_xlfn.XLOOKUP(Z2,'Vic colour ref'!$A$2:$A$5,'Vic colour ref'!$D$2:$D$5,"")</f>
        <v>00</v>
      </c>
      <c r="BH2" s="2" t="str">
        <f>_xlfn.XLOOKUP(AA2,'Vic colour ref'!$A$2:$A$5,'Vic colour ref'!$D$2:$D$5,"")</f>
        <v>00</v>
      </c>
      <c r="BI2" s="2" t="str">
        <f>_xlfn.XLOOKUP(AB2,'Vic colour ref'!$A$2:$A$5,'Vic colour ref'!$D$2:$D$5,"")</f>
        <v>00</v>
      </c>
      <c r="BJ2" s="2" t="str">
        <f>_xlfn.XLOOKUP(AC2,'Vic colour ref'!$A$2:$A$5,'Vic colour ref'!$D$2:$D$5,"")</f>
        <v>00</v>
      </c>
      <c r="BK2" s="2" t="str">
        <f>_xlfn.XLOOKUP(AD2,'Vic colour ref'!$A$2:$A$5,'Vic colour ref'!$D$2:$D$5,"")</f>
        <v>00</v>
      </c>
      <c r="BL2" s="2" t="str">
        <f>_xlfn.XLOOKUP(AE2,'Vic colour ref'!$A$2:$A$5,'Vic colour ref'!$D$2:$D$5,"")</f>
        <v>00</v>
      </c>
      <c r="BM2" s="2" t="str">
        <f>_xlfn.XLOOKUP(AF2,'Vic colour ref'!$A$2:$A$5,'Vic colour ref'!$D$2:$D$5,"")</f>
        <v>00</v>
      </c>
      <c r="BO2" s="18" t="str">
        <f t="shared" ref="BO2:BO64" si="1">_xlfn.CONCAT(AH2:AK2)</f>
        <v>00000000</v>
      </c>
      <c r="BP2" s="18" t="str">
        <f t="shared" ref="BP2:BP64" si="2">_xlfn.CONCAT(AL2:AO2)</f>
        <v>00000000</v>
      </c>
      <c r="BQ2" s="18" t="str">
        <f t="shared" ref="BQ2:BQ64" si="3">_xlfn.CONCAT(AP2:AS2)</f>
        <v>00000000</v>
      </c>
      <c r="BR2" s="18" t="str">
        <f t="shared" ref="BR2:BR64" si="4">_xlfn.CONCAT(AT2:AW2)</f>
        <v>00000000</v>
      </c>
      <c r="BS2" s="18" t="str">
        <f t="shared" ref="BS2:BS64" si="5">_xlfn.CONCAT(AX2:BA2)</f>
        <v>00000000</v>
      </c>
      <c r="BT2" s="18" t="str">
        <f t="shared" ref="BT2:BT64" si="6">_xlfn.CONCAT(BB2:BE2)</f>
        <v>00000000</v>
      </c>
      <c r="BU2" s="18" t="str">
        <f t="shared" ref="BU2:BU64" si="7">_xlfn.CONCAT(BF2:BI2)</f>
        <v>00000000</v>
      </c>
      <c r="BV2" s="18" t="str">
        <f t="shared" ref="BV2:BV64" si="8">_xlfn.CONCAT(BJ2:BM2)</f>
        <v>00000000</v>
      </c>
      <c r="BX2" s="21" t="str">
        <f t="shared" ref="BX2:BX64" si="9">BIN2HEX(BO2,2)</f>
        <v>00</v>
      </c>
      <c r="BY2" s="21" t="str">
        <f t="shared" ref="BY2:BY64" si="10">BIN2HEX(BP2,2)</f>
        <v>00</v>
      </c>
      <c r="BZ2" s="21" t="str">
        <f t="shared" ref="BZ2:CD64" si="11">BIN2HEX(BQ2,2)</f>
        <v>00</v>
      </c>
      <c r="CA2" s="21" t="str">
        <f t="shared" si="11"/>
        <v>00</v>
      </c>
      <c r="CB2" s="24" t="str">
        <f t="shared" si="11"/>
        <v>00</v>
      </c>
      <c r="CC2" s="24" t="str">
        <f t="shared" si="11"/>
        <v>00</v>
      </c>
      <c r="CD2" s="24" t="str">
        <f t="shared" si="11"/>
        <v>00</v>
      </c>
      <c r="CE2" s="24" t="str">
        <f t="shared" ref="CE2:CE64" si="12">BIN2HEX(BV2,2)</f>
        <v>00</v>
      </c>
      <c r="CG2" s="2" t="str" cm="1">
        <f t="array" ref="CG2:CN2">TRANSPOSE(BY1:BY8)</f>
        <v>00</v>
      </c>
      <c r="CH2" s="2" t="str">
        <v>00</v>
      </c>
      <c r="CI2" s="2" t="str">
        <v>F0</v>
      </c>
      <c r="CJ2" s="2" t="str">
        <v>F0</v>
      </c>
      <c r="CK2" s="2" t="str">
        <v>F0</v>
      </c>
      <c r="CL2" s="2" t="str">
        <v>FF</v>
      </c>
      <c r="CM2" s="2" t="str">
        <v>FF</v>
      </c>
      <c r="CN2" s="2" t="str">
        <v>FF</v>
      </c>
      <c r="CP2" s="4" t="str">
        <f t="shared" ref="CP2:CP64" si="13">LOWER("!byte $"&amp;CG2&amp;", $"&amp;CH2&amp;", $"&amp;CI2&amp;", $"&amp;CJ2&amp;", $"&amp;CK2&amp;", $"&amp;CL2&amp;", $"&amp;CM2&amp;", $"&amp;CN2)</f>
        <v>!byte $00, $00, $f0, $f0, $f0, $ff, $ff, $ff</v>
      </c>
    </row>
    <row r="3" spans="1:94" x14ac:dyDescent="0.3">
      <c r="A3" s="2">
        <v>0</v>
      </c>
      <c r="B3" s="2">
        <v>0</v>
      </c>
      <c r="C3" s="2">
        <v>0</v>
      </c>
      <c r="D3" s="2">
        <v>3</v>
      </c>
      <c r="E3" s="2">
        <v>3</v>
      </c>
      <c r="F3" s="2">
        <v>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3</v>
      </c>
      <c r="N3" s="2">
        <v>3</v>
      </c>
      <c r="O3" s="2">
        <v>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H3" s="2" t="str">
        <f>_xlfn.XLOOKUP(A3,'Vic colour ref'!$A$2:$A$5,'Vic colour ref'!$D$2:$D$5,"")</f>
        <v>00</v>
      </c>
      <c r="AI3" s="2" t="str">
        <f>_xlfn.XLOOKUP(B3,'Vic colour ref'!$A$2:$A$5,'Vic colour ref'!$D$2:$D$5,"")</f>
        <v>00</v>
      </c>
      <c r="AJ3" s="2" t="str">
        <f>_xlfn.XLOOKUP(C3,'Vic colour ref'!$A$2:$A$5,'Vic colour ref'!$D$2:$D$5,"")</f>
        <v>00</v>
      </c>
      <c r="AK3" s="2">
        <f>_xlfn.XLOOKUP(D3,'Vic colour ref'!$A$2:$A$5,'Vic colour ref'!$D$2:$D$5,"")</f>
        <v>11</v>
      </c>
      <c r="AL3" s="2">
        <f>_xlfn.XLOOKUP(E3,'Vic colour ref'!$A$2:$A$5,'Vic colour ref'!$D$2:$D$5,"")</f>
        <v>11</v>
      </c>
      <c r="AM3" s="2">
        <f>_xlfn.XLOOKUP(F3,'Vic colour ref'!$A$2:$A$5,'Vic colour ref'!$D$2:$D$5,"")</f>
        <v>11</v>
      </c>
      <c r="AN3" s="2" t="str">
        <f>_xlfn.XLOOKUP(G3,'Vic colour ref'!$A$2:$A$5,'Vic colour ref'!$D$2:$D$5,"")</f>
        <v>00</v>
      </c>
      <c r="AO3" s="2" t="str">
        <f>_xlfn.XLOOKUP(H3,'Vic colour ref'!$A$2:$A$5,'Vic colour ref'!$D$2:$D$5,"")</f>
        <v>00</v>
      </c>
      <c r="AP3" s="2" t="str">
        <f>_xlfn.XLOOKUP(I3,'Vic colour ref'!$A$2:$A$5,'Vic colour ref'!$D$2:$D$5,"")</f>
        <v>00</v>
      </c>
      <c r="AQ3" s="2" t="str">
        <f>_xlfn.XLOOKUP(J3,'Vic colour ref'!$A$2:$A$5,'Vic colour ref'!$D$2:$D$5,"")</f>
        <v>00</v>
      </c>
      <c r="AR3" s="2" t="str">
        <f>_xlfn.XLOOKUP(K3,'Vic colour ref'!$A$2:$A$5,'Vic colour ref'!$D$2:$D$5,"")</f>
        <v>00</v>
      </c>
      <c r="AS3" s="2" t="str">
        <f>_xlfn.XLOOKUP(L3,'Vic colour ref'!$A$2:$A$5,'Vic colour ref'!$D$2:$D$5,"")</f>
        <v>00</v>
      </c>
      <c r="AT3" s="2">
        <f>_xlfn.XLOOKUP(M3,'Vic colour ref'!$A$2:$A$5,'Vic colour ref'!$D$2:$D$5,"")</f>
        <v>11</v>
      </c>
      <c r="AU3" s="2">
        <f>_xlfn.XLOOKUP(N3,'Vic colour ref'!$A$2:$A$5,'Vic colour ref'!$D$2:$D$5,"")</f>
        <v>11</v>
      </c>
      <c r="AV3" s="2">
        <f>_xlfn.XLOOKUP(O3,'Vic colour ref'!$A$2:$A$5,'Vic colour ref'!$D$2:$D$5,"")</f>
        <v>11</v>
      </c>
      <c r="AW3" s="2" t="str">
        <f>_xlfn.XLOOKUP(P3,'Vic colour ref'!$A$2:$A$5,'Vic colour ref'!$D$2:$D$5,"")</f>
        <v>00</v>
      </c>
      <c r="AX3" s="2" t="str">
        <f>_xlfn.XLOOKUP(Q3,'Vic colour ref'!$A$2:$A$5,'Vic colour ref'!$D$2:$D$5,"")</f>
        <v>00</v>
      </c>
      <c r="AY3" s="2" t="str">
        <f>_xlfn.XLOOKUP(R3,'Vic colour ref'!$A$2:$A$5,'Vic colour ref'!$D$2:$D$5,"")</f>
        <v>00</v>
      </c>
      <c r="AZ3" s="2" t="str">
        <f>_xlfn.XLOOKUP(S3,'Vic colour ref'!$A$2:$A$5,'Vic colour ref'!$D$2:$D$5,"")</f>
        <v>00</v>
      </c>
      <c r="BA3" s="2" t="str">
        <f>_xlfn.XLOOKUP(T3,'Vic colour ref'!$A$2:$A$5,'Vic colour ref'!$D$2:$D$5,"")</f>
        <v>00</v>
      </c>
      <c r="BB3" s="2" t="str">
        <f>_xlfn.XLOOKUP(U3,'Vic colour ref'!$A$2:$A$5,'Vic colour ref'!$D$2:$D$5,"")</f>
        <v>00</v>
      </c>
      <c r="BC3" s="2" t="str">
        <f>_xlfn.XLOOKUP(V3,'Vic colour ref'!$A$2:$A$5,'Vic colour ref'!$D$2:$D$5,"")</f>
        <v>00</v>
      </c>
      <c r="BD3" s="2" t="str">
        <f>_xlfn.XLOOKUP(W3,'Vic colour ref'!$A$2:$A$5,'Vic colour ref'!$D$2:$D$5,"")</f>
        <v>00</v>
      </c>
      <c r="BE3" s="2" t="str">
        <f>_xlfn.XLOOKUP(X3,'Vic colour ref'!$A$2:$A$5,'Vic colour ref'!$D$2:$D$5,"")</f>
        <v>00</v>
      </c>
      <c r="BF3" s="2" t="str">
        <f>_xlfn.XLOOKUP(Y3,'Vic colour ref'!$A$2:$A$5,'Vic colour ref'!$D$2:$D$5,"")</f>
        <v>00</v>
      </c>
      <c r="BG3" s="2" t="str">
        <f>_xlfn.XLOOKUP(Z3,'Vic colour ref'!$A$2:$A$5,'Vic colour ref'!$D$2:$D$5,"")</f>
        <v>00</v>
      </c>
      <c r="BH3" s="2" t="str">
        <f>_xlfn.XLOOKUP(AA3,'Vic colour ref'!$A$2:$A$5,'Vic colour ref'!$D$2:$D$5,"")</f>
        <v>00</v>
      </c>
      <c r="BI3" s="2" t="str">
        <f>_xlfn.XLOOKUP(AB3,'Vic colour ref'!$A$2:$A$5,'Vic colour ref'!$D$2:$D$5,"")</f>
        <v>00</v>
      </c>
      <c r="BJ3" s="2" t="str">
        <f>_xlfn.XLOOKUP(AC3,'Vic colour ref'!$A$2:$A$5,'Vic colour ref'!$D$2:$D$5,"")</f>
        <v>00</v>
      </c>
      <c r="BK3" s="2" t="str">
        <f>_xlfn.XLOOKUP(AD3,'Vic colour ref'!$A$2:$A$5,'Vic colour ref'!$D$2:$D$5,"")</f>
        <v>00</v>
      </c>
      <c r="BL3" s="2" t="str">
        <f>_xlfn.XLOOKUP(AE3,'Vic colour ref'!$A$2:$A$5,'Vic colour ref'!$D$2:$D$5,"")</f>
        <v>00</v>
      </c>
      <c r="BM3" s="2" t="str">
        <f>_xlfn.XLOOKUP(AF3,'Vic colour ref'!$A$2:$A$5,'Vic colour ref'!$D$2:$D$5,"")</f>
        <v>00</v>
      </c>
      <c r="BO3" s="18" t="str">
        <f t="shared" si="1"/>
        <v>00000011</v>
      </c>
      <c r="BP3" s="18" t="str">
        <f t="shared" si="2"/>
        <v>11110000</v>
      </c>
      <c r="BQ3" s="18" t="str">
        <f t="shared" si="3"/>
        <v>00000000</v>
      </c>
      <c r="BR3" s="18" t="str">
        <f t="shared" si="4"/>
        <v>11111100</v>
      </c>
      <c r="BS3" s="18" t="str">
        <f t="shared" si="5"/>
        <v>00000000</v>
      </c>
      <c r="BT3" s="18" t="str">
        <f t="shared" si="6"/>
        <v>00000000</v>
      </c>
      <c r="BU3" s="18" t="str">
        <f t="shared" si="7"/>
        <v>00000000</v>
      </c>
      <c r="BV3" s="18" t="str">
        <f t="shared" si="8"/>
        <v>00000000</v>
      </c>
      <c r="BX3" s="21" t="str">
        <f t="shared" si="9"/>
        <v>03</v>
      </c>
      <c r="BY3" s="21" t="str">
        <f t="shared" si="10"/>
        <v>F0</v>
      </c>
      <c r="BZ3" s="21" t="str">
        <f t="shared" si="11"/>
        <v>00</v>
      </c>
      <c r="CA3" s="21" t="str">
        <f t="shared" si="11"/>
        <v>FC</v>
      </c>
      <c r="CB3" s="24" t="str">
        <f t="shared" si="11"/>
        <v>00</v>
      </c>
      <c r="CC3" s="24" t="str">
        <f t="shared" si="11"/>
        <v>00</v>
      </c>
      <c r="CD3" s="24" t="str">
        <f t="shared" si="11"/>
        <v>00</v>
      </c>
      <c r="CE3" s="24" t="str">
        <f t="shared" si="12"/>
        <v>00</v>
      </c>
      <c r="CG3" s="2" t="str" cm="1">
        <f t="array" ref="CG3:CN3">TRANSPOSE(BZ1:BZ8)</f>
        <v>00</v>
      </c>
      <c r="CH3" s="2" t="str">
        <v>00</v>
      </c>
      <c r="CI3" s="2" t="str">
        <v>00</v>
      </c>
      <c r="CJ3" s="2" t="str">
        <v>00</v>
      </c>
      <c r="CK3" s="2" t="str">
        <v>00</v>
      </c>
      <c r="CL3" s="2" t="str">
        <v>FF</v>
      </c>
      <c r="CM3" s="2" t="str">
        <v>FF</v>
      </c>
      <c r="CN3" s="2" t="str">
        <v>FF</v>
      </c>
      <c r="CP3" s="4" t="str">
        <f t="shared" si="13"/>
        <v>!byte $00, $00, $00, $00, $00, $ff, $ff, $ff</v>
      </c>
    </row>
    <row r="4" spans="1:94" x14ac:dyDescent="0.3">
      <c r="A4" s="2">
        <v>0</v>
      </c>
      <c r="B4" s="2">
        <v>0</v>
      </c>
      <c r="C4" s="2">
        <v>0</v>
      </c>
      <c r="D4" s="2">
        <v>3</v>
      </c>
      <c r="E4" s="2">
        <v>3</v>
      </c>
      <c r="F4" s="2">
        <v>3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</v>
      </c>
      <c r="N4" s="2">
        <v>3</v>
      </c>
      <c r="O4" s="2">
        <v>3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H4" s="2" t="str">
        <f>_xlfn.XLOOKUP(A4,'Vic colour ref'!$A$2:$A$5,'Vic colour ref'!$D$2:$D$5,"")</f>
        <v>00</v>
      </c>
      <c r="AI4" s="2" t="str">
        <f>_xlfn.XLOOKUP(B4,'Vic colour ref'!$A$2:$A$5,'Vic colour ref'!$D$2:$D$5,"")</f>
        <v>00</v>
      </c>
      <c r="AJ4" s="2" t="str">
        <f>_xlfn.XLOOKUP(C4,'Vic colour ref'!$A$2:$A$5,'Vic colour ref'!$D$2:$D$5,"")</f>
        <v>00</v>
      </c>
      <c r="AK4" s="2">
        <f>_xlfn.XLOOKUP(D4,'Vic colour ref'!$A$2:$A$5,'Vic colour ref'!$D$2:$D$5,"")</f>
        <v>11</v>
      </c>
      <c r="AL4" s="2">
        <f>_xlfn.XLOOKUP(E4,'Vic colour ref'!$A$2:$A$5,'Vic colour ref'!$D$2:$D$5,"")</f>
        <v>11</v>
      </c>
      <c r="AM4" s="2">
        <f>_xlfn.XLOOKUP(F4,'Vic colour ref'!$A$2:$A$5,'Vic colour ref'!$D$2:$D$5,"")</f>
        <v>11</v>
      </c>
      <c r="AN4" s="2" t="str">
        <f>_xlfn.XLOOKUP(G4,'Vic colour ref'!$A$2:$A$5,'Vic colour ref'!$D$2:$D$5,"")</f>
        <v>00</v>
      </c>
      <c r="AO4" s="2" t="str">
        <f>_xlfn.XLOOKUP(H4,'Vic colour ref'!$A$2:$A$5,'Vic colour ref'!$D$2:$D$5,"")</f>
        <v>00</v>
      </c>
      <c r="AP4" s="2" t="str">
        <f>_xlfn.XLOOKUP(I4,'Vic colour ref'!$A$2:$A$5,'Vic colour ref'!$D$2:$D$5,"")</f>
        <v>00</v>
      </c>
      <c r="AQ4" s="2" t="str">
        <f>_xlfn.XLOOKUP(J4,'Vic colour ref'!$A$2:$A$5,'Vic colour ref'!$D$2:$D$5,"")</f>
        <v>00</v>
      </c>
      <c r="AR4" s="2" t="str">
        <f>_xlfn.XLOOKUP(K4,'Vic colour ref'!$A$2:$A$5,'Vic colour ref'!$D$2:$D$5,"")</f>
        <v>00</v>
      </c>
      <c r="AS4" s="2" t="str">
        <f>_xlfn.XLOOKUP(L4,'Vic colour ref'!$A$2:$A$5,'Vic colour ref'!$D$2:$D$5,"")</f>
        <v>00</v>
      </c>
      <c r="AT4" s="2">
        <f>_xlfn.XLOOKUP(M4,'Vic colour ref'!$A$2:$A$5,'Vic colour ref'!$D$2:$D$5,"")</f>
        <v>11</v>
      </c>
      <c r="AU4" s="2">
        <f>_xlfn.XLOOKUP(N4,'Vic colour ref'!$A$2:$A$5,'Vic colour ref'!$D$2:$D$5,"")</f>
        <v>11</v>
      </c>
      <c r="AV4" s="2">
        <f>_xlfn.XLOOKUP(O4,'Vic colour ref'!$A$2:$A$5,'Vic colour ref'!$D$2:$D$5,"")</f>
        <v>11</v>
      </c>
      <c r="AW4" s="2" t="str">
        <f>_xlfn.XLOOKUP(P4,'Vic colour ref'!$A$2:$A$5,'Vic colour ref'!$D$2:$D$5,"")</f>
        <v>00</v>
      </c>
      <c r="AX4" s="2" t="str">
        <f>_xlfn.XLOOKUP(Q4,'Vic colour ref'!$A$2:$A$5,'Vic colour ref'!$D$2:$D$5,"")</f>
        <v>00</v>
      </c>
      <c r="AY4" s="2" t="str">
        <f>_xlfn.XLOOKUP(R4,'Vic colour ref'!$A$2:$A$5,'Vic colour ref'!$D$2:$D$5,"")</f>
        <v>00</v>
      </c>
      <c r="AZ4" s="2" t="str">
        <f>_xlfn.XLOOKUP(S4,'Vic colour ref'!$A$2:$A$5,'Vic colour ref'!$D$2:$D$5,"")</f>
        <v>00</v>
      </c>
      <c r="BA4" s="2" t="str">
        <f>_xlfn.XLOOKUP(T4,'Vic colour ref'!$A$2:$A$5,'Vic colour ref'!$D$2:$D$5,"")</f>
        <v>00</v>
      </c>
      <c r="BB4" s="2" t="str">
        <f>_xlfn.XLOOKUP(U4,'Vic colour ref'!$A$2:$A$5,'Vic colour ref'!$D$2:$D$5,"")</f>
        <v>00</v>
      </c>
      <c r="BC4" s="2" t="str">
        <f>_xlfn.XLOOKUP(V4,'Vic colour ref'!$A$2:$A$5,'Vic colour ref'!$D$2:$D$5,"")</f>
        <v>00</v>
      </c>
      <c r="BD4" s="2" t="str">
        <f>_xlfn.XLOOKUP(W4,'Vic colour ref'!$A$2:$A$5,'Vic colour ref'!$D$2:$D$5,"")</f>
        <v>00</v>
      </c>
      <c r="BE4" s="2" t="str">
        <f>_xlfn.XLOOKUP(X4,'Vic colour ref'!$A$2:$A$5,'Vic colour ref'!$D$2:$D$5,"")</f>
        <v>00</v>
      </c>
      <c r="BF4" s="2" t="str">
        <f>_xlfn.XLOOKUP(Y4,'Vic colour ref'!$A$2:$A$5,'Vic colour ref'!$D$2:$D$5,"")</f>
        <v>00</v>
      </c>
      <c r="BG4" s="2" t="str">
        <f>_xlfn.XLOOKUP(Z4,'Vic colour ref'!$A$2:$A$5,'Vic colour ref'!$D$2:$D$5,"")</f>
        <v>00</v>
      </c>
      <c r="BH4" s="2" t="str">
        <f>_xlfn.XLOOKUP(AA4,'Vic colour ref'!$A$2:$A$5,'Vic colour ref'!$D$2:$D$5,"")</f>
        <v>00</v>
      </c>
      <c r="BI4" s="2" t="str">
        <f>_xlfn.XLOOKUP(AB4,'Vic colour ref'!$A$2:$A$5,'Vic colour ref'!$D$2:$D$5,"")</f>
        <v>00</v>
      </c>
      <c r="BJ4" s="2" t="str">
        <f>_xlfn.XLOOKUP(AC4,'Vic colour ref'!$A$2:$A$5,'Vic colour ref'!$D$2:$D$5,"")</f>
        <v>00</v>
      </c>
      <c r="BK4" s="2" t="str">
        <f>_xlfn.XLOOKUP(AD4,'Vic colour ref'!$A$2:$A$5,'Vic colour ref'!$D$2:$D$5,"")</f>
        <v>00</v>
      </c>
      <c r="BL4" s="2" t="str">
        <f>_xlfn.XLOOKUP(AE4,'Vic colour ref'!$A$2:$A$5,'Vic colour ref'!$D$2:$D$5,"")</f>
        <v>00</v>
      </c>
      <c r="BM4" s="2" t="str">
        <f>_xlfn.XLOOKUP(AF4,'Vic colour ref'!$A$2:$A$5,'Vic colour ref'!$D$2:$D$5,"")</f>
        <v>00</v>
      </c>
      <c r="BO4" s="18" t="str">
        <f t="shared" si="1"/>
        <v>00000011</v>
      </c>
      <c r="BP4" s="18" t="str">
        <f t="shared" si="2"/>
        <v>11110000</v>
      </c>
      <c r="BQ4" s="18" t="str">
        <f t="shared" si="3"/>
        <v>00000000</v>
      </c>
      <c r="BR4" s="18" t="str">
        <f t="shared" si="4"/>
        <v>11111100</v>
      </c>
      <c r="BS4" s="18" t="str">
        <f t="shared" si="5"/>
        <v>00000000</v>
      </c>
      <c r="BT4" s="18" t="str">
        <f t="shared" si="6"/>
        <v>00000000</v>
      </c>
      <c r="BU4" s="18" t="str">
        <f t="shared" si="7"/>
        <v>00000000</v>
      </c>
      <c r="BV4" s="18" t="str">
        <f t="shared" si="8"/>
        <v>00000000</v>
      </c>
      <c r="BX4" s="21" t="str">
        <f t="shared" si="9"/>
        <v>03</v>
      </c>
      <c r="BY4" s="21" t="str">
        <f t="shared" si="10"/>
        <v>F0</v>
      </c>
      <c r="BZ4" s="21" t="str">
        <f t="shared" si="11"/>
        <v>00</v>
      </c>
      <c r="CA4" s="21" t="str">
        <f t="shared" si="11"/>
        <v>FC</v>
      </c>
      <c r="CB4" s="24" t="str">
        <f t="shared" si="11"/>
        <v>00</v>
      </c>
      <c r="CC4" s="24" t="str">
        <f t="shared" si="11"/>
        <v>00</v>
      </c>
      <c r="CD4" s="24" t="str">
        <f t="shared" si="11"/>
        <v>00</v>
      </c>
      <c r="CE4" s="24" t="str">
        <f t="shared" si="12"/>
        <v>00</v>
      </c>
      <c r="CG4" s="2" t="str" cm="1">
        <f t="array" ref="CG4:CN4">TRANSPOSE(CA1:CA8)</f>
        <v>00</v>
      </c>
      <c r="CH4" s="2" t="str">
        <v>00</v>
      </c>
      <c r="CI4" s="2" t="str">
        <v>FC</v>
      </c>
      <c r="CJ4" s="2" t="str">
        <v>FC</v>
      </c>
      <c r="CK4" s="2" t="str">
        <v>FC</v>
      </c>
      <c r="CL4" s="2" t="str">
        <v>FC</v>
      </c>
      <c r="CM4" s="2" t="str">
        <v>FC</v>
      </c>
      <c r="CN4" s="2" t="str">
        <v>FC</v>
      </c>
      <c r="CP4" s="4" t="str">
        <f t="shared" si="13"/>
        <v>!byte $00, $00, $fc, $fc, $fc, $fc, $fc, $fc</v>
      </c>
    </row>
    <row r="5" spans="1:94" x14ac:dyDescent="0.3">
      <c r="A5" s="2">
        <v>0</v>
      </c>
      <c r="B5" s="2">
        <v>0</v>
      </c>
      <c r="C5" s="2">
        <v>0</v>
      </c>
      <c r="D5" s="2">
        <v>3</v>
      </c>
      <c r="E5" s="2">
        <v>3</v>
      </c>
      <c r="F5" s="2">
        <v>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3</v>
      </c>
      <c r="N5" s="2">
        <v>3</v>
      </c>
      <c r="O5" s="2">
        <v>3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H5" s="2" t="str">
        <f>_xlfn.XLOOKUP(A5,'Vic colour ref'!$A$2:$A$5,'Vic colour ref'!$D$2:$D$5,"")</f>
        <v>00</v>
      </c>
      <c r="AI5" s="2" t="str">
        <f>_xlfn.XLOOKUP(B5,'Vic colour ref'!$A$2:$A$5,'Vic colour ref'!$D$2:$D$5,"")</f>
        <v>00</v>
      </c>
      <c r="AJ5" s="2" t="str">
        <f>_xlfn.XLOOKUP(C5,'Vic colour ref'!$A$2:$A$5,'Vic colour ref'!$D$2:$D$5,"")</f>
        <v>00</v>
      </c>
      <c r="AK5" s="2">
        <f>_xlfn.XLOOKUP(D5,'Vic colour ref'!$A$2:$A$5,'Vic colour ref'!$D$2:$D$5,"")</f>
        <v>11</v>
      </c>
      <c r="AL5" s="2">
        <f>_xlfn.XLOOKUP(E5,'Vic colour ref'!$A$2:$A$5,'Vic colour ref'!$D$2:$D$5,"")</f>
        <v>11</v>
      </c>
      <c r="AM5" s="2">
        <f>_xlfn.XLOOKUP(F5,'Vic colour ref'!$A$2:$A$5,'Vic colour ref'!$D$2:$D$5,"")</f>
        <v>11</v>
      </c>
      <c r="AN5" s="2" t="str">
        <f>_xlfn.XLOOKUP(G5,'Vic colour ref'!$A$2:$A$5,'Vic colour ref'!$D$2:$D$5,"")</f>
        <v>00</v>
      </c>
      <c r="AO5" s="2" t="str">
        <f>_xlfn.XLOOKUP(H5,'Vic colour ref'!$A$2:$A$5,'Vic colour ref'!$D$2:$D$5,"")</f>
        <v>00</v>
      </c>
      <c r="AP5" s="2" t="str">
        <f>_xlfn.XLOOKUP(I5,'Vic colour ref'!$A$2:$A$5,'Vic colour ref'!$D$2:$D$5,"")</f>
        <v>00</v>
      </c>
      <c r="AQ5" s="2" t="str">
        <f>_xlfn.XLOOKUP(J5,'Vic colour ref'!$A$2:$A$5,'Vic colour ref'!$D$2:$D$5,"")</f>
        <v>00</v>
      </c>
      <c r="AR5" s="2" t="str">
        <f>_xlfn.XLOOKUP(K5,'Vic colour ref'!$A$2:$A$5,'Vic colour ref'!$D$2:$D$5,"")</f>
        <v>00</v>
      </c>
      <c r="AS5" s="2" t="str">
        <f>_xlfn.XLOOKUP(L5,'Vic colour ref'!$A$2:$A$5,'Vic colour ref'!$D$2:$D$5,"")</f>
        <v>00</v>
      </c>
      <c r="AT5" s="2">
        <f>_xlfn.XLOOKUP(M5,'Vic colour ref'!$A$2:$A$5,'Vic colour ref'!$D$2:$D$5,"")</f>
        <v>11</v>
      </c>
      <c r="AU5" s="2">
        <f>_xlfn.XLOOKUP(N5,'Vic colour ref'!$A$2:$A$5,'Vic colour ref'!$D$2:$D$5,"")</f>
        <v>11</v>
      </c>
      <c r="AV5" s="2">
        <f>_xlfn.XLOOKUP(O5,'Vic colour ref'!$A$2:$A$5,'Vic colour ref'!$D$2:$D$5,"")</f>
        <v>11</v>
      </c>
      <c r="AW5" s="2" t="str">
        <f>_xlfn.XLOOKUP(P5,'Vic colour ref'!$A$2:$A$5,'Vic colour ref'!$D$2:$D$5,"")</f>
        <v>00</v>
      </c>
      <c r="AX5" s="2" t="str">
        <f>_xlfn.XLOOKUP(Q5,'Vic colour ref'!$A$2:$A$5,'Vic colour ref'!$D$2:$D$5,"")</f>
        <v>00</v>
      </c>
      <c r="AY5" s="2" t="str">
        <f>_xlfn.XLOOKUP(R5,'Vic colour ref'!$A$2:$A$5,'Vic colour ref'!$D$2:$D$5,"")</f>
        <v>00</v>
      </c>
      <c r="AZ5" s="2" t="str">
        <f>_xlfn.XLOOKUP(S5,'Vic colour ref'!$A$2:$A$5,'Vic colour ref'!$D$2:$D$5,"")</f>
        <v>00</v>
      </c>
      <c r="BA5" s="2" t="str">
        <f>_xlfn.XLOOKUP(T5,'Vic colour ref'!$A$2:$A$5,'Vic colour ref'!$D$2:$D$5,"")</f>
        <v>00</v>
      </c>
      <c r="BB5" s="2" t="str">
        <f>_xlfn.XLOOKUP(U5,'Vic colour ref'!$A$2:$A$5,'Vic colour ref'!$D$2:$D$5,"")</f>
        <v>00</v>
      </c>
      <c r="BC5" s="2" t="str">
        <f>_xlfn.XLOOKUP(V5,'Vic colour ref'!$A$2:$A$5,'Vic colour ref'!$D$2:$D$5,"")</f>
        <v>00</v>
      </c>
      <c r="BD5" s="2" t="str">
        <f>_xlfn.XLOOKUP(W5,'Vic colour ref'!$A$2:$A$5,'Vic colour ref'!$D$2:$D$5,"")</f>
        <v>00</v>
      </c>
      <c r="BE5" s="2" t="str">
        <f>_xlfn.XLOOKUP(X5,'Vic colour ref'!$A$2:$A$5,'Vic colour ref'!$D$2:$D$5,"")</f>
        <v>00</v>
      </c>
      <c r="BF5" s="2" t="str">
        <f>_xlfn.XLOOKUP(Y5,'Vic colour ref'!$A$2:$A$5,'Vic colour ref'!$D$2:$D$5,"")</f>
        <v>00</v>
      </c>
      <c r="BG5" s="2" t="str">
        <f>_xlfn.XLOOKUP(Z5,'Vic colour ref'!$A$2:$A$5,'Vic colour ref'!$D$2:$D$5,"")</f>
        <v>00</v>
      </c>
      <c r="BH5" s="2" t="str">
        <f>_xlfn.XLOOKUP(AA5,'Vic colour ref'!$A$2:$A$5,'Vic colour ref'!$D$2:$D$5,"")</f>
        <v>00</v>
      </c>
      <c r="BI5" s="2" t="str">
        <f>_xlfn.XLOOKUP(AB5,'Vic colour ref'!$A$2:$A$5,'Vic colour ref'!$D$2:$D$5,"")</f>
        <v>00</v>
      </c>
      <c r="BJ5" s="2" t="str">
        <f>_xlfn.XLOOKUP(AC5,'Vic colour ref'!$A$2:$A$5,'Vic colour ref'!$D$2:$D$5,"")</f>
        <v>00</v>
      </c>
      <c r="BK5" s="2" t="str">
        <f>_xlfn.XLOOKUP(AD5,'Vic colour ref'!$A$2:$A$5,'Vic colour ref'!$D$2:$D$5,"")</f>
        <v>00</v>
      </c>
      <c r="BL5" s="2" t="str">
        <f>_xlfn.XLOOKUP(AE5,'Vic colour ref'!$A$2:$A$5,'Vic colour ref'!$D$2:$D$5,"")</f>
        <v>00</v>
      </c>
      <c r="BM5" s="2" t="str">
        <f>_xlfn.XLOOKUP(AF5,'Vic colour ref'!$A$2:$A$5,'Vic colour ref'!$D$2:$D$5,"")</f>
        <v>00</v>
      </c>
      <c r="BO5" s="18" t="str">
        <f t="shared" si="1"/>
        <v>00000011</v>
      </c>
      <c r="BP5" s="18" t="str">
        <f t="shared" si="2"/>
        <v>11110000</v>
      </c>
      <c r="BQ5" s="18" t="str">
        <f t="shared" si="3"/>
        <v>00000000</v>
      </c>
      <c r="BR5" s="18" t="str">
        <f t="shared" si="4"/>
        <v>11111100</v>
      </c>
      <c r="BS5" s="18" t="str">
        <f t="shared" si="5"/>
        <v>00000000</v>
      </c>
      <c r="BT5" s="18" t="str">
        <f t="shared" si="6"/>
        <v>00000000</v>
      </c>
      <c r="BU5" s="18" t="str">
        <f t="shared" si="7"/>
        <v>00000000</v>
      </c>
      <c r="BV5" s="18" t="str">
        <f t="shared" si="8"/>
        <v>00000000</v>
      </c>
      <c r="BX5" s="21" t="str">
        <f t="shared" si="9"/>
        <v>03</v>
      </c>
      <c r="BY5" s="21" t="str">
        <f t="shared" si="10"/>
        <v>F0</v>
      </c>
      <c r="BZ5" s="21" t="str">
        <f t="shared" si="11"/>
        <v>00</v>
      </c>
      <c r="CA5" s="21" t="str">
        <f t="shared" si="11"/>
        <v>FC</v>
      </c>
      <c r="CB5" s="24" t="str">
        <f t="shared" si="11"/>
        <v>00</v>
      </c>
      <c r="CC5" s="24" t="str">
        <f t="shared" si="11"/>
        <v>00</v>
      </c>
      <c r="CD5" s="24" t="str">
        <f t="shared" ref="CD5:CD64" si="14">BIN2HEX(BU5,2)</f>
        <v>00</v>
      </c>
      <c r="CE5" s="24" t="str">
        <f t="shared" si="12"/>
        <v>00</v>
      </c>
      <c r="CG5" s="2" t="str" cm="1">
        <f t="array" ref="CG5:CN5">TRANSPOSE(CB1:CB8)</f>
        <v>00</v>
      </c>
      <c r="CH5" s="2" t="str">
        <v>00</v>
      </c>
      <c r="CI5" s="2" t="str">
        <v>00</v>
      </c>
      <c r="CJ5" s="2" t="str">
        <v>00</v>
      </c>
      <c r="CK5" s="2" t="str">
        <v>00</v>
      </c>
      <c r="CL5" s="2" t="str">
        <v>00</v>
      </c>
      <c r="CM5" s="2" t="str">
        <v>00</v>
      </c>
      <c r="CN5" s="2" t="str">
        <v>00</v>
      </c>
      <c r="CP5" s="4" t="str">
        <f t="shared" si="13"/>
        <v>!byte $00, $00, $00, $00, $00, $00, $00, $00</v>
      </c>
    </row>
    <row r="6" spans="1:94" x14ac:dyDescent="0.3">
      <c r="A6" s="2">
        <v>0</v>
      </c>
      <c r="B6" s="2">
        <v>0</v>
      </c>
      <c r="C6" s="2">
        <v>0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H6" s="2" t="str">
        <f>_xlfn.XLOOKUP(A6,'Vic colour ref'!$A$2:$A$5,'Vic colour ref'!$D$2:$D$5,"")</f>
        <v>00</v>
      </c>
      <c r="AI6" s="2" t="str">
        <f>_xlfn.XLOOKUP(B6,'Vic colour ref'!$A$2:$A$5,'Vic colour ref'!$D$2:$D$5,"")</f>
        <v>00</v>
      </c>
      <c r="AJ6" s="2" t="str">
        <f>_xlfn.XLOOKUP(C6,'Vic colour ref'!$A$2:$A$5,'Vic colour ref'!$D$2:$D$5,"")</f>
        <v>00</v>
      </c>
      <c r="AK6" s="2">
        <f>_xlfn.XLOOKUP(D6,'Vic colour ref'!$A$2:$A$5,'Vic colour ref'!$D$2:$D$5,"")</f>
        <v>11</v>
      </c>
      <c r="AL6" s="2">
        <f>_xlfn.XLOOKUP(E6,'Vic colour ref'!$A$2:$A$5,'Vic colour ref'!$D$2:$D$5,"")</f>
        <v>11</v>
      </c>
      <c r="AM6" s="2">
        <f>_xlfn.XLOOKUP(F6,'Vic colour ref'!$A$2:$A$5,'Vic colour ref'!$D$2:$D$5,"")</f>
        <v>11</v>
      </c>
      <c r="AN6" s="2">
        <f>_xlfn.XLOOKUP(G6,'Vic colour ref'!$A$2:$A$5,'Vic colour ref'!$D$2:$D$5,"")</f>
        <v>11</v>
      </c>
      <c r="AO6" s="2">
        <f>_xlfn.XLOOKUP(H6,'Vic colour ref'!$A$2:$A$5,'Vic colour ref'!$D$2:$D$5,"")</f>
        <v>11</v>
      </c>
      <c r="AP6" s="2">
        <f>_xlfn.XLOOKUP(I6,'Vic colour ref'!$A$2:$A$5,'Vic colour ref'!$D$2:$D$5,"")</f>
        <v>11</v>
      </c>
      <c r="AQ6" s="2">
        <f>_xlfn.XLOOKUP(J6,'Vic colour ref'!$A$2:$A$5,'Vic colour ref'!$D$2:$D$5,"")</f>
        <v>11</v>
      </c>
      <c r="AR6" s="2">
        <f>_xlfn.XLOOKUP(K6,'Vic colour ref'!$A$2:$A$5,'Vic colour ref'!$D$2:$D$5,"")</f>
        <v>11</v>
      </c>
      <c r="AS6" s="2">
        <f>_xlfn.XLOOKUP(L6,'Vic colour ref'!$A$2:$A$5,'Vic colour ref'!$D$2:$D$5,"")</f>
        <v>11</v>
      </c>
      <c r="AT6" s="2">
        <f>_xlfn.XLOOKUP(M6,'Vic colour ref'!$A$2:$A$5,'Vic colour ref'!$D$2:$D$5,"")</f>
        <v>11</v>
      </c>
      <c r="AU6" s="2">
        <f>_xlfn.XLOOKUP(N6,'Vic colour ref'!$A$2:$A$5,'Vic colour ref'!$D$2:$D$5,"")</f>
        <v>11</v>
      </c>
      <c r="AV6" s="2">
        <f>_xlfn.XLOOKUP(O6,'Vic colour ref'!$A$2:$A$5,'Vic colour ref'!$D$2:$D$5,"")</f>
        <v>11</v>
      </c>
      <c r="AW6" s="2" t="str">
        <f>_xlfn.XLOOKUP(P6,'Vic colour ref'!$A$2:$A$5,'Vic colour ref'!$D$2:$D$5,"")</f>
        <v>00</v>
      </c>
      <c r="AX6" s="2" t="str">
        <f>_xlfn.XLOOKUP(Q6,'Vic colour ref'!$A$2:$A$5,'Vic colour ref'!$D$2:$D$5,"")</f>
        <v>00</v>
      </c>
      <c r="AY6" s="2" t="str">
        <f>_xlfn.XLOOKUP(R6,'Vic colour ref'!$A$2:$A$5,'Vic colour ref'!$D$2:$D$5,"")</f>
        <v>00</v>
      </c>
      <c r="AZ6" s="2" t="str">
        <f>_xlfn.XLOOKUP(S6,'Vic colour ref'!$A$2:$A$5,'Vic colour ref'!$D$2:$D$5,"")</f>
        <v>00</v>
      </c>
      <c r="BA6" s="2" t="str">
        <f>_xlfn.XLOOKUP(T6,'Vic colour ref'!$A$2:$A$5,'Vic colour ref'!$D$2:$D$5,"")</f>
        <v>00</v>
      </c>
      <c r="BB6" s="2" t="str">
        <f>_xlfn.XLOOKUP(U6,'Vic colour ref'!$A$2:$A$5,'Vic colour ref'!$D$2:$D$5,"")</f>
        <v>00</v>
      </c>
      <c r="BC6" s="2" t="str">
        <f>_xlfn.XLOOKUP(V6,'Vic colour ref'!$A$2:$A$5,'Vic colour ref'!$D$2:$D$5,"")</f>
        <v>00</v>
      </c>
      <c r="BD6" s="2" t="str">
        <f>_xlfn.XLOOKUP(W6,'Vic colour ref'!$A$2:$A$5,'Vic colour ref'!$D$2:$D$5,"")</f>
        <v>00</v>
      </c>
      <c r="BE6" s="2" t="str">
        <f>_xlfn.XLOOKUP(X6,'Vic colour ref'!$A$2:$A$5,'Vic colour ref'!$D$2:$D$5,"")</f>
        <v>00</v>
      </c>
      <c r="BF6" s="2" t="str">
        <f>_xlfn.XLOOKUP(Y6,'Vic colour ref'!$A$2:$A$5,'Vic colour ref'!$D$2:$D$5,"")</f>
        <v>00</v>
      </c>
      <c r="BG6" s="2" t="str">
        <f>_xlfn.XLOOKUP(Z6,'Vic colour ref'!$A$2:$A$5,'Vic colour ref'!$D$2:$D$5,"")</f>
        <v>00</v>
      </c>
      <c r="BH6" s="2" t="str">
        <f>_xlfn.XLOOKUP(AA6,'Vic colour ref'!$A$2:$A$5,'Vic colour ref'!$D$2:$D$5,"")</f>
        <v>00</v>
      </c>
      <c r="BI6" s="2" t="str">
        <f>_xlfn.XLOOKUP(AB6,'Vic colour ref'!$A$2:$A$5,'Vic colour ref'!$D$2:$D$5,"")</f>
        <v>00</v>
      </c>
      <c r="BJ6" s="2" t="str">
        <f>_xlfn.XLOOKUP(AC6,'Vic colour ref'!$A$2:$A$5,'Vic colour ref'!$D$2:$D$5,"")</f>
        <v>00</v>
      </c>
      <c r="BK6" s="2" t="str">
        <f>_xlfn.XLOOKUP(AD6,'Vic colour ref'!$A$2:$A$5,'Vic colour ref'!$D$2:$D$5,"")</f>
        <v>00</v>
      </c>
      <c r="BL6" s="2" t="str">
        <f>_xlfn.XLOOKUP(AE6,'Vic colour ref'!$A$2:$A$5,'Vic colour ref'!$D$2:$D$5,"")</f>
        <v>00</v>
      </c>
      <c r="BM6" s="2" t="str">
        <f>_xlfn.XLOOKUP(AF6,'Vic colour ref'!$A$2:$A$5,'Vic colour ref'!$D$2:$D$5,"")</f>
        <v>00</v>
      </c>
      <c r="BO6" s="18" t="str">
        <f t="shared" si="1"/>
        <v>00000011</v>
      </c>
      <c r="BP6" s="18" t="str">
        <f t="shared" si="2"/>
        <v>11111111</v>
      </c>
      <c r="BQ6" s="18" t="str">
        <f t="shared" si="3"/>
        <v>11111111</v>
      </c>
      <c r="BR6" s="18" t="str">
        <f t="shared" si="4"/>
        <v>11111100</v>
      </c>
      <c r="BS6" s="18" t="str">
        <f t="shared" si="5"/>
        <v>00000000</v>
      </c>
      <c r="BT6" s="18" t="str">
        <f t="shared" si="6"/>
        <v>00000000</v>
      </c>
      <c r="BU6" s="18" t="str">
        <f t="shared" si="7"/>
        <v>00000000</v>
      </c>
      <c r="BV6" s="18" t="str">
        <f t="shared" si="8"/>
        <v>00000000</v>
      </c>
      <c r="BX6" s="21" t="str">
        <f t="shared" si="9"/>
        <v>03</v>
      </c>
      <c r="BY6" s="21" t="str">
        <f t="shared" si="10"/>
        <v>FF</v>
      </c>
      <c r="BZ6" s="21" t="str">
        <f t="shared" si="11"/>
        <v>FF</v>
      </c>
      <c r="CA6" s="21" t="str">
        <f t="shared" si="11"/>
        <v>FC</v>
      </c>
      <c r="CB6" s="24" t="str">
        <f t="shared" si="11"/>
        <v>00</v>
      </c>
      <c r="CC6" s="24" t="str">
        <f t="shared" si="11"/>
        <v>00</v>
      </c>
      <c r="CD6" s="24" t="str">
        <f t="shared" si="14"/>
        <v>00</v>
      </c>
      <c r="CE6" s="24" t="str">
        <f t="shared" si="12"/>
        <v>00</v>
      </c>
      <c r="CG6" s="2" t="str" cm="1">
        <f t="array" ref="CG6:CN6">TRANSPOSE(CC1:CC8)</f>
        <v>00</v>
      </c>
      <c r="CH6" s="2" t="str">
        <v>00</v>
      </c>
      <c r="CI6" s="2" t="str">
        <v>00</v>
      </c>
      <c r="CJ6" s="2" t="str">
        <v>00</v>
      </c>
      <c r="CK6" s="2" t="str">
        <v>00</v>
      </c>
      <c r="CL6" s="2" t="str">
        <v>00</v>
      </c>
      <c r="CM6" s="2" t="str">
        <v>00</v>
      </c>
      <c r="CN6" s="2" t="str">
        <v>00</v>
      </c>
      <c r="CP6" s="4" t="str">
        <f t="shared" si="13"/>
        <v>!byte $00, $00, $00, $00, $00, $00, $00, $00</v>
      </c>
    </row>
    <row r="7" spans="1:94" x14ac:dyDescent="0.3">
      <c r="A7" s="2">
        <v>0</v>
      </c>
      <c r="B7" s="2">
        <v>0</v>
      </c>
      <c r="C7" s="2">
        <v>0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H7" s="2" t="str">
        <f>_xlfn.XLOOKUP(A7,'Vic colour ref'!$A$2:$A$5,'Vic colour ref'!$D$2:$D$5,"")</f>
        <v>00</v>
      </c>
      <c r="AI7" s="2" t="str">
        <f>_xlfn.XLOOKUP(B7,'Vic colour ref'!$A$2:$A$5,'Vic colour ref'!$D$2:$D$5,"")</f>
        <v>00</v>
      </c>
      <c r="AJ7" s="2" t="str">
        <f>_xlfn.XLOOKUP(C7,'Vic colour ref'!$A$2:$A$5,'Vic colour ref'!$D$2:$D$5,"")</f>
        <v>00</v>
      </c>
      <c r="AK7" s="2">
        <f>_xlfn.XLOOKUP(D7,'Vic colour ref'!$A$2:$A$5,'Vic colour ref'!$D$2:$D$5,"")</f>
        <v>11</v>
      </c>
      <c r="AL7" s="2">
        <f>_xlfn.XLOOKUP(E7,'Vic colour ref'!$A$2:$A$5,'Vic colour ref'!$D$2:$D$5,"")</f>
        <v>11</v>
      </c>
      <c r="AM7" s="2">
        <f>_xlfn.XLOOKUP(F7,'Vic colour ref'!$A$2:$A$5,'Vic colour ref'!$D$2:$D$5,"")</f>
        <v>11</v>
      </c>
      <c r="AN7" s="2">
        <f>_xlfn.XLOOKUP(G7,'Vic colour ref'!$A$2:$A$5,'Vic colour ref'!$D$2:$D$5,"")</f>
        <v>11</v>
      </c>
      <c r="AO7" s="2">
        <f>_xlfn.XLOOKUP(H7,'Vic colour ref'!$A$2:$A$5,'Vic colour ref'!$D$2:$D$5,"")</f>
        <v>11</v>
      </c>
      <c r="AP7" s="2">
        <f>_xlfn.XLOOKUP(I7,'Vic colour ref'!$A$2:$A$5,'Vic colour ref'!$D$2:$D$5,"")</f>
        <v>11</v>
      </c>
      <c r="AQ7" s="2">
        <f>_xlfn.XLOOKUP(J7,'Vic colour ref'!$A$2:$A$5,'Vic colour ref'!$D$2:$D$5,"")</f>
        <v>11</v>
      </c>
      <c r="AR7" s="2">
        <f>_xlfn.XLOOKUP(K7,'Vic colour ref'!$A$2:$A$5,'Vic colour ref'!$D$2:$D$5,"")</f>
        <v>11</v>
      </c>
      <c r="AS7" s="2">
        <f>_xlfn.XLOOKUP(L7,'Vic colour ref'!$A$2:$A$5,'Vic colour ref'!$D$2:$D$5,"")</f>
        <v>11</v>
      </c>
      <c r="AT7" s="2">
        <f>_xlfn.XLOOKUP(M7,'Vic colour ref'!$A$2:$A$5,'Vic colour ref'!$D$2:$D$5,"")</f>
        <v>11</v>
      </c>
      <c r="AU7" s="2">
        <f>_xlfn.XLOOKUP(N7,'Vic colour ref'!$A$2:$A$5,'Vic colour ref'!$D$2:$D$5,"")</f>
        <v>11</v>
      </c>
      <c r="AV7" s="2">
        <f>_xlfn.XLOOKUP(O7,'Vic colour ref'!$A$2:$A$5,'Vic colour ref'!$D$2:$D$5,"")</f>
        <v>11</v>
      </c>
      <c r="AW7" s="2" t="str">
        <f>_xlfn.XLOOKUP(P7,'Vic colour ref'!$A$2:$A$5,'Vic colour ref'!$D$2:$D$5,"")</f>
        <v>00</v>
      </c>
      <c r="AX7" s="2" t="str">
        <f>_xlfn.XLOOKUP(Q7,'Vic colour ref'!$A$2:$A$5,'Vic colour ref'!$D$2:$D$5,"")</f>
        <v>00</v>
      </c>
      <c r="AY7" s="2" t="str">
        <f>_xlfn.XLOOKUP(R7,'Vic colour ref'!$A$2:$A$5,'Vic colour ref'!$D$2:$D$5,"")</f>
        <v>00</v>
      </c>
      <c r="AZ7" s="2" t="str">
        <f>_xlfn.XLOOKUP(S7,'Vic colour ref'!$A$2:$A$5,'Vic colour ref'!$D$2:$D$5,"")</f>
        <v>00</v>
      </c>
      <c r="BA7" s="2" t="str">
        <f>_xlfn.XLOOKUP(T7,'Vic colour ref'!$A$2:$A$5,'Vic colour ref'!$D$2:$D$5,"")</f>
        <v>00</v>
      </c>
      <c r="BB7" s="2" t="str">
        <f>_xlfn.XLOOKUP(U7,'Vic colour ref'!$A$2:$A$5,'Vic colour ref'!$D$2:$D$5,"")</f>
        <v>00</v>
      </c>
      <c r="BC7" s="2" t="str">
        <f>_xlfn.XLOOKUP(V7,'Vic colour ref'!$A$2:$A$5,'Vic colour ref'!$D$2:$D$5,"")</f>
        <v>00</v>
      </c>
      <c r="BD7" s="2" t="str">
        <f>_xlfn.XLOOKUP(W7,'Vic colour ref'!$A$2:$A$5,'Vic colour ref'!$D$2:$D$5,"")</f>
        <v>00</v>
      </c>
      <c r="BE7" s="2" t="str">
        <f>_xlfn.XLOOKUP(X7,'Vic colour ref'!$A$2:$A$5,'Vic colour ref'!$D$2:$D$5,"")</f>
        <v>00</v>
      </c>
      <c r="BF7" s="2" t="str">
        <f>_xlfn.XLOOKUP(Y7,'Vic colour ref'!$A$2:$A$5,'Vic colour ref'!$D$2:$D$5,"")</f>
        <v>00</v>
      </c>
      <c r="BG7" s="2" t="str">
        <f>_xlfn.XLOOKUP(Z7,'Vic colour ref'!$A$2:$A$5,'Vic colour ref'!$D$2:$D$5,"")</f>
        <v>00</v>
      </c>
      <c r="BH7" s="2" t="str">
        <f>_xlfn.XLOOKUP(AA7,'Vic colour ref'!$A$2:$A$5,'Vic colour ref'!$D$2:$D$5,"")</f>
        <v>00</v>
      </c>
      <c r="BI7" s="2" t="str">
        <f>_xlfn.XLOOKUP(AB7,'Vic colour ref'!$A$2:$A$5,'Vic colour ref'!$D$2:$D$5,"")</f>
        <v>00</v>
      </c>
      <c r="BJ7" s="2" t="str">
        <f>_xlfn.XLOOKUP(AC7,'Vic colour ref'!$A$2:$A$5,'Vic colour ref'!$D$2:$D$5,"")</f>
        <v>00</v>
      </c>
      <c r="BK7" s="2" t="str">
        <f>_xlfn.XLOOKUP(AD7,'Vic colour ref'!$A$2:$A$5,'Vic colour ref'!$D$2:$D$5,"")</f>
        <v>00</v>
      </c>
      <c r="BL7" s="2" t="str">
        <f>_xlfn.XLOOKUP(AE7,'Vic colour ref'!$A$2:$A$5,'Vic colour ref'!$D$2:$D$5,"")</f>
        <v>00</v>
      </c>
      <c r="BM7" s="2" t="str">
        <f>_xlfn.XLOOKUP(AF7,'Vic colour ref'!$A$2:$A$5,'Vic colour ref'!$D$2:$D$5,"")</f>
        <v>00</v>
      </c>
      <c r="BO7" s="18" t="str">
        <f t="shared" si="1"/>
        <v>00000011</v>
      </c>
      <c r="BP7" s="18" t="str">
        <f t="shared" si="2"/>
        <v>11111111</v>
      </c>
      <c r="BQ7" s="18" t="str">
        <f t="shared" si="3"/>
        <v>11111111</v>
      </c>
      <c r="BR7" s="18" t="str">
        <f t="shared" si="4"/>
        <v>11111100</v>
      </c>
      <c r="BS7" s="18" t="str">
        <f t="shared" si="5"/>
        <v>00000000</v>
      </c>
      <c r="BT7" s="18" t="str">
        <f t="shared" si="6"/>
        <v>00000000</v>
      </c>
      <c r="BU7" s="18" t="str">
        <f t="shared" si="7"/>
        <v>00000000</v>
      </c>
      <c r="BV7" s="18" t="str">
        <f t="shared" si="8"/>
        <v>00000000</v>
      </c>
      <c r="BX7" s="21" t="str">
        <f t="shared" si="9"/>
        <v>03</v>
      </c>
      <c r="BY7" s="21" t="str">
        <f t="shared" si="10"/>
        <v>FF</v>
      </c>
      <c r="BZ7" s="21" t="str">
        <f t="shared" si="11"/>
        <v>FF</v>
      </c>
      <c r="CA7" s="21" t="str">
        <f t="shared" si="11"/>
        <v>FC</v>
      </c>
      <c r="CB7" s="24" t="str">
        <f t="shared" si="11"/>
        <v>00</v>
      </c>
      <c r="CC7" s="24" t="str">
        <f t="shared" si="11"/>
        <v>00</v>
      </c>
      <c r="CD7" s="24" t="str">
        <f t="shared" si="14"/>
        <v>00</v>
      </c>
      <c r="CE7" s="24" t="str">
        <f t="shared" si="12"/>
        <v>00</v>
      </c>
      <c r="CG7" s="2" t="str" cm="1">
        <f t="array" ref="CG7:CN7">TRANSPOSE(CD1:CD8)</f>
        <v>00</v>
      </c>
      <c r="CH7" s="2" t="str">
        <v>00</v>
      </c>
      <c r="CI7" s="2" t="str">
        <v>00</v>
      </c>
      <c r="CJ7" s="2" t="str">
        <v>00</v>
      </c>
      <c r="CK7" s="2" t="str">
        <v>00</v>
      </c>
      <c r="CL7" s="2" t="str">
        <v>00</v>
      </c>
      <c r="CM7" s="2" t="str">
        <v>00</v>
      </c>
      <c r="CN7" s="2" t="str">
        <v>00</v>
      </c>
      <c r="CP7" s="4" t="str">
        <f t="shared" si="13"/>
        <v>!byte $00, $00, $00, $00, $00, $00, $00, $00</v>
      </c>
    </row>
    <row r="8" spans="1:94" x14ac:dyDescent="0.3">
      <c r="A8" s="2">
        <v>0</v>
      </c>
      <c r="B8" s="2">
        <v>0</v>
      </c>
      <c r="C8" s="2">
        <v>0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H8" s="2" t="str">
        <f>_xlfn.XLOOKUP(A8,'Vic colour ref'!$A$2:$A$5,'Vic colour ref'!$D$2:$D$5,"")</f>
        <v>00</v>
      </c>
      <c r="AI8" s="2" t="str">
        <f>_xlfn.XLOOKUP(B8,'Vic colour ref'!$A$2:$A$5,'Vic colour ref'!$D$2:$D$5,"")</f>
        <v>00</v>
      </c>
      <c r="AJ8" s="2" t="str">
        <f>_xlfn.XLOOKUP(C8,'Vic colour ref'!$A$2:$A$5,'Vic colour ref'!$D$2:$D$5,"")</f>
        <v>00</v>
      </c>
      <c r="AK8" s="2">
        <f>_xlfn.XLOOKUP(D8,'Vic colour ref'!$A$2:$A$5,'Vic colour ref'!$D$2:$D$5,"")</f>
        <v>11</v>
      </c>
      <c r="AL8" s="2">
        <f>_xlfn.XLOOKUP(E8,'Vic colour ref'!$A$2:$A$5,'Vic colour ref'!$D$2:$D$5,"")</f>
        <v>11</v>
      </c>
      <c r="AM8" s="2">
        <f>_xlfn.XLOOKUP(F8,'Vic colour ref'!$A$2:$A$5,'Vic colour ref'!$D$2:$D$5,"")</f>
        <v>11</v>
      </c>
      <c r="AN8" s="2">
        <f>_xlfn.XLOOKUP(G8,'Vic colour ref'!$A$2:$A$5,'Vic colour ref'!$D$2:$D$5,"")</f>
        <v>11</v>
      </c>
      <c r="AO8" s="2">
        <f>_xlfn.XLOOKUP(H8,'Vic colour ref'!$A$2:$A$5,'Vic colour ref'!$D$2:$D$5,"")</f>
        <v>11</v>
      </c>
      <c r="AP8" s="2">
        <f>_xlfn.XLOOKUP(I8,'Vic colour ref'!$A$2:$A$5,'Vic colour ref'!$D$2:$D$5,"")</f>
        <v>11</v>
      </c>
      <c r="AQ8" s="2">
        <f>_xlfn.XLOOKUP(J8,'Vic colour ref'!$A$2:$A$5,'Vic colour ref'!$D$2:$D$5,"")</f>
        <v>11</v>
      </c>
      <c r="AR8" s="2">
        <f>_xlfn.XLOOKUP(K8,'Vic colour ref'!$A$2:$A$5,'Vic colour ref'!$D$2:$D$5,"")</f>
        <v>11</v>
      </c>
      <c r="AS8" s="2">
        <f>_xlfn.XLOOKUP(L8,'Vic colour ref'!$A$2:$A$5,'Vic colour ref'!$D$2:$D$5,"")</f>
        <v>11</v>
      </c>
      <c r="AT8" s="2">
        <f>_xlfn.XLOOKUP(M8,'Vic colour ref'!$A$2:$A$5,'Vic colour ref'!$D$2:$D$5,"")</f>
        <v>11</v>
      </c>
      <c r="AU8" s="2">
        <f>_xlfn.XLOOKUP(N8,'Vic colour ref'!$A$2:$A$5,'Vic colour ref'!$D$2:$D$5,"")</f>
        <v>11</v>
      </c>
      <c r="AV8" s="2">
        <f>_xlfn.XLOOKUP(O8,'Vic colour ref'!$A$2:$A$5,'Vic colour ref'!$D$2:$D$5,"")</f>
        <v>11</v>
      </c>
      <c r="AW8" s="2" t="str">
        <f>_xlfn.XLOOKUP(P8,'Vic colour ref'!$A$2:$A$5,'Vic colour ref'!$D$2:$D$5,"")</f>
        <v>00</v>
      </c>
      <c r="AX8" s="2" t="str">
        <f>_xlfn.XLOOKUP(Q8,'Vic colour ref'!$A$2:$A$5,'Vic colour ref'!$D$2:$D$5,"")</f>
        <v>00</v>
      </c>
      <c r="AY8" s="2" t="str">
        <f>_xlfn.XLOOKUP(R8,'Vic colour ref'!$A$2:$A$5,'Vic colour ref'!$D$2:$D$5,"")</f>
        <v>00</v>
      </c>
      <c r="AZ8" s="2" t="str">
        <f>_xlfn.XLOOKUP(S8,'Vic colour ref'!$A$2:$A$5,'Vic colour ref'!$D$2:$D$5,"")</f>
        <v>00</v>
      </c>
      <c r="BA8" s="2" t="str">
        <f>_xlfn.XLOOKUP(T8,'Vic colour ref'!$A$2:$A$5,'Vic colour ref'!$D$2:$D$5,"")</f>
        <v>00</v>
      </c>
      <c r="BB8" s="2" t="str">
        <f>_xlfn.XLOOKUP(U8,'Vic colour ref'!$A$2:$A$5,'Vic colour ref'!$D$2:$D$5,"")</f>
        <v>00</v>
      </c>
      <c r="BC8" s="2" t="str">
        <f>_xlfn.XLOOKUP(V8,'Vic colour ref'!$A$2:$A$5,'Vic colour ref'!$D$2:$D$5,"")</f>
        <v>00</v>
      </c>
      <c r="BD8" s="2" t="str">
        <f>_xlfn.XLOOKUP(W8,'Vic colour ref'!$A$2:$A$5,'Vic colour ref'!$D$2:$D$5,"")</f>
        <v>00</v>
      </c>
      <c r="BE8" s="2" t="str">
        <f>_xlfn.XLOOKUP(X8,'Vic colour ref'!$A$2:$A$5,'Vic colour ref'!$D$2:$D$5,"")</f>
        <v>00</v>
      </c>
      <c r="BF8" s="2" t="str">
        <f>_xlfn.XLOOKUP(Y8,'Vic colour ref'!$A$2:$A$5,'Vic colour ref'!$D$2:$D$5,"")</f>
        <v>00</v>
      </c>
      <c r="BG8" s="2" t="str">
        <f>_xlfn.XLOOKUP(Z8,'Vic colour ref'!$A$2:$A$5,'Vic colour ref'!$D$2:$D$5,"")</f>
        <v>00</v>
      </c>
      <c r="BH8" s="2" t="str">
        <f>_xlfn.XLOOKUP(AA8,'Vic colour ref'!$A$2:$A$5,'Vic colour ref'!$D$2:$D$5,"")</f>
        <v>00</v>
      </c>
      <c r="BI8" s="2" t="str">
        <f>_xlfn.XLOOKUP(AB8,'Vic colour ref'!$A$2:$A$5,'Vic colour ref'!$D$2:$D$5,"")</f>
        <v>00</v>
      </c>
      <c r="BJ8" s="2" t="str">
        <f>_xlfn.XLOOKUP(AC8,'Vic colour ref'!$A$2:$A$5,'Vic colour ref'!$D$2:$D$5,"")</f>
        <v>00</v>
      </c>
      <c r="BK8" s="2" t="str">
        <f>_xlfn.XLOOKUP(AD8,'Vic colour ref'!$A$2:$A$5,'Vic colour ref'!$D$2:$D$5,"")</f>
        <v>00</v>
      </c>
      <c r="BL8" s="2" t="str">
        <f>_xlfn.XLOOKUP(AE8,'Vic colour ref'!$A$2:$A$5,'Vic colour ref'!$D$2:$D$5,"")</f>
        <v>00</v>
      </c>
      <c r="BM8" s="2" t="str">
        <f>_xlfn.XLOOKUP(AF8,'Vic colour ref'!$A$2:$A$5,'Vic colour ref'!$D$2:$D$5,"")</f>
        <v>00</v>
      </c>
      <c r="BO8" s="19" t="str">
        <f t="shared" si="1"/>
        <v>00000011</v>
      </c>
      <c r="BP8" s="19" t="str">
        <f t="shared" si="2"/>
        <v>11111111</v>
      </c>
      <c r="BQ8" s="19" t="str">
        <f t="shared" si="3"/>
        <v>11111111</v>
      </c>
      <c r="BR8" s="19" t="str">
        <f t="shared" si="4"/>
        <v>11111100</v>
      </c>
      <c r="BS8" s="19" t="str">
        <f t="shared" si="5"/>
        <v>00000000</v>
      </c>
      <c r="BT8" s="19" t="str">
        <f t="shared" si="6"/>
        <v>00000000</v>
      </c>
      <c r="BU8" s="19" t="str">
        <f t="shared" si="7"/>
        <v>00000000</v>
      </c>
      <c r="BV8" s="19" t="str">
        <f t="shared" si="8"/>
        <v>00000000</v>
      </c>
      <c r="BX8" s="22" t="str">
        <f t="shared" si="9"/>
        <v>03</v>
      </c>
      <c r="BY8" s="22" t="str">
        <f t="shared" si="10"/>
        <v>FF</v>
      </c>
      <c r="BZ8" s="22" t="str">
        <f t="shared" si="11"/>
        <v>FF</v>
      </c>
      <c r="CA8" s="22" t="str">
        <f t="shared" si="11"/>
        <v>FC</v>
      </c>
      <c r="CB8" s="25" t="str">
        <f t="shared" si="11"/>
        <v>00</v>
      </c>
      <c r="CC8" s="25" t="str">
        <f t="shared" si="11"/>
        <v>00</v>
      </c>
      <c r="CD8" s="25" t="str">
        <f t="shared" si="14"/>
        <v>00</v>
      </c>
      <c r="CE8" s="25" t="str">
        <f t="shared" si="12"/>
        <v>00</v>
      </c>
      <c r="CG8" s="2" t="str" cm="1">
        <f t="array" ref="CG8:CN8">TRANSPOSE(CE1:CE8)</f>
        <v>00</v>
      </c>
      <c r="CH8" s="2" t="str">
        <v>00</v>
      </c>
      <c r="CI8" s="2" t="str">
        <v>00</v>
      </c>
      <c r="CJ8" s="2" t="str">
        <v>00</v>
      </c>
      <c r="CK8" s="2" t="str">
        <v>00</v>
      </c>
      <c r="CL8" s="2" t="str">
        <v>00</v>
      </c>
      <c r="CM8" s="2" t="str">
        <v>00</v>
      </c>
      <c r="CN8" s="2" t="str">
        <v>00</v>
      </c>
      <c r="CP8" s="4" t="str">
        <f t="shared" si="13"/>
        <v>!byte $00, $00, $00, $00, $00, $00, $00, $00</v>
      </c>
    </row>
    <row r="9" spans="1:94" x14ac:dyDescent="0.3">
      <c r="A9" s="2">
        <v>3</v>
      </c>
      <c r="B9" s="2">
        <v>3</v>
      </c>
      <c r="C9" s="2">
        <v>3</v>
      </c>
      <c r="D9" s="2">
        <v>0</v>
      </c>
      <c r="E9" s="2">
        <v>0</v>
      </c>
      <c r="F9" s="2">
        <v>0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0</v>
      </c>
      <c r="N9" s="2">
        <v>0</v>
      </c>
      <c r="O9" s="2">
        <v>0</v>
      </c>
      <c r="P9" s="2">
        <v>3</v>
      </c>
      <c r="Q9" s="2">
        <v>3</v>
      </c>
      <c r="R9" s="2">
        <v>3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H9" s="2">
        <f>_xlfn.XLOOKUP(A9,'Vic colour ref'!$A$2:$A$5,'Vic colour ref'!$D$2:$D$5,"")</f>
        <v>11</v>
      </c>
      <c r="AI9" s="2">
        <f>_xlfn.XLOOKUP(B9,'Vic colour ref'!$A$2:$A$5,'Vic colour ref'!$D$2:$D$5,"")</f>
        <v>11</v>
      </c>
      <c r="AJ9" s="2">
        <f>_xlfn.XLOOKUP(C9,'Vic colour ref'!$A$2:$A$5,'Vic colour ref'!$D$2:$D$5,"")</f>
        <v>11</v>
      </c>
      <c r="AK9" s="2" t="str">
        <f>_xlfn.XLOOKUP(D9,'Vic colour ref'!$A$2:$A$5,'Vic colour ref'!$D$2:$D$5,"")</f>
        <v>00</v>
      </c>
      <c r="AL9" s="2" t="str">
        <f>_xlfn.XLOOKUP(E9,'Vic colour ref'!$A$2:$A$5,'Vic colour ref'!$D$2:$D$5,"")</f>
        <v>00</v>
      </c>
      <c r="AM9" s="2" t="str">
        <f>_xlfn.XLOOKUP(F9,'Vic colour ref'!$A$2:$A$5,'Vic colour ref'!$D$2:$D$5,"")</f>
        <v>00</v>
      </c>
      <c r="AN9" s="2">
        <f>_xlfn.XLOOKUP(G9,'Vic colour ref'!$A$2:$A$5,'Vic colour ref'!$D$2:$D$5,"")</f>
        <v>11</v>
      </c>
      <c r="AO9" s="2">
        <f>_xlfn.XLOOKUP(H9,'Vic colour ref'!$A$2:$A$5,'Vic colour ref'!$D$2:$D$5,"")</f>
        <v>11</v>
      </c>
      <c r="AP9" s="2">
        <f>_xlfn.XLOOKUP(I9,'Vic colour ref'!$A$2:$A$5,'Vic colour ref'!$D$2:$D$5,"")</f>
        <v>11</v>
      </c>
      <c r="AQ9" s="2">
        <f>_xlfn.XLOOKUP(J9,'Vic colour ref'!$A$2:$A$5,'Vic colour ref'!$D$2:$D$5,"")</f>
        <v>11</v>
      </c>
      <c r="AR9" s="2">
        <f>_xlfn.XLOOKUP(K9,'Vic colour ref'!$A$2:$A$5,'Vic colour ref'!$D$2:$D$5,"")</f>
        <v>11</v>
      </c>
      <c r="AS9" s="2">
        <f>_xlfn.XLOOKUP(L9,'Vic colour ref'!$A$2:$A$5,'Vic colour ref'!$D$2:$D$5,"")</f>
        <v>11</v>
      </c>
      <c r="AT9" s="2" t="str">
        <f>_xlfn.XLOOKUP(M9,'Vic colour ref'!$A$2:$A$5,'Vic colour ref'!$D$2:$D$5,"")</f>
        <v>00</v>
      </c>
      <c r="AU9" s="2" t="str">
        <f>_xlfn.XLOOKUP(N9,'Vic colour ref'!$A$2:$A$5,'Vic colour ref'!$D$2:$D$5,"")</f>
        <v>00</v>
      </c>
      <c r="AV9" s="2" t="str">
        <f>_xlfn.XLOOKUP(O9,'Vic colour ref'!$A$2:$A$5,'Vic colour ref'!$D$2:$D$5,"")</f>
        <v>00</v>
      </c>
      <c r="AW9" s="2">
        <f>_xlfn.XLOOKUP(P9,'Vic colour ref'!$A$2:$A$5,'Vic colour ref'!$D$2:$D$5,"")</f>
        <v>11</v>
      </c>
      <c r="AX9" s="2">
        <f>_xlfn.XLOOKUP(Q9,'Vic colour ref'!$A$2:$A$5,'Vic colour ref'!$D$2:$D$5,"")</f>
        <v>11</v>
      </c>
      <c r="AY9" s="2">
        <f>_xlfn.XLOOKUP(R9,'Vic colour ref'!$A$2:$A$5,'Vic colour ref'!$D$2:$D$5,"")</f>
        <v>11</v>
      </c>
      <c r="AZ9" s="2" t="str">
        <f>_xlfn.XLOOKUP(S9,'Vic colour ref'!$A$2:$A$5,'Vic colour ref'!$D$2:$D$5,"")</f>
        <v>00</v>
      </c>
      <c r="BA9" s="2" t="str">
        <f>_xlfn.XLOOKUP(T9,'Vic colour ref'!$A$2:$A$5,'Vic colour ref'!$D$2:$D$5,"")</f>
        <v>00</v>
      </c>
      <c r="BB9" s="2" t="str">
        <f>_xlfn.XLOOKUP(U9,'Vic colour ref'!$A$2:$A$5,'Vic colour ref'!$D$2:$D$5,"")</f>
        <v>00</v>
      </c>
      <c r="BC9" s="2" t="str">
        <f>_xlfn.XLOOKUP(V9,'Vic colour ref'!$A$2:$A$5,'Vic colour ref'!$D$2:$D$5,"")</f>
        <v>00</v>
      </c>
      <c r="BD9" s="2" t="str">
        <f>_xlfn.XLOOKUP(W9,'Vic colour ref'!$A$2:$A$5,'Vic colour ref'!$D$2:$D$5,"")</f>
        <v>00</v>
      </c>
      <c r="BE9" s="2" t="str">
        <f>_xlfn.XLOOKUP(X9,'Vic colour ref'!$A$2:$A$5,'Vic colour ref'!$D$2:$D$5,"")</f>
        <v>00</v>
      </c>
      <c r="BF9" s="2" t="str">
        <f>_xlfn.XLOOKUP(Y9,'Vic colour ref'!$A$2:$A$5,'Vic colour ref'!$D$2:$D$5,"")</f>
        <v>00</v>
      </c>
      <c r="BG9" s="2" t="str">
        <f>_xlfn.XLOOKUP(Z9,'Vic colour ref'!$A$2:$A$5,'Vic colour ref'!$D$2:$D$5,"")</f>
        <v>00</v>
      </c>
      <c r="BH9" s="2" t="str">
        <f>_xlfn.XLOOKUP(AA9,'Vic colour ref'!$A$2:$A$5,'Vic colour ref'!$D$2:$D$5,"")</f>
        <v>00</v>
      </c>
      <c r="BI9" s="2" t="str">
        <f>_xlfn.XLOOKUP(AB9,'Vic colour ref'!$A$2:$A$5,'Vic colour ref'!$D$2:$D$5,"")</f>
        <v>00</v>
      </c>
      <c r="BJ9" s="2" t="str">
        <f>_xlfn.XLOOKUP(AC9,'Vic colour ref'!$A$2:$A$5,'Vic colour ref'!$D$2:$D$5,"")</f>
        <v>00</v>
      </c>
      <c r="BK9" s="2" t="str">
        <f>_xlfn.XLOOKUP(AD9,'Vic colour ref'!$A$2:$A$5,'Vic colour ref'!$D$2:$D$5,"")</f>
        <v>00</v>
      </c>
      <c r="BL9" s="2" t="str">
        <f>_xlfn.XLOOKUP(AE9,'Vic colour ref'!$A$2:$A$5,'Vic colour ref'!$D$2:$D$5,"")</f>
        <v>00</v>
      </c>
      <c r="BM9" s="2" t="str">
        <f>_xlfn.XLOOKUP(AF9,'Vic colour ref'!$A$2:$A$5,'Vic colour ref'!$D$2:$D$5,"")</f>
        <v>00</v>
      </c>
      <c r="BO9" s="17" t="str">
        <f t="shared" si="1"/>
        <v>11111100</v>
      </c>
      <c r="BP9" s="17" t="str">
        <f t="shared" si="2"/>
        <v>00001111</v>
      </c>
      <c r="BQ9" s="17" t="str">
        <f t="shared" si="3"/>
        <v>11111111</v>
      </c>
      <c r="BR9" s="17" t="str">
        <f t="shared" si="4"/>
        <v>00000011</v>
      </c>
      <c r="BS9" s="17" t="str">
        <f t="shared" si="5"/>
        <v>11110000</v>
      </c>
      <c r="BT9" s="17" t="str">
        <f t="shared" si="6"/>
        <v>00000000</v>
      </c>
      <c r="BU9" s="17" t="str">
        <f t="shared" si="7"/>
        <v>00000000</v>
      </c>
      <c r="BV9" s="17" t="str">
        <f t="shared" si="8"/>
        <v>00000000</v>
      </c>
      <c r="BX9" s="20" t="str">
        <f t="shared" si="9"/>
        <v>FC</v>
      </c>
      <c r="BY9" s="20" t="str">
        <f t="shared" si="10"/>
        <v>0F</v>
      </c>
      <c r="BZ9" s="20" t="str">
        <f t="shared" si="11"/>
        <v>FF</v>
      </c>
      <c r="CA9" s="20" t="str">
        <f t="shared" si="11"/>
        <v>03</v>
      </c>
      <c r="CB9" s="20" t="str">
        <f t="shared" si="11"/>
        <v>F0</v>
      </c>
      <c r="CC9" s="23" t="str">
        <f t="shared" si="11"/>
        <v>00</v>
      </c>
      <c r="CD9" s="23" t="str">
        <f t="shared" si="14"/>
        <v>00</v>
      </c>
      <c r="CE9" s="23" t="str">
        <f t="shared" si="12"/>
        <v>00</v>
      </c>
      <c r="CG9" s="2" t="str" cm="1">
        <f t="array" ref="CG9:CN9">TRANSPOSE(BX9:BX16)</f>
        <v>FC</v>
      </c>
      <c r="CH9" s="2" t="str">
        <v>FC</v>
      </c>
      <c r="CI9" s="2" t="str">
        <v>FC</v>
      </c>
      <c r="CJ9" s="2" t="str">
        <v>FC</v>
      </c>
      <c r="CK9" s="2" t="str">
        <v>FC</v>
      </c>
      <c r="CL9" s="2" t="str">
        <v>FC</v>
      </c>
      <c r="CM9" s="2" t="str">
        <v>03</v>
      </c>
      <c r="CN9" s="2" t="str">
        <v>03</v>
      </c>
      <c r="CP9" s="4" t="str">
        <f t="shared" si="13"/>
        <v>!byte $fc, $fc, $fc, $fc, $fc, $fc, $03, $03</v>
      </c>
    </row>
    <row r="10" spans="1:94" x14ac:dyDescent="0.3">
      <c r="A10" s="2">
        <v>3</v>
      </c>
      <c r="B10" s="2">
        <v>3</v>
      </c>
      <c r="C10" s="2">
        <v>3</v>
      </c>
      <c r="D10" s="2">
        <v>0</v>
      </c>
      <c r="E10" s="2">
        <v>0</v>
      </c>
      <c r="F10" s="2">
        <v>0</v>
      </c>
      <c r="G10" s="2">
        <v>3</v>
      </c>
      <c r="H10" s="2">
        <v>3</v>
      </c>
      <c r="I10" s="2">
        <v>3</v>
      </c>
      <c r="J10" s="2">
        <v>3</v>
      </c>
      <c r="K10" s="2">
        <v>3</v>
      </c>
      <c r="L10" s="2">
        <v>3</v>
      </c>
      <c r="M10" s="2">
        <v>0</v>
      </c>
      <c r="N10" s="2">
        <v>0</v>
      </c>
      <c r="O10" s="2">
        <v>0</v>
      </c>
      <c r="P10" s="2">
        <v>3</v>
      </c>
      <c r="Q10" s="2">
        <v>3</v>
      </c>
      <c r="R10" s="2">
        <v>3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H10" s="2">
        <f>_xlfn.XLOOKUP(A10,'Vic colour ref'!$A$2:$A$5,'Vic colour ref'!$D$2:$D$5,"")</f>
        <v>11</v>
      </c>
      <c r="AI10" s="2">
        <f>_xlfn.XLOOKUP(B10,'Vic colour ref'!$A$2:$A$5,'Vic colour ref'!$D$2:$D$5,"")</f>
        <v>11</v>
      </c>
      <c r="AJ10" s="2">
        <f>_xlfn.XLOOKUP(C10,'Vic colour ref'!$A$2:$A$5,'Vic colour ref'!$D$2:$D$5,"")</f>
        <v>11</v>
      </c>
      <c r="AK10" s="2" t="str">
        <f>_xlfn.XLOOKUP(D10,'Vic colour ref'!$A$2:$A$5,'Vic colour ref'!$D$2:$D$5,"")</f>
        <v>00</v>
      </c>
      <c r="AL10" s="2" t="str">
        <f>_xlfn.XLOOKUP(E10,'Vic colour ref'!$A$2:$A$5,'Vic colour ref'!$D$2:$D$5,"")</f>
        <v>00</v>
      </c>
      <c r="AM10" s="2" t="str">
        <f>_xlfn.XLOOKUP(F10,'Vic colour ref'!$A$2:$A$5,'Vic colour ref'!$D$2:$D$5,"")</f>
        <v>00</v>
      </c>
      <c r="AN10" s="2">
        <f>_xlfn.XLOOKUP(G10,'Vic colour ref'!$A$2:$A$5,'Vic colour ref'!$D$2:$D$5,"")</f>
        <v>11</v>
      </c>
      <c r="AO10" s="2">
        <f>_xlfn.XLOOKUP(H10,'Vic colour ref'!$A$2:$A$5,'Vic colour ref'!$D$2:$D$5,"")</f>
        <v>11</v>
      </c>
      <c r="AP10" s="2">
        <f>_xlfn.XLOOKUP(I10,'Vic colour ref'!$A$2:$A$5,'Vic colour ref'!$D$2:$D$5,"")</f>
        <v>11</v>
      </c>
      <c r="AQ10" s="2">
        <f>_xlfn.XLOOKUP(J10,'Vic colour ref'!$A$2:$A$5,'Vic colour ref'!$D$2:$D$5,"")</f>
        <v>11</v>
      </c>
      <c r="AR10" s="2">
        <f>_xlfn.XLOOKUP(K10,'Vic colour ref'!$A$2:$A$5,'Vic colour ref'!$D$2:$D$5,"")</f>
        <v>11</v>
      </c>
      <c r="AS10" s="2">
        <f>_xlfn.XLOOKUP(L10,'Vic colour ref'!$A$2:$A$5,'Vic colour ref'!$D$2:$D$5,"")</f>
        <v>11</v>
      </c>
      <c r="AT10" s="2" t="str">
        <f>_xlfn.XLOOKUP(M10,'Vic colour ref'!$A$2:$A$5,'Vic colour ref'!$D$2:$D$5,"")</f>
        <v>00</v>
      </c>
      <c r="AU10" s="2" t="str">
        <f>_xlfn.XLOOKUP(N10,'Vic colour ref'!$A$2:$A$5,'Vic colour ref'!$D$2:$D$5,"")</f>
        <v>00</v>
      </c>
      <c r="AV10" s="2" t="str">
        <f>_xlfn.XLOOKUP(O10,'Vic colour ref'!$A$2:$A$5,'Vic colour ref'!$D$2:$D$5,"")</f>
        <v>00</v>
      </c>
      <c r="AW10" s="2">
        <f>_xlfn.XLOOKUP(P10,'Vic colour ref'!$A$2:$A$5,'Vic colour ref'!$D$2:$D$5,"")</f>
        <v>11</v>
      </c>
      <c r="AX10" s="2">
        <f>_xlfn.XLOOKUP(Q10,'Vic colour ref'!$A$2:$A$5,'Vic colour ref'!$D$2:$D$5,"")</f>
        <v>11</v>
      </c>
      <c r="AY10" s="2">
        <f>_xlfn.XLOOKUP(R10,'Vic colour ref'!$A$2:$A$5,'Vic colour ref'!$D$2:$D$5,"")</f>
        <v>11</v>
      </c>
      <c r="AZ10" s="2" t="str">
        <f>_xlfn.XLOOKUP(S10,'Vic colour ref'!$A$2:$A$5,'Vic colour ref'!$D$2:$D$5,"")</f>
        <v>00</v>
      </c>
      <c r="BA10" s="2" t="str">
        <f>_xlfn.XLOOKUP(T10,'Vic colour ref'!$A$2:$A$5,'Vic colour ref'!$D$2:$D$5,"")</f>
        <v>00</v>
      </c>
      <c r="BB10" s="2" t="str">
        <f>_xlfn.XLOOKUP(U10,'Vic colour ref'!$A$2:$A$5,'Vic colour ref'!$D$2:$D$5,"")</f>
        <v>00</v>
      </c>
      <c r="BC10" s="2" t="str">
        <f>_xlfn.XLOOKUP(V10,'Vic colour ref'!$A$2:$A$5,'Vic colour ref'!$D$2:$D$5,"")</f>
        <v>00</v>
      </c>
      <c r="BD10" s="2" t="str">
        <f>_xlfn.XLOOKUP(W10,'Vic colour ref'!$A$2:$A$5,'Vic colour ref'!$D$2:$D$5,"")</f>
        <v>00</v>
      </c>
      <c r="BE10" s="2" t="str">
        <f>_xlfn.XLOOKUP(X10,'Vic colour ref'!$A$2:$A$5,'Vic colour ref'!$D$2:$D$5,"")</f>
        <v>00</v>
      </c>
      <c r="BF10" s="2" t="str">
        <f>_xlfn.XLOOKUP(Y10,'Vic colour ref'!$A$2:$A$5,'Vic colour ref'!$D$2:$D$5,"")</f>
        <v>00</v>
      </c>
      <c r="BG10" s="2" t="str">
        <f>_xlfn.XLOOKUP(Z10,'Vic colour ref'!$A$2:$A$5,'Vic colour ref'!$D$2:$D$5,"")</f>
        <v>00</v>
      </c>
      <c r="BH10" s="2" t="str">
        <f>_xlfn.XLOOKUP(AA10,'Vic colour ref'!$A$2:$A$5,'Vic colour ref'!$D$2:$D$5,"")</f>
        <v>00</v>
      </c>
      <c r="BI10" s="2" t="str">
        <f>_xlfn.XLOOKUP(AB10,'Vic colour ref'!$A$2:$A$5,'Vic colour ref'!$D$2:$D$5,"")</f>
        <v>00</v>
      </c>
      <c r="BJ10" s="2" t="str">
        <f>_xlfn.XLOOKUP(AC10,'Vic colour ref'!$A$2:$A$5,'Vic colour ref'!$D$2:$D$5,"")</f>
        <v>00</v>
      </c>
      <c r="BK10" s="2" t="str">
        <f>_xlfn.XLOOKUP(AD10,'Vic colour ref'!$A$2:$A$5,'Vic colour ref'!$D$2:$D$5,"")</f>
        <v>00</v>
      </c>
      <c r="BL10" s="2" t="str">
        <f>_xlfn.XLOOKUP(AE10,'Vic colour ref'!$A$2:$A$5,'Vic colour ref'!$D$2:$D$5,"")</f>
        <v>00</v>
      </c>
      <c r="BM10" s="2" t="str">
        <f>_xlfn.XLOOKUP(AF10,'Vic colour ref'!$A$2:$A$5,'Vic colour ref'!$D$2:$D$5,"")</f>
        <v>00</v>
      </c>
      <c r="BO10" s="18" t="str">
        <f t="shared" si="1"/>
        <v>11111100</v>
      </c>
      <c r="BP10" s="18" t="str">
        <f t="shared" si="2"/>
        <v>00001111</v>
      </c>
      <c r="BQ10" s="18" t="str">
        <f t="shared" si="3"/>
        <v>11111111</v>
      </c>
      <c r="BR10" s="18" t="str">
        <f t="shared" si="4"/>
        <v>00000011</v>
      </c>
      <c r="BS10" s="18" t="str">
        <f t="shared" si="5"/>
        <v>11110000</v>
      </c>
      <c r="BT10" s="18" t="str">
        <f t="shared" si="6"/>
        <v>00000000</v>
      </c>
      <c r="BU10" s="18" t="str">
        <f t="shared" si="7"/>
        <v>00000000</v>
      </c>
      <c r="BV10" s="18" t="str">
        <f t="shared" si="8"/>
        <v>00000000</v>
      </c>
      <c r="BX10" s="21" t="str">
        <f t="shared" si="9"/>
        <v>FC</v>
      </c>
      <c r="BY10" s="21" t="str">
        <f t="shared" si="10"/>
        <v>0F</v>
      </c>
      <c r="BZ10" s="21" t="str">
        <f t="shared" si="11"/>
        <v>FF</v>
      </c>
      <c r="CA10" s="21" t="str">
        <f t="shared" si="11"/>
        <v>03</v>
      </c>
      <c r="CB10" s="21" t="str">
        <f t="shared" si="11"/>
        <v>F0</v>
      </c>
      <c r="CC10" s="24" t="str">
        <f t="shared" si="11"/>
        <v>00</v>
      </c>
      <c r="CD10" s="24" t="str">
        <f t="shared" si="14"/>
        <v>00</v>
      </c>
      <c r="CE10" s="24" t="str">
        <f t="shared" si="12"/>
        <v>00</v>
      </c>
      <c r="CG10" s="2" t="str" cm="1">
        <f t="array" ref="CG10:CN10">TRANSPOSE(BY9:BY16)</f>
        <v>0F</v>
      </c>
      <c r="CH10" s="2" t="str">
        <v>0F</v>
      </c>
      <c r="CI10" s="2" t="str">
        <v>0F</v>
      </c>
      <c r="CJ10" s="2" t="str">
        <v>0F</v>
      </c>
      <c r="CK10" s="2" t="str">
        <v>0F</v>
      </c>
      <c r="CL10" s="2" t="str">
        <v>0F</v>
      </c>
      <c r="CM10" s="2" t="str">
        <v>FF</v>
      </c>
      <c r="CN10" s="2" t="str">
        <v>FF</v>
      </c>
      <c r="CP10" s="4" t="str">
        <f t="shared" si="13"/>
        <v>!byte $0f, $0f, $0f, $0f, $0f, $0f, $ff, $ff</v>
      </c>
    </row>
    <row r="11" spans="1:94" x14ac:dyDescent="0.3">
      <c r="A11" s="2">
        <v>3</v>
      </c>
      <c r="B11" s="2">
        <v>3</v>
      </c>
      <c r="C11" s="2">
        <v>3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0</v>
      </c>
      <c r="N11" s="2">
        <v>0</v>
      </c>
      <c r="O11" s="2">
        <v>0</v>
      </c>
      <c r="P11" s="2">
        <v>3</v>
      </c>
      <c r="Q11" s="2">
        <v>3</v>
      </c>
      <c r="R11" s="2">
        <v>3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H11" s="2">
        <f>_xlfn.XLOOKUP(A11,'Vic colour ref'!$A$2:$A$5,'Vic colour ref'!$D$2:$D$5,"")</f>
        <v>11</v>
      </c>
      <c r="AI11" s="2">
        <f>_xlfn.XLOOKUP(B11,'Vic colour ref'!$A$2:$A$5,'Vic colour ref'!$D$2:$D$5,"")</f>
        <v>11</v>
      </c>
      <c r="AJ11" s="2">
        <f>_xlfn.XLOOKUP(C11,'Vic colour ref'!$A$2:$A$5,'Vic colour ref'!$D$2:$D$5,"")</f>
        <v>11</v>
      </c>
      <c r="AK11" s="2" t="str">
        <f>_xlfn.XLOOKUP(D11,'Vic colour ref'!$A$2:$A$5,'Vic colour ref'!$D$2:$D$5,"")</f>
        <v>00</v>
      </c>
      <c r="AL11" s="2" t="str">
        <f>_xlfn.XLOOKUP(E11,'Vic colour ref'!$A$2:$A$5,'Vic colour ref'!$D$2:$D$5,"")</f>
        <v>00</v>
      </c>
      <c r="AM11" s="2" t="str">
        <f>_xlfn.XLOOKUP(F11,'Vic colour ref'!$A$2:$A$5,'Vic colour ref'!$D$2:$D$5,"")</f>
        <v>00</v>
      </c>
      <c r="AN11" s="2">
        <f>_xlfn.XLOOKUP(G11,'Vic colour ref'!$A$2:$A$5,'Vic colour ref'!$D$2:$D$5,"")</f>
        <v>11</v>
      </c>
      <c r="AO11" s="2">
        <f>_xlfn.XLOOKUP(H11,'Vic colour ref'!$A$2:$A$5,'Vic colour ref'!$D$2:$D$5,"")</f>
        <v>11</v>
      </c>
      <c r="AP11" s="2">
        <f>_xlfn.XLOOKUP(I11,'Vic colour ref'!$A$2:$A$5,'Vic colour ref'!$D$2:$D$5,"")</f>
        <v>11</v>
      </c>
      <c r="AQ11" s="2">
        <f>_xlfn.XLOOKUP(J11,'Vic colour ref'!$A$2:$A$5,'Vic colour ref'!$D$2:$D$5,"")</f>
        <v>11</v>
      </c>
      <c r="AR11" s="2">
        <f>_xlfn.XLOOKUP(K11,'Vic colour ref'!$A$2:$A$5,'Vic colour ref'!$D$2:$D$5,"")</f>
        <v>11</v>
      </c>
      <c r="AS11" s="2">
        <f>_xlfn.XLOOKUP(L11,'Vic colour ref'!$A$2:$A$5,'Vic colour ref'!$D$2:$D$5,"")</f>
        <v>11</v>
      </c>
      <c r="AT11" s="2" t="str">
        <f>_xlfn.XLOOKUP(M11,'Vic colour ref'!$A$2:$A$5,'Vic colour ref'!$D$2:$D$5,"")</f>
        <v>00</v>
      </c>
      <c r="AU11" s="2" t="str">
        <f>_xlfn.XLOOKUP(N11,'Vic colour ref'!$A$2:$A$5,'Vic colour ref'!$D$2:$D$5,"")</f>
        <v>00</v>
      </c>
      <c r="AV11" s="2" t="str">
        <f>_xlfn.XLOOKUP(O11,'Vic colour ref'!$A$2:$A$5,'Vic colour ref'!$D$2:$D$5,"")</f>
        <v>00</v>
      </c>
      <c r="AW11" s="2">
        <f>_xlfn.XLOOKUP(P11,'Vic colour ref'!$A$2:$A$5,'Vic colour ref'!$D$2:$D$5,"")</f>
        <v>11</v>
      </c>
      <c r="AX11" s="2">
        <f>_xlfn.XLOOKUP(Q11,'Vic colour ref'!$A$2:$A$5,'Vic colour ref'!$D$2:$D$5,"")</f>
        <v>11</v>
      </c>
      <c r="AY11" s="2">
        <f>_xlfn.XLOOKUP(R11,'Vic colour ref'!$A$2:$A$5,'Vic colour ref'!$D$2:$D$5,"")</f>
        <v>11</v>
      </c>
      <c r="AZ11" s="2" t="str">
        <f>_xlfn.XLOOKUP(S11,'Vic colour ref'!$A$2:$A$5,'Vic colour ref'!$D$2:$D$5,"")</f>
        <v>00</v>
      </c>
      <c r="BA11" s="2" t="str">
        <f>_xlfn.XLOOKUP(T11,'Vic colour ref'!$A$2:$A$5,'Vic colour ref'!$D$2:$D$5,"")</f>
        <v>00</v>
      </c>
      <c r="BB11" s="2" t="str">
        <f>_xlfn.XLOOKUP(U11,'Vic colour ref'!$A$2:$A$5,'Vic colour ref'!$D$2:$D$5,"")</f>
        <v>00</v>
      </c>
      <c r="BC11" s="2" t="str">
        <f>_xlfn.XLOOKUP(V11,'Vic colour ref'!$A$2:$A$5,'Vic colour ref'!$D$2:$D$5,"")</f>
        <v>00</v>
      </c>
      <c r="BD11" s="2" t="str">
        <f>_xlfn.XLOOKUP(W11,'Vic colour ref'!$A$2:$A$5,'Vic colour ref'!$D$2:$D$5,"")</f>
        <v>00</v>
      </c>
      <c r="BE11" s="2" t="str">
        <f>_xlfn.XLOOKUP(X11,'Vic colour ref'!$A$2:$A$5,'Vic colour ref'!$D$2:$D$5,"")</f>
        <v>00</v>
      </c>
      <c r="BF11" s="2" t="str">
        <f>_xlfn.XLOOKUP(Y11,'Vic colour ref'!$A$2:$A$5,'Vic colour ref'!$D$2:$D$5,"")</f>
        <v>00</v>
      </c>
      <c r="BG11" s="2" t="str">
        <f>_xlfn.XLOOKUP(Z11,'Vic colour ref'!$A$2:$A$5,'Vic colour ref'!$D$2:$D$5,"")</f>
        <v>00</v>
      </c>
      <c r="BH11" s="2" t="str">
        <f>_xlfn.XLOOKUP(AA11,'Vic colour ref'!$A$2:$A$5,'Vic colour ref'!$D$2:$D$5,"")</f>
        <v>00</v>
      </c>
      <c r="BI11" s="2" t="str">
        <f>_xlfn.XLOOKUP(AB11,'Vic colour ref'!$A$2:$A$5,'Vic colour ref'!$D$2:$D$5,"")</f>
        <v>00</v>
      </c>
      <c r="BJ11" s="2" t="str">
        <f>_xlfn.XLOOKUP(AC11,'Vic colour ref'!$A$2:$A$5,'Vic colour ref'!$D$2:$D$5,"")</f>
        <v>00</v>
      </c>
      <c r="BK11" s="2" t="str">
        <f>_xlfn.XLOOKUP(AD11,'Vic colour ref'!$A$2:$A$5,'Vic colour ref'!$D$2:$D$5,"")</f>
        <v>00</v>
      </c>
      <c r="BL11" s="2" t="str">
        <f>_xlfn.XLOOKUP(AE11,'Vic colour ref'!$A$2:$A$5,'Vic colour ref'!$D$2:$D$5,"")</f>
        <v>00</v>
      </c>
      <c r="BM11" s="2" t="str">
        <f>_xlfn.XLOOKUP(AF11,'Vic colour ref'!$A$2:$A$5,'Vic colour ref'!$D$2:$D$5,"")</f>
        <v>00</v>
      </c>
      <c r="BO11" s="18" t="str">
        <f t="shared" si="1"/>
        <v>11111100</v>
      </c>
      <c r="BP11" s="18" t="str">
        <f t="shared" si="2"/>
        <v>00001111</v>
      </c>
      <c r="BQ11" s="18" t="str">
        <f t="shared" si="3"/>
        <v>11111111</v>
      </c>
      <c r="BR11" s="18" t="str">
        <f t="shared" si="4"/>
        <v>00000011</v>
      </c>
      <c r="BS11" s="18" t="str">
        <f t="shared" si="5"/>
        <v>11110000</v>
      </c>
      <c r="BT11" s="18" t="str">
        <f t="shared" si="6"/>
        <v>00000000</v>
      </c>
      <c r="BU11" s="18" t="str">
        <f t="shared" si="7"/>
        <v>00000000</v>
      </c>
      <c r="BV11" s="18" t="str">
        <f t="shared" si="8"/>
        <v>00000000</v>
      </c>
      <c r="BX11" s="21" t="str">
        <f t="shared" si="9"/>
        <v>FC</v>
      </c>
      <c r="BY11" s="21" t="str">
        <f t="shared" si="10"/>
        <v>0F</v>
      </c>
      <c r="BZ11" s="21" t="str">
        <f t="shared" si="11"/>
        <v>FF</v>
      </c>
      <c r="CA11" s="21" t="str">
        <f t="shared" si="11"/>
        <v>03</v>
      </c>
      <c r="CB11" s="21" t="str">
        <f t="shared" si="11"/>
        <v>F0</v>
      </c>
      <c r="CC11" s="24" t="str">
        <f t="shared" si="11"/>
        <v>00</v>
      </c>
      <c r="CD11" s="24" t="str">
        <f t="shared" si="14"/>
        <v>00</v>
      </c>
      <c r="CE11" s="24" t="str">
        <f t="shared" si="12"/>
        <v>00</v>
      </c>
      <c r="CG11" s="2" t="str" cm="1">
        <f t="array" ref="CG11:CN11">TRANSPOSE(BZ9:BZ16)</f>
        <v>FF</v>
      </c>
      <c r="CH11" s="2" t="str">
        <v>FF</v>
      </c>
      <c r="CI11" s="2" t="str">
        <v>FF</v>
      </c>
      <c r="CJ11" s="2" t="str">
        <v>FF</v>
      </c>
      <c r="CK11" s="2" t="str">
        <v>FF</v>
      </c>
      <c r="CL11" s="2" t="str">
        <v>FF</v>
      </c>
      <c r="CM11" s="2" t="str">
        <v>FF</v>
      </c>
      <c r="CN11" s="2" t="str">
        <v>FF</v>
      </c>
      <c r="CP11" s="4" t="str">
        <f t="shared" si="13"/>
        <v>!byte $ff, $ff, $ff, $ff, $ff, $ff, $ff, $ff</v>
      </c>
    </row>
    <row r="12" spans="1:94" x14ac:dyDescent="0.3">
      <c r="A12" s="2">
        <v>3</v>
      </c>
      <c r="B12" s="2">
        <v>3</v>
      </c>
      <c r="C12" s="2">
        <v>3</v>
      </c>
      <c r="D12" s="2">
        <v>0</v>
      </c>
      <c r="E12" s="2">
        <v>0</v>
      </c>
      <c r="F12" s="2">
        <v>0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3</v>
      </c>
      <c r="M12" s="2">
        <v>0</v>
      </c>
      <c r="N12" s="2">
        <v>0</v>
      </c>
      <c r="O12" s="2">
        <v>0</v>
      </c>
      <c r="P12" s="2">
        <v>3</v>
      </c>
      <c r="Q12" s="2">
        <v>3</v>
      </c>
      <c r="R12" s="2">
        <v>3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H12" s="2">
        <f>_xlfn.XLOOKUP(A12,'Vic colour ref'!$A$2:$A$5,'Vic colour ref'!$D$2:$D$5,"")</f>
        <v>11</v>
      </c>
      <c r="AI12" s="2">
        <f>_xlfn.XLOOKUP(B12,'Vic colour ref'!$A$2:$A$5,'Vic colour ref'!$D$2:$D$5,"")</f>
        <v>11</v>
      </c>
      <c r="AJ12" s="2">
        <f>_xlfn.XLOOKUP(C12,'Vic colour ref'!$A$2:$A$5,'Vic colour ref'!$D$2:$D$5,"")</f>
        <v>11</v>
      </c>
      <c r="AK12" s="2" t="str">
        <f>_xlfn.XLOOKUP(D12,'Vic colour ref'!$A$2:$A$5,'Vic colour ref'!$D$2:$D$5,"")</f>
        <v>00</v>
      </c>
      <c r="AL12" s="2" t="str">
        <f>_xlfn.XLOOKUP(E12,'Vic colour ref'!$A$2:$A$5,'Vic colour ref'!$D$2:$D$5,"")</f>
        <v>00</v>
      </c>
      <c r="AM12" s="2" t="str">
        <f>_xlfn.XLOOKUP(F12,'Vic colour ref'!$A$2:$A$5,'Vic colour ref'!$D$2:$D$5,"")</f>
        <v>00</v>
      </c>
      <c r="AN12" s="2">
        <f>_xlfn.XLOOKUP(G12,'Vic colour ref'!$A$2:$A$5,'Vic colour ref'!$D$2:$D$5,"")</f>
        <v>11</v>
      </c>
      <c r="AO12" s="2">
        <f>_xlfn.XLOOKUP(H12,'Vic colour ref'!$A$2:$A$5,'Vic colour ref'!$D$2:$D$5,"")</f>
        <v>11</v>
      </c>
      <c r="AP12" s="2">
        <f>_xlfn.XLOOKUP(I12,'Vic colour ref'!$A$2:$A$5,'Vic colour ref'!$D$2:$D$5,"")</f>
        <v>11</v>
      </c>
      <c r="AQ12" s="2">
        <f>_xlfn.XLOOKUP(J12,'Vic colour ref'!$A$2:$A$5,'Vic colour ref'!$D$2:$D$5,"")</f>
        <v>11</v>
      </c>
      <c r="AR12" s="2">
        <f>_xlfn.XLOOKUP(K12,'Vic colour ref'!$A$2:$A$5,'Vic colour ref'!$D$2:$D$5,"")</f>
        <v>11</v>
      </c>
      <c r="AS12" s="2">
        <f>_xlfn.XLOOKUP(L12,'Vic colour ref'!$A$2:$A$5,'Vic colour ref'!$D$2:$D$5,"")</f>
        <v>11</v>
      </c>
      <c r="AT12" s="2" t="str">
        <f>_xlfn.XLOOKUP(M12,'Vic colour ref'!$A$2:$A$5,'Vic colour ref'!$D$2:$D$5,"")</f>
        <v>00</v>
      </c>
      <c r="AU12" s="2" t="str">
        <f>_xlfn.XLOOKUP(N12,'Vic colour ref'!$A$2:$A$5,'Vic colour ref'!$D$2:$D$5,"")</f>
        <v>00</v>
      </c>
      <c r="AV12" s="2" t="str">
        <f>_xlfn.XLOOKUP(O12,'Vic colour ref'!$A$2:$A$5,'Vic colour ref'!$D$2:$D$5,"")</f>
        <v>00</v>
      </c>
      <c r="AW12" s="2">
        <f>_xlfn.XLOOKUP(P12,'Vic colour ref'!$A$2:$A$5,'Vic colour ref'!$D$2:$D$5,"")</f>
        <v>11</v>
      </c>
      <c r="AX12" s="2">
        <f>_xlfn.XLOOKUP(Q12,'Vic colour ref'!$A$2:$A$5,'Vic colour ref'!$D$2:$D$5,"")</f>
        <v>11</v>
      </c>
      <c r="AY12" s="2">
        <f>_xlfn.XLOOKUP(R12,'Vic colour ref'!$A$2:$A$5,'Vic colour ref'!$D$2:$D$5,"")</f>
        <v>11</v>
      </c>
      <c r="AZ12" s="2" t="str">
        <f>_xlfn.XLOOKUP(S12,'Vic colour ref'!$A$2:$A$5,'Vic colour ref'!$D$2:$D$5,"")</f>
        <v>00</v>
      </c>
      <c r="BA12" s="2" t="str">
        <f>_xlfn.XLOOKUP(T12,'Vic colour ref'!$A$2:$A$5,'Vic colour ref'!$D$2:$D$5,"")</f>
        <v>00</v>
      </c>
      <c r="BB12" s="2" t="str">
        <f>_xlfn.XLOOKUP(U12,'Vic colour ref'!$A$2:$A$5,'Vic colour ref'!$D$2:$D$5,"")</f>
        <v>00</v>
      </c>
      <c r="BC12" s="2" t="str">
        <f>_xlfn.XLOOKUP(V12,'Vic colour ref'!$A$2:$A$5,'Vic colour ref'!$D$2:$D$5,"")</f>
        <v>00</v>
      </c>
      <c r="BD12" s="2" t="str">
        <f>_xlfn.XLOOKUP(W12,'Vic colour ref'!$A$2:$A$5,'Vic colour ref'!$D$2:$D$5,"")</f>
        <v>00</v>
      </c>
      <c r="BE12" s="2" t="str">
        <f>_xlfn.XLOOKUP(X12,'Vic colour ref'!$A$2:$A$5,'Vic colour ref'!$D$2:$D$5,"")</f>
        <v>00</v>
      </c>
      <c r="BF12" s="2" t="str">
        <f>_xlfn.XLOOKUP(Y12,'Vic colour ref'!$A$2:$A$5,'Vic colour ref'!$D$2:$D$5,"")</f>
        <v>00</v>
      </c>
      <c r="BG12" s="2" t="str">
        <f>_xlfn.XLOOKUP(Z12,'Vic colour ref'!$A$2:$A$5,'Vic colour ref'!$D$2:$D$5,"")</f>
        <v>00</v>
      </c>
      <c r="BH12" s="2" t="str">
        <f>_xlfn.XLOOKUP(AA12,'Vic colour ref'!$A$2:$A$5,'Vic colour ref'!$D$2:$D$5,"")</f>
        <v>00</v>
      </c>
      <c r="BI12" s="2" t="str">
        <f>_xlfn.XLOOKUP(AB12,'Vic colour ref'!$A$2:$A$5,'Vic colour ref'!$D$2:$D$5,"")</f>
        <v>00</v>
      </c>
      <c r="BJ12" s="2" t="str">
        <f>_xlfn.XLOOKUP(AC12,'Vic colour ref'!$A$2:$A$5,'Vic colour ref'!$D$2:$D$5,"")</f>
        <v>00</v>
      </c>
      <c r="BK12" s="2" t="str">
        <f>_xlfn.XLOOKUP(AD12,'Vic colour ref'!$A$2:$A$5,'Vic colour ref'!$D$2:$D$5,"")</f>
        <v>00</v>
      </c>
      <c r="BL12" s="2" t="str">
        <f>_xlfn.XLOOKUP(AE12,'Vic colour ref'!$A$2:$A$5,'Vic colour ref'!$D$2:$D$5,"")</f>
        <v>00</v>
      </c>
      <c r="BM12" s="2" t="str">
        <f>_xlfn.XLOOKUP(AF12,'Vic colour ref'!$A$2:$A$5,'Vic colour ref'!$D$2:$D$5,"")</f>
        <v>00</v>
      </c>
      <c r="BO12" s="18" t="str">
        <f t="shared" si="1"/>
        <v>11111100</v>
      </c>
      <c r="BP12" s="18" t="str">
        <f t="shared" si="2"/>
        <v>00001111</v>
      </c>
      <c r="BQ12" s="18" t="str">
        <f t="shared" si="3"/>
        <v>11111111</v>
      </c>
      <c r="BR12" s="18" t="str">
        <f t="shared" si="4"/>
        <v>00000011</v>
      </c>
      <c r="BS12" s="18" t="str">
        <f t="shared" si="5"/>
        <v>11110000</v>
      </c>
      <c r="BT12" s="18" t="str">
        <f t="shared" si="6"/>
        <v>00000000</v>
      </c>
      <c r="BU12" s="18" t="str">
        <f t="shared" si="7"/>
        <v>00000000</v>
      </c>
      <c r="BV12" s="18" t="str">
        <f t="shared" si="8"/>
        <v>00000000</v>
      </c>
      <c r="BX12" s="21" t="str">
        <f t="shared" si="9"/>
        <v>FC</v>
      </c>
      <c r="BY12" s="21" t="str">
        <f t="shared" si="10"/>
        <v>0F</v>
      </c>
      <c r="BZ12" s="21" t="str">
        <f t="shared" si="11"/>
        <v>FF</v>
      </c>
      <c r="CA12" s="21" t="str">
        <f t="shared" si="11"/>
        <v>03</v>
      </c>
      <c r="CB12" s="21" t="str">
        <f t="shared" si="11"/>
        <v>F0</v>
      </c>
      <c r="CC12" s="24" t="str">
        <f t="shared" si="11"/>
        <v>00</v>
      </c>
      <c r="CD12" s="24" t="str">
        <f t="shared" si="14"/>
        <v>00</v>
      </c>
      <c r="CE12" s="24" t="str">
        <f t="shared" si="12"/>
        <v>00</v>
      </c>
      <c r="CG12" s="2" t="str" cm="1">
        <f t="array" ref="CG12:CN12">TRANSPOSE(CA9:CA16)</f>
        <v>03</v>
      </c>
      <c r="CH12" s="2" t="str">
        <v>03</v>
      </c>
      <c r="CI12" s="2" t="str">
        <v>03</v>
      </c>
      <c r="CJ12" s="2" t="str">
        <v>03</v>
      </c>
      <c r="CK12" s="2" t="str">
        <v>03</v>
      </c>
      <c r="CL12" s="2" t="str">
        <v>03</v>
      </c>
      <c r="CM12" s="2" t="str">
        <v>FC</v>
      </c>
      <c r="CN12" s="2" t="str">
        <v>FC</v>
      </c>
      <c r="CP12" s="4" t="str">
        <f t="shared" si="13"/>
        <v>!byte $03, $03, $03, $03, $03, $03, $fc, $fc</v>
      </c>
    </row>
    <row r="13" spans="1:94" x14ac:dyDescent="0.3">
      <c r="A13" s="2">
        <v>3</v>
      </c>
      <c r="B13" s="2">
        <v>3</v>
      </c>
      <c r="C13" s="2">
        <v>3</v>
      </c>
      <c r="D13" s="2">
        <v>0</v>
      </c>
      <c r="E13" s="2">
        <v>0</v>
      </c>
      <c r="F13" s="2">
        <v>0</v>
      </c>
      <c r="G13" s="2">
        <v>3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0</v>
      </c>
      <c r="N13" s="2">
        <v>0</v>
      </c>
      <c r="O13" s="2">
        <v>0</v>
      </c>
      <c r="P13" s="2">
        <v>3</v>
      </c>
      <c r="Q13" s="2">
        <v>3</v>
      </c>
      <c r="R13" s="2">
        <v>3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H13" s="2">
        <f>_xlfn.XLOOKUP(A13,'Vic colour ref'!$A$2:$A$5,'Vic colour ref'!$D$2:$D$5,"")</f>
        <v>11</v>
      </c>
      <c r="AI13" s="2">
        <f>_xlfn.XLOOKUP(B13,'Vic colour ref'!$A$2:$A$5,'Vic colour ref'!$D$2:$D$5,"")</f>
        <v>11</v>
      </c>
      <c r="AJ13" s="2">
        <f>_xlfn.XLOOKUP(C13,'Vic colour ref'!$A$2:$A$5,'Vic colour ref'!$D$2:$D$5,"")</f>
        <v>11</v>
      </c>
      <c r="AK13" s="2" t="str">
        <f>_xlfn.XLOOKUP(D13,'Vic colour ref'!$A$2:$A$5,'Vic colour ref'!$D$2:$D$5,"")</f>
        <v>00</v>
      </c>
      <c r="AL13" s="2" t="str">
        <f>_xlfn.XLOOKUP(E13,'Vic colour ref'!$A$2:$A$5,'Vic colour ref'!$D$2:$D$5,"")</f>
        <v>00</v>
      </c>
      <c r="AM13" s="2" t="str">
        <f>_xlfn.XLOOKUP(F13,'Vic colour ref'!$A$2:$A$5,'Vic colour ref'!$D$2:$D$5,"")</f>
        <v>00</v>
      </c>
      <c r="AN13" s="2">
        <f>_xlfn.XLOOKUP(G13,'Vic colour ref'!$A$2:$A$5,'Vic colour ref'!$D$2:$D$5,"")</f>
        <v>11</v>
      </c>
      <c r="AO13" s="2">
        <f>_xlfn.XLOOKUP(H13,'Vic colour ref'!$A$2:$A$5,'Vic colour ref'!$D$2:$D$5,"")</f>
        <v>11</v>
      </c>
      <c r="AP13" s="2">
        <f>_xlfn.XLOOKUP(I13,'Vic colour ref'!$A$2:$A$5,'Vic colour ref'!$D$2:$D$5,"")</f>
        <v>11</v>
      </c>
      <c r="AQ13" s="2">
        <f>_xlfn.XLOOKUP(J13,'Vic colour ref'!$A$2:$A$5,'Vic colour ref'!$D$2:$D$5,"")</f>
        <v>11</v>
      </c>
      <c r="AR13" s="2">
        <f>_xlfn.XLOOKUP(K13,'Vic colour ref'!$A$2:$A$5,'Vic colour ref'!$D$2:$D$5,"")</f>
        <v>11</v>
      </c>
      <c r="AS13" s="2">
        <f>_xlfn.XLOOKUP(L13,'Vic colour ref'!$A$2:$A$5,'Vic colour ref'!$D$2:$D$5,"")</f>
        <v>11</v>
      </c>
      <c r="AT13" s="2" t="str">
        <f>_xlfn.XLOOKUP(M13,'Vic colour ref'!$A$2:$A$5,'Vic colour ref'!$D$2:$D$5,"")</f>
        <v>00</v>
      </c>
      <c r="AU13" s="2" t="str">
        <f>_xlfn.XLOOKUP(N13,'Vic colour ref'!$A$2:$A$5,'Vic colour ref'!$D$2:$D$5,"")</f>
        <v>00</v>
      </c>
      <c r="AV13" s="2" t="str">
        <f>_xlfn.XLOOKUP(O13,'Vic colour ref'!$A$2:$A$5,'Vic colour ref'!$D$2:$D$5,"")</f>
        <v>00</v>
      </c>
      <c r="AW13" s="2">
        <f>_xlfn.XLOOKUP(P13,'Vic colour ref'!$A$2:$A$5,'Vic colour ref'!$D$2:$D$5,"")</f>
        <v>11</v>
      </c>
      <c r="AX13" s="2">
        <f>_xlfn.XLOOKUP(Q13,'Vic colour ref'!$A$2:$A$5,'Vic colour ref'!$D$2:$D$5,"")</f>
        <v>11</v>
      </c>
      <c r="AY13" s="2">
        <f>_xlfn.XLOOKUP(R13,'Vic colour ref'!$A$2:$A$5,'Vic colour ref'!$D$2:$D$5,"")</f>
        <v>11</v>
      </c>
      <c r="AZ13" s="2" t="str">
        <f>_xlfn.XLOOKUP(S13,'Vic colour ref'!$A$2:$A$5,'Vic colour ref'!$D$2:$D$5,"")</f>
        <v>00</v>
      </c>
      <c r="BA13" s="2" t="str">
        <f>_xlfn.XLOOKUP(T13,'Vic colour ref'!$A$2:$A$5,'Vic colour ref'!$D$2:$D$5,"")</f>
        <v>00</v>
      </c>
      <c r="BB13" s="2" t="str">
        <f>_xlfn.XLOOKUP(U13,'Vic colour ref'!$A$2:$A$5,'Vic colour ref'!$D$2:$D$5,"")</f>
        <v>00</v>
      </c>
      <c r="BC13" s="2" t="str">
        <f>_xlfn.XLOOKUP(V13,'Vic colour ref'!$A$2:$A$5,'Vic colour ref'!$D$2:$D$5,"")</f>
        <v>00</v>
      </c>
      <c r="BD13" s="2" t="str">
        <f>_xlfn.XLOOKUP(W13,'Vic colour ref'!$A$2:$A$5,'Vic colour ref'!$D$2:$D$5,"")</f>
        <v>00</v>
      </c>
      <c r="BE13" s="2" t="str">
        <f>_xlfn.XLOOKUP(X13,'Vic colour ref'!$A$2:$A$5,'Vic colour ref'!$D$2:$D$5,"")</f>
        <v>00</v>
      </c>
      <c r="BF13" s="2" t="str">
        <f>_xlfn.XLOOKUP(Y13,'Vic colour ref'!$A$2:$A$5,'Vic colour ref'!$D$2:$D$5,"")</f>
        <v>00</v>
      </c>
      <c r="BG13" s="2" t="str">
        <f>_xlfn.XLOOKUP(Z13,'Vic colour ref'!$A$2:$A$5,'Vic colour ref'!$D$2:$D$5,"")</f>
        <v>00</v>
      </c>
      <c r="BH13" s="2" t="str">
        <f>_xlfn.XLOOKUP(AA13,'Vic colour ref'!$A$2:$A$5,'Vic colour ref'!$D$2:$D$5,"")</f>
        <v>00</v>
      </c>
      <c r="BI13" s="2" t="str">
        <f>_xlfn.XLOOKUP(AB13,'Vic colour ref'!$A$2:$A$5,'Vic colour ref'!$D$2:$D$5,"")</f>
        <v>00</v>
      </c>
      <c r="BJ13" s="2" t="str">
        <f>_xlfn.XLOOKUP(AC13,'Vic colour ref'!$A$2:$A$5,'Vic colour ref'!$D$2:$D$5,"")</f>
        <v>00</v>
      </c>
      <c r="BK13" s="2" t="str">
        <f>_xlfn.XLOOKUP(AD13,'Vic colour ref'!$A$2:$A$5,'Vic colour ref'!$D$2:$D$5,"")</f>
        <v>00</v>
      </c>
      <c r="BL13" s="2" t="str">
        <f>_xlfn.XLOOKUP(AE13,'Vic colour ref'!$A$2:$A$5,'Vic colour ref'!$D$2:$D$5,"")</f>
        <v>00</v>
      </c>
      <c r="BM13" s="2" t="str">
        <f>_xlfn.XLOOKUP(AF13,'Vic colour ref'!$A$2:$A$5,'Vic colour ref'!$D$2:$D$5,"")</f>
        <v>00</v>
      </c>
      <c r="BO13" s="18" t="str">
        <f t="shared" si="1"/>
        <v>11111100</v>
      </c>
      <c r="BP13" s="18" t="str">
        <f t="shared" si="2"/>
        <v>00001111</v>
      </c>
      <c r="BQ13" s="18" t="str">
        <f t="shared" si="3"/>
        <v>11111111</v>
      </c>
      <c r="BR13" s="18" t="str">
        <f t="shared" si="4"/>
        <v>00000011</v>
      </c>
      <c r="BS13" s="18" t="str">
        <f t="shared" si="5"/>
        <v>11110000</v>
      </c>
      <c r="BT13" s="18" t="str">
        <f t="shared" si="6"/>
        <v>00000000</v>
      </c>
      <c r="BU13" s="18" t="str">
        <f t="shared" si="7"/>
        <v>00000000</v>
      </c>
      <c r="BV13" s="18" t="str">
        <f t="shared" si="8"/>
        <v>00000000</v>
      </c>
      <c r="BX13" s="21" t="str">
        <f t="shared" si="9"/>
        <v>FC</v>
      </c>
      <c r="BY13" s="21" t="str">
        <f t="shared" si="10"/>
        <v>0F</v>
      </c>
      <c r="BZ13" s="21" t="str">
        <f t="shared" si="11"/>
        <v>FF</v>
      </c>
      <c r="CA13" s="21" t="str">
        <f t="shared" si="11"/>
        <v>03</v>
      </c>
      <c r="CB13" s="21" t="str">
        <f t="shared" si="11"/>
        <v>F0</v>
      </c>
      <c r="CC13" s="24" t="str">
        <f t="shared" si="11"/>
        <v>00</v>
      </c>
      <c r="CD13" s="24" t="str">
        <f t="shared" si="14"/>
        <v>00</v>
      </c>
      <c r="CE13" s="24" t="str">
        <f t="shared" si="12"/>
        <v>00</v>
      </c>
      <c r="CG13" s="2" t="str" cm="1">
        <f t="array" ref="CG13:CN13">TRANSPOSE(CB9:CB16)</f>
        <v>F0</v>
      </c>
      <c r="CH13" s="2" t="str">
        <v>F0</v>
      </c>
      <c r="CI13" s="2" t="str">
        <v>F0</v>
      </c>
      <c r="CJ13" s="2" t="str">
        <v>F0</v>
      </c>
      <c r="CK13" s="2" t="str">
        <v>F0</v>
      </c>
      <c r="CL13" s="2" t="str">
        <v>F0</v>
      </c>
      <c r="CM13" s="2" t="str">
        <v>00</v>
      </c>
      <c r="CN13" s="2" t="str">
        <v>00</v>
      </c>
      <c r="CP13" s="4" t="str">
        <f t="shared" si="13"/>
        <v>!byte $f0, $f0, $f0, $f0, $f0, $f0, $00, $00</v>
      </c>
    </row>
    <row r="14" spans="1:94" x14ac:dyDescent="0.3">
      <c r="A14" s="2">
        <v>3</v>
      </c>
      <c r="B14" s="2">
        <v>3</v>
      </c>
      <c r="C14" s="2">
        <v>3</v>
      </c>
      <c r="D14" s="2">
        <v>0</v>
      </c>
      <c r="E14" s="2">
        <v>0</v>
      </c>
      <c r="F14" s="2">
        <v>0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0</v>
      </c>
      <c r="N14" s="2">
        <v>0</v>
      </c>
      <c r="O14" s="2">
        <v>0</v>
      </c>
      <c r="P14" s="2">
        <v>3</v>
      </c>
      <c r="Q14" s="2">
        <v>3</v>
      </c>
      <c r="R14" s="2">
        <v>3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H14" s="2">
        <f>_xlfn.XLOOKUP(A14,'Vic colour ref'!$A$2:$A$5,'Vic colour ref'!$D$2:$D$5,"")</f>
        <v>11</v>
      </c>
      <c r="AI14" s="2">
        <f>_xlfn.XLOOKUP(B14,'Vic colour ref'!$A$2:$A$5,'Vic colour ref'!$D$2:$D$5,"")</f>
        <v>11</v>
      </c>
      <c r="AJ14" s="2">
        <f>_xlfn.XLOOKUP(C14,'Vic colour ref'!$A$2:$A$5,'Vic colour ref'!$D$2:$D$5,"")</f>
        <v>11</v>
      </c>
      <c r="AK14" s="2" t="str">
        <f>_xlfn.XLOOKUP(D14,'Vic colour ref'!$A$2:$A$5,'Vic colour ref'!$D$2:$D$5,"")</f>
        <v>00</v>
      </c>
      <c r="AL14" s="2" t="str">
        <f>_xlfn.XLOOKUP(E14,'Vic colour ref'!$A$2:$A$5,'Vic colour ref'!$D$2:$D$5,"")</f>
        <v>00</v>
      </c>
      <c r="AM14" s="2" t="str">
        <f>_xlfn.XLOOKUP(F14,'Vic colour ref'!$A$2:$A$5,'Vic colour ref'!$D$2:$D$5,"")</f>
        <v>00</v>
      </c>
      <c r="AN14" s="2">
        <f>_xlfn.XLOOKUP(G14,'Vic colour ref'!$A$2:$A$5,'Vic colour ref'!$D$2:$D$5,"")</f>
        <v>11</v>
      </c>
      <c r="AO14" s="2">
        <f>_xlfn.XLOOKUP(H14,'Vic colour ref'!$A$2:$A$5,'Vic colour ref'!$D$2:$D$5,"")</f>
        <v>11</v>
      </c>
      <c r="AP14" s="2">
        <f>_xlfn.XLOOKUP(I14,'Vic colour ref'!$A$2:$A$5,'Vic colour ref'!$D$2:$D$5,"")</f>
        <v>11</v>
      </c>
      <c r="AQ14" s="2">
        <f>_xlfn.XLOOKUP(J14,'Vic colour ref'!$A$2:$A$5,'Vic colour ref'!$D$2:$D$5,"")</f>
        <v>11</v>
      </c>
      <c r="AR14" s="2">
        <f>_xlfn.XLOOKUP(K14,'Vic colour ref'!$A$2:$A$5,'Vic colour ref'!$D$2:$D$5,"")</f>
        <v>11</v>
      </c>
      <c r="AS14" s="2">
        <f>_xlfn.XLOOKUP(L14,'Vic colour ref'!$A$2:$A$5,'Vic colour ref'!$D$2:$D$5,"")</f>
        <v>11</v>
      </c>
      <c r="AT14" s="2" t="str">
        <f>_xlfn.XLOOKUP(M14,'Vic colour ref'!$A$2:$A$5,'Vic colour ref'!$D$2:$D$5,"")</f>
        <v>00</v>
      </c>
      <c r="AU14" s="2" t="str">
        <f>_xlfn.XLOOKUP(N14,'Vic colour ref'!$A$2:$A$5,'Vic colour ref'!$D$2:$D$5,"")</f>
        <v>00</v>
      </c>
      <c r="AV14" s="2" t="str">
        <f>_xlfn.XLOOKUP(O14,'Vic colour ref'!$A$2:$A$5,'Vic colour ref'!$D$2:$D$5,"")</f>
        <v>00</v>
      </c>
      <c r="AW14" s="2">
        <f>_xlfn.XLOOKUP(P14,'Vic colour ref'!$A$2:$A$5,'Vic colour ref'!$D$2:$D$5,"")</f>
        <v>11</v>
      </c>
      <c r="AX14" s="2">
        <f>_xlfn.XLOOKUP(Q14,'Vic colour ref'!$A$2:$A$5,'Vic colour ref'!$D$2:$D$5,"")</f>
        <v>11</v>
      </c>
      <c r="AY14" s="2">
        <f>_xlfn.XLOOKUP(R14,'Vic colour ref'!$A$2:$A$5,'Vic colour ref'!$D$2:$D$5,"")</f>
        <v>11</v>
      </c>
      <c r="AZ14" s="2" t="str">
        <f>_xlfn.XLOOKUP(S14,'Vic colour ref'!$A$2:$A$5,'Vic colour ref'!$D$2:$D$5,"")</f>
        <v>00</v>
      </c>
      <c r="BA14" s="2" t="str">
        <f>_xlfn.XLOOKUP(T14,'Vic colour ref'!$A$2:$A$5,'Vic colour ref'!$D$2:$D$5,"")</f>
        <v>00</v>
      </c>
      <c r="BB14" s="2" t="str">
        <f>_xlfn.XLOOKUP(U14,'Vic colour ref'!$A$2:$A$5,'Vic colour ref'!$D$2:$D$5,"")</f>
        <v>00</v>
      </c>
      <c r="BC14" s="2" t="str">
        <f>_xlfn.XLOOKUP(V14,'Vic colour ref'!$A$2:$A$5,'Vic colour ref'!$D$2:$D$5,"")</f>
        <v>00</v>
      </c>
      <c r="BD14" s="2" t="str">
        <f>_xlfn.XLOOKUP(W14,'Vic colour ref'!$A$2:$A$5,'Vic colour ref'!$D$2:$D$5,"")</f>
        <v>00</v>
      </c>
      <c r="BE14" s="2" t="str">
        <f>_xlfn.XLOOKUP(X14,'Vic colour ref'!$A$2:$A$5,'Vic colour ref'!$D$2:$D$5,"")</f>
        <v>00</v>
      </c>
      <c r="BF14" s="2" t="str">
        <f>_xlfn.XLOOKUP(Y14,'Vic colour ref'!$A$2:$A$5,'Vic colour ref'!$D$2:$D$5,"")</f>
        <v>00</v>
      </c>
      <c r="BG14" s="2" t="str">
        <f>_xlfn.XLOOKUP(Z14,'Vic colour ref'!$A$2:$A$5,'Vic colour ref'!$D$2:$D$5,"")</f>
        <v>00</v>
      </c>
      <c r="BH14" s="2" t="str">
        <f>_xlfn.XLOOKUP(AA14,'Vic colour ref'!$A$2:$A$5,'Vic colour ref'!$D$2:$D$5,"")</f>
        <v>00</v>
      </c>
      <c r="BI14" s="2" t="str">
        <f>_xlfn.XLOOKUP(AB14,'Vic colour ref'!$A$2:$A$5,'Vic colour ref'!$D$2:$D$5,"")</f>
        <v>00</v>
      </c>
      <c r="BJ14" s="2" t="str">
        <f>_xlfn.XLOOKUP(AC14,'Vic colour ref'!$A$2:$A$5,'Vic colour ref'!$D$2:$D$5,"")</f>
        <v>00</v>
      </c>
      <c r="BK14" s="2" t="str">
        <f>_xlfn.XLOOKUP(AD14,'Vic colour ref'!$A$2:$A$5,'Vic colour ref'!$D$2:$D$5,"")</f>
        <v>00</v>
      </c>
      <c r="BL14" s="2" t="str">
        <f>_xlfn.XLOOKUP(AE14,'Vic colour ref'!$A$2:$A$5,'Vic colour ref'!$D$2:$D$5,"")</f>
        <v>00</v>
      </c>
      <c r="BM14" s="2" t="str">
        <f>_xlfn.XLOOKUP(AF14,'Vic colour ref'!$A$2:$A$5,'Vic colour ref'!$D$2:$D$5,"")</f>
        <v>00</v>
      </c>
      <c r="BO14" s="18" t="str">
        <f t="shared" si="1"/>
        <v>11111100</v>
      </c>
      <c r="BP14" s="18" t="str">
        <f t="shared" si="2"/>
        <v>00001111</v>
      </c>
      <c r="BQ14" s="18" t="str">
        <f t="shared" si="3"/>
        <v>11111111</v>
      </c>
      <c r="BR14" s="18" t="str">
        <f t="shared" si="4"/>
        <v>00000011</v>
      </c>
      <c r="BS14" s="18" t="str">
        <f t="shared" si="5"/>
        <v>11110000</v>
      </c>
      <c r="BT14" s="18" t="str">
        <f t="shared" si="6"/>
        <v>00000000</v>
      </c>
      <c r="BU14" s="18" t="str">
        <f t="shared" si="7"/>
        <v>00000000</v>
      </c>
      <c r="BV14" s="18" t="str">
        <f t="shared" si="8"/>
        <v>00000000</v>
      </c>
      <c r="BX14" s="21" t="str">
        <f t="shared" si="9"/>
        <v>FC</v>
      </c>
      <c r="BY14" s="21" t="str">
        <f t="shared" si="10"/>
        <v>0F</v>
      </c>
      <c r="BZ14" s="21" t="str">
        <f t="shared" si="11"/>
        <v>FF</v>
      </c>
      <c r="CA14" s="21" t="str">
        <f t="shared" si="11"/>
        <v>03</v>
      </c>
      <c r="CB14" s="21" t="str">
        <f t="shared" si="11"/>
        <v>F0</v>
      </c>
      <c r="CC14" s="24" t="str">
        <f t="shared" si="11"/>
        <v>00</v>
      </c>
      <c r="CD14" s="24" t="str">
        <f t="shared" si="14"/>
        <v>00</v>
      </c>
      <c r="CE14" s="24" t="str">
        <f t="shared" si="12"/>
        <v>00</v>
      </c>
      <c r="CG14" s="2" t="str" cm="1">
        <f t="array" ref="CG14:CN14">TRANSPOSE(CC9:CC16)</f>
        <v>00</v>
      </c>
      <c r="CH14" s="2" t="str">
        <v>00</v>
      </c>
      <c r="CI14" s="2" t="str">
        <v>00</v>
      </c>
      <c r="CJ14" s="2" t="str">
        <v>00</v>
      </c>
      <c r="CK14" s="2" t="str">
        <v>00</v>
      </c>
      <c r="CL14" s="2" t="str">
        <v>00</v>
      </c>
      <c r="CM14" s="2" t="str">
        <v>00</v>
      </c>
      <c r="CN14" s="2" t="str">
        <v>00</v>
      </c>
      <c r="CP14" s="4" t="str">
        <f t="shared" si="13"/>
        <v>!byte $00, $00, $00, $00, $00, $00, $00, $00</v>
      </c>
    </row>
    <row r="15" spans="1:94" x14ac:dyDescent="0.3">
      <c r="A15" s="2">
        <v>0</v>
      </c>
      <c r="B15" s="2">
        <v>0</v>
      </c>
      <c r="C15" s="2">
        <v>0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H15" s="2" t="str">
        <f>_xlfn.XLOOKUP(A15,'Vic colour ref'!$A$2:$A$5,'Vic colour ref'!$D$2:$D$5,"")</f>
        <v>00</v>
      </c>
      <c r="AI15" s="2" t="str">
        <f>_xlfn.XLOOKUP(B15,'Vic colour ref'!$A$2:$A$5,'Vic colour ref'!$D$2:$D$5,"")</f>
        <v>00</v>
      </c>
      <c r="AJ15" s="2" t="str">
        <f>_xlfn.XLOOKUP(C15,'Vic colour ref'!$A$2:$A$5,'Vic colour ref'!$D$2:$D$5,"")</f>
        <v>00</v>
      </c>
      <c r="AK15" s="2">
        <f>_xlfn.XLOOKUP(D15,'Vic colour ref'!$A$2:$A$5,'Vic colour ref'!$D$2:$D$5,"")</f>
        <v>11</v>
      </c>
      <c r="AL15" s="2">
        <f>_xlfn.XLOOKUP(E15,'Vic colour ref'!$A$2:$A$5,'Vic colour ref'!$D$2:$D$5,"")</f>
        <v>11</v>
      </c>
      <c r="AM15" s="2">
        <f>_xlfn.XLOOKUP(F15,'Vic colour ref'!$A$2:$A$5,'Vic colour ref'!$D$2:$D$5,"")</f>
        <v>11</v>
      </c>
      <c r="AN15" s="2">
        <f>_xlfn.XLOOKUP(G15,'Vic colour ref'!$A$2:$A$5,'Vic colour ref'!$D$2:$D$5,"")</f>
        <v>11</v>
      </c>
      <c r="AO15" s="2">
        <f>_xlfn.XLOOKUP(H15,'Vic colour ref'!$A$2:$A$5,'Vic colour ref'!$D$2:$D$5,"")</f>
        <v>11</v>
      </c>
      <c r="AP15" s="2">
        <f>_xlfn.XLOOKUP(I15,'Vic colour ref'!$A$2:$A$5,'Vic colour ref'!$D$2:$D$5,"")</f>
        <v>11</v>
      </c>
      <c r="AQ15" s="2">
        <f>_xlfn.XLOOKUP(J15,'Vic colour ref'!$A$2:$A$5,'Vic colour ref'!$D$2:$D$5,"")</f>
        <v>11</v>
      </c>
      <c r="AR15" s="2">
        <f>_xlfn.XLOOKUP(K15,'Vic colour ref'!$A$2:$A$5,'Vic colour ref'!$D$2:$D$5,"")</f>
        <v>11</v>
      </c>
      <c r="AS15" s="2">
        <f>_xlfn.XLOOKUP(L15,'Vic colour ref'!$A$2:$A$5,'Vic colour ref'!$D$2:$D$5,"")</f>
        <v>11</v>
      </c>
      <c r="AT15" s="2">
        <f>_xlfn.XLOOKUP(M15,'Vic colour ref'!$A$2:$A$5,'Vic colour ref'!$D$2:$D$5,"")</f>
        <v>11</v>
      </c>
      <c r="AU15" s="2">
        <f>_xlfn.XLOOKUP(N15,'Vic colour ref'!$A$2:$A$5,'Vic colour ref'!$D$2:$D$5,"")</f>
        <v>11</v>
      </c>
      <c r="AV15" s="2">
        <f>_xlfn.XLOOKUP(O15,'Vic colour ref'!$A$2:$A$5,'Vic colour ref'!$D$2:$D$5,"")</f>
        <v>11</v>
      </c>
      <c r="AW15" s="2" t="str">
        <f>_xlfn.XLOOKUP(P15,'Vic colour ref'!$A$2:$A$5,'Vic colour ref'!$D$2:$D$5,"")</f>
        <v>00</v>
      </c>
      <c r="AX15" s="2" t="str">
        <f>_xlfn.XLOOKUP(Q15,'Vic colour ref'!$A$2:$A$5,'Vic colour ref'!$D$2:$D$5,"")</f>
        <v>00</v>
      </c>
      <c r="AY15" s="2" t="str">
        <f>_xlfn.XLOOKUP(R15,'Vic colour ref'!$A$2:$A$5,'Vic colour ref'!$D$2:$D$5,"")</f>
        <v>00</v>
      </c>
      <c r="AZ15" s="2" t="str">
        <f>_xlfn.XLOOKUP(S15,'Vic colour ref'!$A$2:$A$5,'Vic colour ref'!$D$2:$D$5,"")</f>
        <v>00</v>
      </c>
      <c r="BA15" s="2" t="str">
        <f>_xlfn.XLOOKUP(T15,'Vic colour ref'!$A$2:$A$5,'Vic colour ref'!$D$2:$D$5,"")</f>
        <v>00</v>
      </c>
      <c r="BB15" s="2" t="str">
        <f>_xlfn.XLOOKUP(U15,'Vic colour ref'!$A$2:$A$5,'Vic colour ref'!$D$2:$D$5,"")</f>
        <v>00</v>
      </c>
      <c r="BC15" s="2" t="str">
        <f>_xlfn.XLOOKUP(V15,'Vic colour ref'!$A$2:$A$5,'Vic colour ref'!$D$2:$D$5,"")</f>
        <v>00</v>
      </c>
      <c r="BD15" s="2" t="str">
        <f>_xlfn.XLOOKUP(W15,'Vic colour ref'!$A$2:$A$5,'Vic colour ref'!$D$2:$D$5,"")</f>
        <v>00</v>
      </c>
      <c r="BE15" s="2" t="str">
        <f>_xlfn.XLOOKUP(X15,'Vic colour ref'!$A$2:$A$5,'Vic colour ref'!$D$2:$D$5,"")</f>
        <v>00</v>
      </c>
      <c r="BF15" s="2" t="str">
        <f>_xlfn.XLOOKUP(Y15,'Vic colour ref'!$A$2:$A$5,'Vic colour ref'!$D$2:$D$5,"")</f>
        <v>00</v>
      </c>
      <c r="BG15" s="2" t="str">
        <f>_xlfn.XLOOKUP(Z15,'Vic colour ref'!$A$2:$A$5,'Vic colour ref'!$D$2:$D$5,"")</f>
        <v>00</v>
      </c>
      <c r="BH15" s="2" t="str">
        <f>_xlfn.XLOOKUP(AA15,'Vic colour ref'!$A$2:$A$5,'Vic colour ref'!$D$2:$D$5,"")</f>
        <v>00</v>
      </c>
      <c r="BI15" s="2" t="str">
        <f>_xlfn.XLOOKUP(AB15,'Vic colour ref'!$A$2:$A$5,'Vic colour ref'!$D$2:$D$5,"")</f>
        <v>00</v>
      </c>
      <c r="BJ15" s="2" t="str">
        <f>_xlfn.XLOOKUP(AC15,'Vic colour ref'!$A$2:$A$5,'Vic colour ref'!$D$2:$D$5,"")</f>
        <v>00</v>
      </c>
      <c r="BK15" s="2" t="str">
        <f>_xlfn.XLOOKUP(AD15,'Vic colour ref'!$A$2:$A$5,'Vic colour ref'!$D$2:$D$5,"")</f>
        <v>00</v>
      </c>
      <c r="BL15" s="2" t="str">
        <f>_xlfn.XLOOKUP(AE15,'Vic colour ref'!$A$2:$A$5,'Vic colour ref'!$D$2:$D$5,"")</f>
        <v>00</v>
      </c>
      <c r="BM15" s="2" t="str">
        <f>_xlfn.XLOOKUP(AF15,'Vic colour ref'!$A$2:$A$5,'Vic colour ref'!$D$2:$D$5,"")</f>
        <v>00</v>
      </c>
      <c r="BO15" s="18" t="str">
        <f t="shared" si="1"/>
        <v>00000011</v>
      </c>
      <c r="BP15" s="18" t="str">
        <f t="shared" si="2"/>
        <v>11111111</v>
      </c>
      <c r="BQ15" s="18" t="str">
        <f t="shared" si="3"/>
        <v>11111111</v>
      </c>
      <c r="BR15" s="18" t="str">
        <f t="shared" si="4"/>
        <v>11111100</v>
      </c>
      <c r="BS15" s="18" t="str">
        <f t="shared" si="5"/>
        <v>00000000</v>
      </c>
      <c r="BT15" s="18" t="str">
        <f t="shared" si="6"/>
        <v>00000000</v>
      </c>
      <c r="BU15" s="18" t="str">
        <f t="shared" si="7"/>
        <v>00000000</v>
      </c>
      <c r="BV15" s="18" t="str">
        <f t="shared" si="8"/>
        <v>00000000</v>
      </c>
      <c r="BX15" s="21" t="str">
        <f t="shared" si="9"/>
        <v>03</v>
      </c>
      <c r="BY15" s="21" t="str">
        <f t="shared" si="10"/>
        <v>FF</v>
      </c>
      <c r="BZ15" s="21" t="str">
        <f t="shared" si="11"/>
        <v>FF</v>
      </c>
      <c r="CA15" s="21" t="str">
        <f t="shared" si="11"/>
        <v>FC</v>
      </c>
      <c r="CB15" s="21" t="str">
        <f t="shared" si="11"/>
        <v>00</v>
      </c>
      <c r="CC15" s="24" t="str">
        <f t="shared" si="11"/>
        <v>00</v>
      </c>
      <c r="CD15" s="24" t="str">
        <f t="shared" si="14"/>
        <v>00</v>
      </c>
      <c r="CE15" s="24" t="str">
        <f t="shared" si="12"/>
        <v>00</v>
      </c>
      <c r="CG15" s="2" t="str" cm="1">
        <f t="array" ref="CG15:CN15">TRANSPOSE(CD9:CD16)</f>
        <v>00</v>
      </c>
      <c r="CH15" s="2" t="str">
        <v>00</v>
      </c>
      <c r="CI15" s="2" t="str">
        <v>00</v>
      </c>
      <c r="CJ15" s="2" t="str">
        <v>00</v>
      </c>
      <c r="CK15" s="2" t="str">
        <v>00</v>
      </c>
      <c r="CL15" s="2" t="str">
        <v>00</v>
      </c>
      <c r="CM15" s="2" t="str">
        <v>00</v>
      </c>
      <c r="CN15" s="2" t="str">
        <v>00</v>
      </c>
      <c r="CP15" s="4" t="str">
        <f t="shared" si="13"/>
        <v>!byte $00, $00, $00, $00, $00, $00, $00, $00</v>
      </c>
    </row>
    <row r="16" spans="1:94" x14ac:dyDescent="0.3">
      <c r="A16" s="2">
        <v>0</v>
      </c>
      <c r="B16" s="2">
        <v>0</v>
      </c>
      <c r="C16" s="2">
        <v>0</v>
      </c>
      <c r="D16" s="2">
        <v>3</v>
      </c>
      <c r="E16" s="2">
        <v>3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H16" s="2" t="str">
        <f>_xlfn.XLOOKUP(A16,'Vic colour ref'!$A$2:$A$5,'Vic colour ref'!$D$2:$D$5,"")</f>
        <v>00</v>
      </c>
      <c r="AI16" s="2" t="str">
        <f>_xlfn.XLOOKUP(B16,'Vic colour ref'!$A$2:$A$5,'Vic colour ref'!$D$2:$D$5,"")</f>
        <v>00</v>
      </c>
      <c r="AJ16" s="2" t="str">
        <f>_xlfn.XLOOKUP(C16,'Vic colour ref'!$A$2:$A$5,'Vic colour ref'!$D$2:$D$5,"")</f>
        <v>00</v>
      </c>
      <c r="AK16" s="2">
        <f>_xlfn.XLOOKUP(D16,'Vic colour ref'!$A$2:$A$5,'Vic colour ref'!$D$2:$D$5,"")</f>
        <v>11</v>
      </c>
      <c r="AL16" s="2">
        <f>_xlfn.XLOOKUP(E16,'Vic colour ref'!$A$2:$A$5,'Vic colour ref'!$D$2:$D$5,"")</f>
        <v>11</v>
      </c>
      <c r="AM16" s="2">
        <f>_xlfn.XLOOKUP(F16,'Vic colour ref'!$A$2:$A$5,'Vic colour ref'!$D$2:$D$5,"")</f>
        <v>11</v>
      </c>
      <c r="AN16" s="2">
        <f>_xlfn.XLOOKUP(G16,'Vic colour ref'!$A$2:$A$5,'Vic colour ref'!$D$2:$D$5,"")</f>
        <v>11</v>
      </c>
      <c r="AO16" s="2">
        <f>_xlfn.XLOOKUP(H16,'Vic colour ref'!$A$2:$A$5,'Vic colour ref'!$D$2:$D$5,"")</f>
        <v>11</v>
      </c>
      <c r="AP16" s="2">
        <f>_xlfn.XLOOKUP(I16,'Vic colour ref'!$A$2:$A$5,'Vic colour ref'!$D$2:$D$5,"")</f>
        <v>11</v>
      </c>
      <c r="AQ16" s="2">
        <f>_xlfn.XLOOKUP(J16,'Vic colour ref'!$A$2:$A$5,'Vic colour ref'!$D$2:$D$5,"")</f>
        <v>11</v>
      </c>
      <c r="AR16" s="2">
        <f>_xlfn.XLOOKUP(K16,'Vic colour ref'!$A$2:$A$5,'Vic colour ref'!$D$2:$D$5,"")</f>
        <v>11</v>
      </c>
      <c r="AS16" s="2">
        <f>_xlfn.XLOOKUP(L16,'Vic colour ref'!$A$2:$A$5,'Vic colour ref'!$D$2:$D$5,"")</f>
        <v>11</v>
      </c>
      <c r="AT16" s="2">
        <f>_xlfn.XLOOKUP(M16,'Vic colour ref'!$A$2:$A$5,'Vic colour ref'!$D$2:$D$5,"")</f>
        <v>11</v>
      </c>
      <c r="AU16" s="2">
        <f>_xlfn.XLOOKUP(N16,'Vic colour ref'!$A$2:$A$5,'Vic colour ref'!$D$2:$D$5,"")</f>
        <v>11</v>
      </c>
      <c r="AV16" s="2">
        <f>_xlfn.XLOOKUP(O16,'Vic colour ref'!$A$2:$A$5,'Vic colour ref'!$D$2:$D$5,"")</f>
        <v>11</v>
      </c>
      <c r="AW16" s="2" t="str">
        <f>_xlfn.XLOOKUP(P16,'Vic colour ref'!$A$2:$A$5,'Vic colour ref'!$D$2:$D$5,"")</f>
        <v>00</v>
      </c>
      <c r="AX16" s="2" t="str">
        <f>_xlfn.XLOOKUP(Q16,'Vic colour ref'!$A$2:$A$5,'Vic colour ref'!$D$2:$D$5,"")</f>
        <v>00</v>
      </c>
      <c r="AY16" s="2" t="str">
        <f>_xlfn.XLOOKUP(R16,'Vic colour ref'!$A$2:$A$5,'Vic colour ref'!$D$2:$D$5,"")</f>
        <v>00</v>
      </c>
      <c r="AZ16" s="2" t="str">
        <f>_xlfn.XLOOKUP(S16,'Vic colour ref'!$A$2:$A$5,'Vic colour ref'!$D$2:$D$5,"")</f>
        <v>00</v>
      </c>
      <c r="BA16" s="2" t="str">
        <f>_xlfn.XLOOKUP(T16,'Vic colour ref'!$A$2:$A$5,'Vic colour ref'!$D$2:$D$5,"")</f>
        <v>00</v>
      </c>
      <c r="BB16" s="2" t="str">
        <f>_xlfn.XLOOKUP(U16,'Vic colour ref'!$A$2:$A$5,'Vic colour ref'!$D$2:$D$5,"")</f>
        <v>00</v>
      </c>
      <c r="BC16" s="2" t="str">
        <f>_xlfn.XLOOKUP(V16,'Vic colour ref'!$A$2:$A$5,'Vic colour ref'!$D$2:$D$5,"")</f>
        <v>00</v>
      </c>
      <c r="BD16" s="2" t="str">
        <f>_xlfn.XLOOKUP(W16,'Vic colour ref'!$A$2:$A$5,'Vic colour ref'!$D$2:$D$5,"")</f>
        <v>00</v>
      </c>
      <c r="BE16" s="2" t="str">
        <f>_xlfn.XLOOKUP(X16,'Vic colour ref'!$A$2:$A$5,'Vic colour ref'!$D$2:$D$5,"")</f>
        <v>00</v>
      </c>
      <c r="BF16" s="2" t="str">
        <f>_xlfn.XLOOKUP(Y16,'Vic colour ref'!$A$2:$A$5,'Vic colour ref'!$D$2:$D$5,"")</f>
        <v>00</v>
      </c>
      <c r="BG16" s="2" t="str">
        <f>_xlfn.XLOOKUP(Z16,'Vic colour ref'!$A$2:$A$5,'Vic colour ref'!$D$2:$D$5,"")</f>
        <v>00</v>
      </c>
      <c r="BH16" s="2" t="str">
        <f>_xlfn.XLOOKUP(AA16,'Vic colour ref'!$A$2:$A$5,'Vic colour ref'!$D$2:$D$5,"")</f>
        <v>00</v>
      </c>
      <c r="BI16" s="2" t="str">
        <f>_xlfn.XLOOKUP(AB16,'Vic colour ref'!$A$2:$A$5,'Vic colour ref'!$D$2:$D$5,"")</f>
        <v>00</v>
      </c>
      <c r="BJ16" s="2" t="str">
        <f>_xlfn.XLOOKUP(AC16,'Vic colour ref'!$A$2:$A$5,'Vic colour ref'!$D$2:$D$5,"")</f>
        <v>00</v>
      </c>
      <c r="BK16" s="2" t="str">
        <f>_xlfn.XLOOKUP(AD16,'Vic colour ref'!$A$2:$A$5,'Vic colour ref'!$D$2:$D$5,"")</f>
        <v>00</v>
      </c>
      <c r="BL16" s="2" t="str">
        <f>_xlfn.XLOOKUP(AE16,'Vic colour ref'!$A$2:$A$5,'Vic colour ref'!$D$2:$D$5,"")</f>
        <v>00</v>
      </c>
      <c r="BM16" s="2" t="str">
        <f>_xlfn.XLOOKUP(AF16,'Vic colour ref'!$A$2:$A$5,'Vic colour ref'!$D$2:$D$5,"")</f>
        <v>00</v>
      </c>
      <c r="BO16" s="19" t="str">
        <f t="shared" si="1"/>
        <v>00000011</v>
      </c>
      <c r="BP16" s="19" t="str">
        <f t="shared" si="2"/>
        <v>11111111</v>
      </c>
      <c r="BQ16" s="19" t="str">
        <f t="shared" si="3"/>
        <v>11111111</v>
      </c>
      <c r="BR16" s="19" t="str">
        <f t="shared" si="4"/>
        <v>11111100</v>
      </c>
      <c r="BS16" s="19" t="str">
        <f t="shared" si="5"/>
        <v>00000000</v>
      </c>
      <c r="BT16" s="19" t="str">
        <f t="shared" si="6"/>
        <v>00000000</v>
      </c>
      <c r="BU16" s="19" t="str">
        <f t="shared" si="7"/>
        <v>00000000</v>
      </c>
      <c r="BV16" s="19" t="str">
        <f t="shared" si="8"/>
        <v>00000000</v>
      </c>
      <c r="BX16" s="22" t="str">
        <f t="shared" si="9"/>
        <v>03</v>
      </c>
      <c r="BY16" s="22" t="str">
        <f t="shared" si="10"/>
        <v>FF</v>
      </c>
      <c r="BZ16" s="22" t="str">
        <f t="shared" si="11"/>
        <v>FF</v>
      </c>
      <c r="CA16" s="22" t="str">
        <f t="shared" si="11"/>
        <v>FC</v>
      </c>
      <c r="CB16" s="22" t="str">
        <f t="shared" si="11"/>
        <v>00</v>
      </c>
      <c r="CC16" s="25" t="str">
        <f t="shared" si="11"/>
        <v>00</v>
      </c>
      <c r="CD16" s="25" t="str">
        <f t="shared" si="14"/>
        <v>00</v>
      </c>
      <c r="CE16" s="25" t="str">
        <f t="shared" si="12"/>
        <v>00</v>
      </c>
      <c r="CG16" s="2" t="str" cm="1">
        <f t="array" ref="CG16:CN16">TRANSPOSE(CE9:CE16)</f>
        <v>00</v>
      </c>
      <c r="CH16" s="2" t="str">
        <v>00</v>
      </c>
      <c r="CI16" s="2" t="str">
        <v>00</v>
      </c>
      <c r="CJ16" s="2" t="str">
        <v>00</v>
      </c>
      <c r="CK16" s="2" t="str">
        <v>00</v>
      </c>
      <c r="CL16" s="2" t="str">
        <v>00</v>
      </c>
      <c r="CM16" s="2" t="str">
        <v>00</v>
      </c>
      <c r="CN16" s="2" t="str">
        <v>00</v>
      </c>
      <c r="CP16" s="4" t="str">
        <f t="shared" si="13"/>
        <v>!byte $00, $00, $00, $00, $00, $00, $00, $00</v>
      </c>
    </row>
    <row r="17" spans="1:94" x14ac:dyDescent="0.3">
      <c r="A17" s="2">
        <v>0</v>
      </c>
      <c r="B17" s="2">
        <v>0</v>
      </c>
      <c r="C17" s="2">
        <v>0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3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H17" s="2" t="str">
        <f>_xlfn.XLOOKUP(A17,'Vic colour ref'!$A$2:$A$5,'Vic colour ref'!$D$2:$D$5,"")</f>
        <v>00</v>
      </c>
      <c r="AI17" s="2" t="str">
        <f>_xlfn.XLOOKUP(B17,'Vic colour ref'!$A$2:$A$5,'Vic colour ref'!$D$2:$D$5,"")</f>
        <v>00</v>
      </c>
      <c r="AJ17" s="2" t="str">
        <f>_xlfn.XLOOKUP(C17,'Vic colour ref'!$A$2:$A$5,'Vic colour ref'!$D$2:$D$5,"")</f>
        <v>00</v>
      </c>
      <c r="AK17" s="2">
        <f>_xlfn.XLOOKUP(D17,'Vic colour ref'!$A$2:$A$5,'Vic colour ref'!$D$2:$D$5,"")</f>
        <v>11</v>
      </c>
      <c r="AL17" s="2">
        <f>_xlfn.XLOOKUP(E17,'Vic colour ref'!$A$2:$A$5,'Vic colour ref'!$D$2:$D$5,"")</f>
        <v>11</v>
      </c>
      <c r="AM17" s="2">
        <f>_xlfn.XLOOKUP(F17,'Vic colour ref'!$A$2:$A$5,'Vic colour ref'!$D$2:$D$5,"")</f>
        <v>11</v>
      </c>
      <c r="AN17" s="2">
        <f>_xlfn.XLOOKUP(G17,'Vic colour ref'!$A$2:$A$5,'Vic colour ref'!$D$2:$D$5,"")</f>
        <v>11</v>
      </c>
      <c r="AO17" s="2">
        <f>_xlfn.XLOOKUP(H17,'Vic colour ref'!$A$2:$A$5,'Vic colour ref'!$D$2:$D$5,"")</f>
        <v>11</v>
      </c>
      <c r="AP17" s="2">
        <f>_xlfn.XLOOKUP(I17,'Vic colour ref'!$A$2:$A$5,'Vic colour ref'!$D$2:$D$5,"")</f>
        <v>11</v>
      </c>
      <c r="AQ17" s="2">
        <f>_xlfn.XLOOKUP(J17,'Vic colour ref'!$A$2:$A$5,'Vic colour ref'!$D$2:$D$5,"")</f>
        <v>11</v>
      </c>
      <c r="AR17" s="2">
        <f>_xlfn.XLOOKUP(K17,'Vic colour ref'!$A$2:$A$5,'Vic colour ref'!$D$2:$D$5,"")</f>
        <v>11</v>
      </c>
      <c r="AS17" s="2">
        <f>_xlfn.XLOOKUP(L17,'Vic colour ref'!$A$2:$A$5,'Vic colour ref'!$D$2:$D$5,"")</f>
        <v>11</v>
      </c>
      <c r="AT17" s="2">
        <f>_xlfn.XLOOKUP(M17,'Vic colour ref'!$A$2:$A$5,'Vic colour ref'!$D$2:$D$5,"")</f>
        <v>11</v>
      </c>
      <c r="AU17" s="2">
        <f>_xlfn.XLOOKUP(N17,'Vic colour ref'!$A$2:$A$5,'Vic colour ref'!$D$2:$D$5,"")</f>
        <v>11</v>
      </c>
      <c r="AV17" s="2">
        <f>_xlfn.XLOOKUP(O17,'Vic colour ref'!$A$2:$A$5,'Vic colour ref'!$D$2:$D$5,"")</f>
        <v>11</v>
      </c>
      <c r="AW17" s="2" t="str">
        <f>_xlfn.XLOOKUP(P17,'Vic colour ref'!$A$2:$A$5,'Vic colour ref'!$D$2:$D$5,"")</f>
        <v>00</v>
      </c>
      <c r="AX17" s="2" t="str">
        <f>_xlfn.XLOOKUP(Q17,'Vic colour ref'!$A$2:$A$5,'Vic colour ref'!$D$2:$D$5,"")</f>
        <v>00</v>
      </c>
      <c r="AY17" s="2" t="str">
        <f>_xlfn.XLOOKUP(R17,'Vic colour ref'!$A$2:$A$5,'Vic colour ref'!$D$2:$D$5,"")</f>
        <v>00</v>
      </c>
      <c r="AZ17" s="2" t="str">
        <f>_xlfn.XLOOKUP(S17,'Vic colour ref'!$A$2:$A$5,'Vic colour ref'!$D$2:$D$5,"")</f>
        <v>00</v>
      </c>
      <c r="BA17" s="2" t="str">
        <f>_xlfn.XLOOKUP(T17,'Vic colour ref'!$A$2:$A$5,'Vic colour ref'!$D$2:$D$5,"")</f>
        <v>00</v>
      </c>
      <c r="BB17" s="2" t="str">
        <f>_xlfn.XLOOKUP(U17,'Vic colour ref'!$A$2:$A$5,'Vic colour ref'!$D$2:$D$5,"")</f>
        <v>00</v>
      </c>
      <c r="BC17" s="2" t="str">
        <f>_xlfn.XLOOKUP(V17,'Vic colour ref'!$A$2:$A$5,'Vic colour ref'!$D$2:$D$5,"")</f>
        <v>00</v>
      </c>
      <c r="BD17" s="2" t="str">
        <f>_xlfn.XLOOKUP(W17,'Vic colour ref'!$A$2:$A$5,'Vic colour ref'!$D$2:$D$5,"")</f>
        <v>00</v>
      </c>
      <c r="BE17" s="2" t="str">
        <f>_xlfn.XLOOKUP(X17,'Vic colour ref'!$A$2:$A$5,'Vic colour ref'!$D$2:$D$5,"")</f>
        <v>00</v>
      </c>
      <c r="BF17" s="2" t="str">
        <f>_xlfn.XLOOKUP(Y17,'Vic colour ref'!$A$2:$A$5,'Vic colour ref'!$D$2:$D$5,"")</f>
        <v>00</v>
      </c>
      <c r="BG17" s="2" t="str">
        <f>_xlfn.XLOOKUP(Z17,'Vic colour ref'!$A$2:$A$5,'Vic colour ref'!$D$2:$D$5,"")</f>
        <v>00</v>
      </c>
      <c r="BH17" s="2" t="str">
        <f>_xlfn.XLOOKUP(AA17,'Vic colour ref'!$A$2:$A$5,'Vic colour ref'!$D$2:$D$5,"")</f>
        <v>00</v>
      </c>
      <c r="BI17" s="2" t="str">
        <f>_xlfn.XLOOKUP(AB17,'Vic colour ref'!$A$2:$A$5,'Vic colour ref'!$D$2:$D$5,"")</f>
        <v>00</v>
      </c>
      <c r="BJ17" s="2" t="str">
        <f>_xlfn.XLOOKUP(AC17,'Vic colour ref'!$A$2:$A$5,'Vic colour ref'!$D$2:$D$5,"")</f>
        <v>00</v>
      </c>
      <c r="BK17" s="2" t="str">
        <f>_xlfn.XLOOKUP(AD17,'Vic colour ref'!$A$2:$A$5,'Vic colour ref'!$D$2:$D$5,"")</f>
        <v>00</v>
      </c>
      <c r="BL17" s="2" t="str">
        <f>_xlfn.XLOOKUP(AE17,'Vic colour ref'!$A$2:$A$5,'Vic colour ref'!$D$2:$D$5,"")</f>
        <v>00</v>
      </c>
      <c r="BM17" s="2" t="str">
        <f>_xlfn.XLOOKUP(AF17,'Vic colour ref'!$A$2:$A$5,'Vic colour ref'!$D$2:$D$5,"")</f>
        <v>00</v>
      </c>
      <c r="BO17" s="17" t="str">
        <f t="shared" si="1"/>
        <v>00000011</v>
      </c>
      <c r="BP17" s="17" t="str">
        <f t="shared" si="2"/>
        <v>11111111</v>
      </c>
      <c r="BQ17" s="17" t="str">
        <f t="shared" si="3"/>
        <v>11111111</v>
      </c>
      <c r="BR17" s="17" t="str">
        <f t="shared" si="4"/>
        <v>11111100</v>
      </c>
      <c r="BS17" s="17" t="str">
        <f t="shared" si="5"/>
        <v>00000000</v>
      </c>
      <c r="BT17" s="17" t="str">
        <f t="shared" si="6"/>
        <v>00000000</v>
      </c>
      <c r="BU17" s="17" t="str">
        <f t="shared" si="7"/>
        <v>00000000</v>
      </c>
      <c r="BV17" s="17" t="str">
        <f t="shared" si="8"/>
        <v>00000000</v>
      </c>
      <c r="BX17" s="20" t="str">
        <f t="shared" si="9"/>
        <v>03</v>
      </c>
      <c r="BY17" s="20" t="str">
        <f t="shared" si="10"/>
        <v>FF</v>
      </c>
      <c r="BZ17" s="20" t="str">
        <f t="shared" si="11"/>
        <v>FF</v>
      </c>
      <c r="CA17" s="20" t="str">
        <f t="shared" si="11"/>
        <v>FC</v>
      </c>
      <c r="CB17" s="20" t="str">
        <f t="shared" si="11"/>
        <v>00</v>
      </c>
      <c r="CC17" s="23" t="str">
        <f t="shared" si="11"/>
        <v>00</v>
      </c>
      <c r="CD17" s="20" t="str">
        <f t="shared" si="14"/>
        <v>00</v>
      </c>
      <c r="CE17" s="23" t="str">
        <f t="shared" si="12"/>
        <v>00</v>
      </c>
      <c r="CG17" s="2" t="str" cm="1">
        <f t="array" ref="CG17:CN17">TRANSPOSE(BX17:BX24)</f>
        <v>03</v>
      </c>
      <c r="CH17" s="2" t="str">
        <v>00</v>
      </c>
      <c r="CI17" s="2" t="str">
        <v>00</v>
      </c>
      <c r="CJ17" s="2" t="str">
        <v>00</v>
      </c>
      <c r="CK17" s="2" t="str">
        <v>01</v>
      </c>
      <c r="CL17" s="2" t="str">
        <v>01</v>
      </c>
      <c r="CM17" s="2" t="str">
        <v>01</v>
      </c>
      <c r="CN17" s="2" t="str">
        <v>54</v>
      </c>
      <c r="CP17" s="4" t="str">
        <f t="shared" si="13"/>
        <v>!byte $03, $00, $00, $00, $01, $01, $01, $54</v>
      </c>
    </row>
    <row r="18" spans="1:94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3</v>
      </c>
      <c r="H18" s="2">
        <v>3</v>
      </c>
      <c r="I18" s="2">
        <v>3</v>
      </c>
      <c r="J18" s="2">
        <v>3</v>
      </c>
      <c r="K18" s="2">
        <v>3</v>
      </c>
      <c r="L18" s="2">
        <v>3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H18" s="2" t="str">
        <f>_xlfn.XLOOKUP(A18,'Vic colour ref'!$A$2:$A$5,'Vic colour ref'!$D$2:$D$5,"")</f>
        <v>00</v>
      </c>
      <c r="AI18" s="2" t="str">
        <f>_xlfn.XLOOKUP(B18,'Vic colour ref'!$A$2:$A$5,'Vic colour ref'!$D$2:$D$5,"")</f>
        <v>00</v>
      </c>
      <c r="AJ18" s="2" t="str">
        <f>_xlfn.XLOOKUP(C18,'Vic colour ref'!$A$2:$A$5,'Vic colour ref'!$D$2:$D$5,"")</f>
        <v>00</v>
      </c>
      <c r="AK18" s="2" t="str">
        <f>_xlfn.XLOOKUP(D18,'Vic colour ref'!$A$2:$A$5,'Vic colour ref'!$D$2:$D$5,"")</f>
        <v>00</v>
      </c>
      <c r="AL18" s="2" t="str">
        <f>_xlfn.XLOOKUP(E18,'Vic colour ref'!$A$2:$A$5,'Vic colour ref'!$D$2:$D$5,"")</f>
        <v>00</v>
      </c>
      <c r="AM18" s="2" t="str">
        <f>_xlfn.XLOOKUP(F18,'Vic colour ref'!$A$2:$A$5,'Vic colour ref'!$D$2:$D$5,"")</f>
        <v>00</v>
      </c>
      <c r="AN18" s="2">
        <f>_xlfn.XLOOKUP(G18,'Vic colour ref'!$A$2:$A$5,'Vic colour ref'!$D$2:$D$5,"")</f>
        <v>11</v>
      </c>
      <c r="AO18" s="2">
        <f>_xlfn.XLOOKUP(H18,'Vic colour ref'!$A$2:$A$5,'Vic colour ref'!$D$2:$D$5,"")</f>
        <v>11</v>
      </c>
      <c r="AP18" s="2">
        <f>_xlfn.XLOOKUP(I18,'Vic colour ref'!$A$2:$A$5,'Vic colour ref'!$D$2:$D$5,"")</f>
        <v>11</v>
      </c>
      <c r="AQ18" s="2">
        <f>_xlfn.XLOOKUP(J18,'Vic colour ref'!$A$2:$A$5,'Vic colour ref'!$D$2:$D$5,"")</f>
        <v>11</v>
      </c>
      <c r="AR18" s="2">
        <f>_xlfn.XLOOKUP(K18,'Vic colour ref'!$A$2:$A$5,'Vic colour ref'!$D$2:$D$5,"")</f>
        <v>11</v>
      </c>
      <c r="AS18" s="2">
        <f>_xlfn.XLOOKUP(L18,'Vic colour ref'!$A$2:$A$5,'Vic colour ref'!$D$2:$D$5,"")</f>
        <v>11</v>
      </c>
      <c r="AT18" s="2" t="str">
        <f>_xlfn.XLOOKUP(M18,'Vic colour ref'!$A$2:$A$5,'Vic colour ref'!$D$2:$D$5,"")</f>
        <v>00</v>
      </c>
      <c r="AU18" s="2" t="str">
        <f>_xlfn.XLOOKUP(N18,'Vic colour ref'!$A$2:$A$5,'Vic colour ref'!$D$2:$D$5,"")</f>
        <v>00</v>
      </c>
      <c r="AV18" s="2" t="str">
        <f>_xlfn.XLOOKUP(O18,'Vic colour ref'!$A$2:$A$5,'Vic colour ref'!$D$2:$D$5,"")</f>
        <v>00</v>
      </c>
      <c r="AW18" s="2" t="str">
        <f>_xlfn.XLOOKUP(P18,'Vic colour ref'!$A$2:$A$5,'Vic colour ref'!$D$2:$D$5,"")</f>
        <v>00</v>
      </c>
      <c r="AX18" s="2" t="str">
        <f>_xlfn.XLOOKUP(Q18,'Vic colour ref'!$A$2:$A$5,'Vic colour ref'!$D$2:$D$5,"")</f>
        <v>00</v>
      </c>
      <c r="AY18" s="2" t="str">
        <f>_xlfn.XLOOKUP(R18,'Vic colour ref'!$A$2:$A$5,'Vic colour ref'!$D$2:$D$5,"")</f>
        <v>00</v>
      </c>
      <c r="AZ18" s="2" t="str">
        <f>_xlfn.XLOOKUP(S18,'Vic colour ref'!$A$2:$A$5,'Vic colour ref'!$D$2:$D$5,"")</f>
        <v>00</v>
      </c>
      <c r="BA18" s="2" t="str">
        <f>_xlfn.XLOOKUP(T18,'Vic colour ref'!$A$2:$A$5,'Vic colour ref'!$D$2:$D$5,"")</f>
        <v>00</v>
      </c>
      <c r="BB18" s="2" t="str">
        <f>_xlfn.XLOOKUP(U18,'Vic colour ref'!$A$2:$A$5,'Vic colour ref'!$D$2:$D$5,"")</f>
        <v>00</v>
      </c>
      <c r="BC18" s="2" t="str">
        <f>_xlfn.XLOOKUP(V18,'Vic colour ref'!$A$2:$A$5,'Vic colour ref'!$D$2:$D$5,"")</f>
        <v>00</v>
      </c>
      <c r="BD18" s="2" t="str">
        <f>_xlfn.XLOOKUP(W18,'Vic colour ref'!$A$2:$A$5,'Vic colour ref'!$D$2:$D$5,"")</f>
        <v>00</v>
      </c>
      <c r="BE18" s="2" t="str">
        <f>_xlfn.XLOOKUP(X18,'Vic colour ref'!$A$2:$A$5,'Vic colour ref'!$D$2:$D$5,"")</f>
        <v>00</v>
      </c>
      <c r="BF18" s="2" t="str">
        <f>_xlfn.XLOOKUP(Y18,'Vic colour ref'!$A$2:$A$5,'Vic colour ref'!$D$2:$D$5,"")</f>
        <v>00</v>
      </c>
      <c r="BG18" s="2" t="str">
        <f>_xlfn.XLOOKUP(Z18,'Vic colour ref'!$A$2:$A$5,'Vic colour ref'!$D$2:$D$5,"")</f>
        <v>00</v>
      </c>
      <c r="BH18" s="2" t="str">
        <f>_xlfn.XLOOKUP(AA18,'Vic colour ref'!$A$2:$A$5,'Vic colour ref'!$D$2:$D$5,"")</f>
        <v>00</v>
      </c>
      <c r="BI18" s="2" t="str">
        <f>_xlfn.XLOOKUP(AB18,'Vic colour ref'!$A$2:$A$5,'Vic colour ref'!$D$2:$D$5,"")</f>
        <v>00</v>
      </c>
      <c r="BJ18" s="2" t="str">
        <f>_xlfn.XLOOKUP(AC18,'Vic colour ref'!$A$2:$A$5,'Vic colour ref'!$D$2:$D$5,"")</f>
        <v>00</v>
      </c>
      <c r="BK18" s="2" t="str">
        <f>_xlfn.XLOOKUP(AD18,'Vic colour ref'!$A$2:$A$5,'Vic colour ref'!$D$2:$D$5,"")</f>
        <v>00</v>
      </c>
      <c r="BL18" s="2" t="str">
        <f>_xlfn.XLOOKUP(AE18,'Vic colour ref'!$A$2:$A$5,'Vic colour ref'!$D$2:$D$5,"")</f>
        <v>00</v>
      </c>
      <c r="BM18" s="2" t="str">
        <f>_xlfn.XLOOKUP(AF18,'Vic colour ref'!$A$2:$A$5,'Vic colour ref'!$D$2:$D$5,"")</f>
        <v>00</v>
      </c>
      <c r="BO18" s="18" t="str">
        <f t="shared" si="1"/>
        <v>00000000</v>
      </c>
      <c r="BP18" s="18" t="str">
        <f t="shared" si="2"/>
        <v>00001111</v>
      </c>
      <c r="BQ18" s="18" t="str">
        <f t="shared" si="3"/>
        <v>11111111</v>
      </c>
      <c r="BR18" s="18" t="str">
        <f t="shared" si="4"/>
        <v>00000000</v>
      </c>
      <c r="BS18" s="18" t="str">
        <f t="shared" si="5"/>
        <v>00000000</v>
      </c>
      <c r="BT18" s="18" t="str">
        <f t="shared" si="6"/>
        <v>00000000</v>
      </c>
      <c r="BU18" s="18" t="str">
        <f t="shared" si="7"/>
        <v>00000000</v>
      </c>
      <c r="BV18" s="18" t="str">
        <f t="shared" si="8"/>
        <v>00000000</v>
      </c>
      <c r="BX18" s="21" t="str">
        <f t="shared" si="9"/>
        <v>00</v>
      </c>
      <c r="BY18" s="21" t="str">
        <f t="shared" si="10"/>
        <v>0F</v>
      </c>
      <c r="BZ18" s="21" t="str">
        <f t="shared" si="11"/>
        <v>FF</v>
      </c>
      <c r="CA18" s="21" t="str">
        <f t="shared" si="11"/>
        <v>00</v>
      </c>
      <c r="CB18" s="21" t="str">
        <f t="shared" si="11"/>
        <v>00</v>
      </c>
      <c r="CC18" s="24" t="str">
        <f t="shared" si="11"/>
        <v>00</v>
      </c>
      <c r="CD18" s="21" t="str">
        <f t="shared" si="14"/>
        <v>00</v>
      </c>
      <c r="CE18" s="24" t="str">
        <f t="shared" si="12"/>
        <v>00</v>
      </c>
      <c r="CG18" s="2" t="str" cm="1">
        <f t="array" ref="CG18:CN18">TRANSPOSE(BY17:BY24)</f>
        <v>FF</v>
      </c>
      <c r="CH18" s="2" t="str">
        <v>0F</v>
      </c>
      <c r="CI18" s="2" t="str">
        <v>0F</v>
      </c>
      <c r="CJ18" s="2" t="str">
        <v>0F</v>
      </c>
      <c r="CK18" s="2" t="str">
        <v>5A</v>
      </c>
      <c r="CL18" s="2" t="str">
        <v>5A</v>
      </c>
      <c r="CM18" s="2" t="str">
        <v>5A</v>
      </c>
      <c r="CN18" s="2" t="str">
        <v>05</v>
      </c>
      <c r="CP18" s="4" t="str">
        <f t="shared" si="13"/>
        <v>!byte $ff, $0f, $0f, $0f, $5a, $5a, $5a, $05</v>
      </c>
    </row>
    <row r="19" spans="1:94" x14ac:dyDescent="0.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H19" s="2" t="str">
        <f>_xlfn.XLOOKUP(A19,'Vic colour ref'!$A$2:$A$5,'Vic colour ref'!$D$2:$D$5,"")</f>
        <v>00</v>
      </c>
      <c r="AI19" s="2" t="str">
        <f>_xlfn.XLOOKUP(B19,'Vic colour ref'!$A$2:$A$5,'Vic colour ref'!$D$2:$D$5,"")</f>
        <v>00</v>
      </c>
      <c r="AJ19" s="2" t="str">
        <f>_xlfn.XLOOKUP(C19,'Vic colour ref'!$A$2:$A$5,'Vic colour ref'!$D$2:$D$5,"")</f>
        <v>00</v>
      </c>
      <c r="AK19" s="2" t="str">
        <f>_xlfn.XLOOKUP(D19,'Vic colour ref'!$A$2:$A$5,'Vic colour ref'!$D$2:$D$5,"")</f>
        <v>00</v>
      </c>
      <c r="AL19" s="2" t="str">
        <f>_xlfn.XLOOKUP(E19,'Vic colour ref'!$A$2:$A$5,'Vic colour ref'!$D$2:$D$5,"")</f>
        <v>00</v>
      </c>
      <c r="AM19" s="2" t="str">
        <f>_xlfn.XLOOKUP(F19,'Vic colour ref'!$A$2:$A$5,'Vic colour ref'!$D$2:$D$5,"")</f>
        <v>00</v>
      </c>
      <c r="AN19" s="2">
        <f>_xlfn.XLOOKUP(G19,'Vic colour ref'!$A$2:$A$5,'Vic colour ref'!$D$2:$D$5,"")</f>
        <v>11</v>
      </c>
      <c r="AO19" s="2">
        <f>_xlfn.XLOOKUP(H19,'Vic colour ref'!$A$2:$A$5,'Vic colour ref'!$D$2:$D$5,"")</f>
        <v>11</v>
      </c>
      <c r="AP19" s="2">
        <f>_xlfn.XLOOKUP(I19,'Vic colour ref'!$A$2:$A$5,'Vic colour ref'!$D$2:$D$5,"")</f>
        <v>11</v>
      </c>
      <c r="AQ19" s="2">
        <f>_xlfn.XLOOKUP(J19,'Vic colour ref'!$A$2:$A$5,'Vic colour ref'!$D$2:$D$5,"")</f>
        <v>11</v>
      </c>
      <c r="AR19" s="2">
        <f>_xlfn.XLOOKUP(K19,'Vic colour ref'!$A$2:$A$5,'Vic colour ref'!$D$2:$D$5,"")</f>
        <v>11</v>
      </c>
      <c r="AS19" s="2">
        <f>_xlfn.XLOOKUP(L19,'Vic colour ref'!$A$2:$A$5,'Vic colour ref'!$D$2:$D$5,"")</f>
        <v>11</v>
      </c>
      <c r="AT19" s="2" t="str">
        <f>_xlfn.XLOOKUP(M19,'Vic colour ref'!$A$2:$A$5,'Vic colour ref'!$D$2:$D$5,"")</f>
        <v>00</v>
      </c>
      <c r="AU19" s="2" t="str">
        <f>_xlfn.XLOOKUP(N19,'Vic colour ref'!$A$2:$A$5,'Vic colour ref'!$D$2:$D$5,"")</f>
        <v>00</v>
      </c>
      <c r="AV19" s="2" t="str">
        <f>_xlfn.XLOOKUP(O19,'Vic colour ref'!$A$2:$A$5,'Vic colour ref'!$D$2:$D$5,"")</f>
        <v>00</v>
      </c>
      <c r="AW19" s="2" t="str">
        <f>_xlfn.XLOOKUP(P19,'Vic colour ref'!$A$2:$A$5,'Vic colour ref'!$D$2:$D$5,"")</f>
        <v>00</v>
      </c>
      <c r="AX19" s="2" t="str">
        <f>_xlfn.XLOOKUP(Q19,'Vic colour ref'!$A$2:$A$5,'Vic colour ref'!$D$2:$D$5,"")</f>
        <v>00</v>
      </c>
      <c r="AY19" s="2" t="str">
        <f>_xlfn.XLOOKUP(R19,'Vic colour ref'!$A$2:$A$5,'Vic colour ref'!$D$2:$D$5,"")</f>
        <v>00</v>
      </c>
      <c r="AZ19" s="2" t="str">
        <f>_xlfn.XLOOKUP(S19,'Vic colour ref'!$A$2:$A$5,'Vic colour ref'!$D$2:$D$5,"")</f>
        <v>00</v>
      </c>
      <c r="BA19" s="2" t="str">
        <f>_xlfn.XLOOKUP(T19,'Vic colour ref'!$A$2:$A$5,'Vic colour ref'!$D$2:$D$5,"")</f>
        <v>00</v>
      </c>
      <c r="BB19" s="2" t="str">
        <f>_xlfn.XLOOKUP(U19,'Vic colour ref'!$A$2:$A$5,'Vic colour ref'!$D$2:$D$5,"")</f>
        <v>00</v>
      </c>
      <c r="BC19" s="2" t="str">
        <f>_xlfn.XLOOKUP(V19,'Vic colour ref'!$A$2:$A$5,'Vic colour ref'!$D$2:$D$5,"")</f>
        <v>00</v>
      </c>
      <c r="BD19" s="2" t="str">
        <f>_xlfn.XLOOKUP(W19,'Vic colour ref'!$A$2:$A$5,'Vic colour ref'!$D$2:$D$5,"")</f>
        <v>00</v>
      </c>
      <c r="BE19" s="2" t="str">
        <f>_xlfn.XLOOKUP(X19,'Vic colour ref'!$A$2:$A$5,'Vic colour ref'!$D$2:$D$5,"")</f>
        <v>00</v>
      </c>
      <c r="BF19" s="2" t="str">
        <f>_xlfn.XLOOKUP(Y19,'Vic colour ref'!$A$2:$A$5,'Vic colour ref'!$D$2:$D$5,"")</f>
        <v>00</v>
      </c>
      <c r="BG19" s="2" t="str">
        <f>_xlfn.XLOOKUP(Z19,'Vic colour ref'!$A$2:$A$5,'Vic colour ref'!$D$2:$D$5,"")</f>
        <v>00</v>
      </c>
      <c r="BH19" s="2" t="str">
        <f>_xlfn.XLOOKUP(AA19,'Vic colour ref'!$A$2:$A$5,'Vic colour ref'!$D$2:$D$5,"")</f>
        <v>00</v>
      </c>
      <c r="BI19" s="2" t="str">
        <f>_xlfn.XLOOKUP(AB19,'Vic colour ref'!$A$2:$A$5,'Vic colour ref'!$D$2:$D$5,"")</f>
        <v>00</v>
      </c>
      <c r="BJ19" s="2" t="str">
        <f>_xlfn.XLOOKUP(AC19,'Vic colour ref'!$A$2:$A$5,'Vic colour ref'!$D$2:$D$5,"")</f>
        <v>00</v>
      </c>
      <c r="BK19" s="2" t="str">
        <f>_xlfn.XLOOKUP(AD19,'Vic colour ref'!$A$2:$A$5,'Vic colour ref'!$D$2:$D$5,"")</f>
        <v>00</v>
      </c>
      <c r="BL19" s="2" t="str">
        <f>_xlfn.XLOOKUP(AE19,'Vic colour ref'!$A$2:$A$5,'Vic colour ref'!$D$2:$D$5,"")</f>
        <v>00</v>
      </c>
      <c r="BM19" s="2" t="str">
        <f>_xlfn.XLOOKUP(AF19,'Vic colour ref'!$A$2:$A$5,'Vic colour ref'!$D$2:$D$5,"")</f>
        <v>00</v>
      </c>
      <c r="BO19" s="18" t="str">
        <f t="shared" si="1"/>
        <v>00000000</v>
      </c>
      <c r="BP19" s="18" t="str">
        <f t="shared" si="2"/>
        <v>00001111</v>
      </c>
      <c r="BQ19" s="18" t="str">
        <f t="shared" si="3"/>
        <v>11111111</v>
      </c>
      <c r="BR19" s="18" t="str">
        <f t="shared" si="4"/>
        <v>00000000</v>
      </c>
      <c r="BS19" s="18" t="str">
        <f t="shared" si="5"/>
        <v>00000000</v>
      </c>
      <c r="BT19" s="18" t="str">
        <f t="shared" si="6"/>
        <v>00000000</v>
      </c>
      <c r="BU19" s="18" t="str">
        <f t="shared" si="7"/>
        <v>00000000</v>
      </c>
      <c r="BV19" s="18" t="str">
        <f t="shared" si="8"/>
        <v>00000000</v>
      </c>
      <c r="BX19" s="21" t="str">
        <f t="shared" si="9"/>
        <v>00</v>
      </c>
      <c r="BY19" s="21" t="str">
        <f t="shared" si="10"/>
        <v>0F</v>
      </c>
      <c r="BZ19" s="21" t="str">
        <f t="shared" si="11"/>
        <v>FF</v>
      </c>
      <c r="CA19" s="21" t="str">
        <f t="shared" si="11"/>
        <v>00</v>
      </c>
      <c r="CB19" s="21" t="str">
        <f t="shared" si="11"/>
        <v>00</v>
      </c>
      <c r="CC19" s="24" t="str">
        <f t="shared" si="11"/>
        <v>00</v>
      </c>
      <c r="CD19" s="21" t="str">
        <f t="shared" si="14"/>
        <v>00</v>
      </c>
      <c r="CE19" s="24" t="str">
        <f t="shared" si="12"/>
        <v>00</v>
      </c>
      <c r="CG19" s="2" t="str" cm="1">
        <f t="array" ref="CG19:CN19">TRANSPOSE(BZ17:BZ24)</f>
        <v>FF</v>
      </c>
      <c r="CH19" s="2" t="str">
        <v>FF</v>
      </c>
      <c r="CI19" s="2" t="str">
        <v>FF</v>
      </c>
      <c r="CJ19" s="2" t="str">
        <v>FF</v>
      </c>
      <c r="CK19" s="2" t="str">
        <v>AA</v>
      </c>
      <c r="CL19" s="2" t="str">
        <v>AA</v>
      </c>
      <c r="CM19" s="2" t="str">
        <v>AA</v>
      </c>
      <c r="CN19" s="2" t="str">
        <v>55</v>
      </c>
      <c r="CP19" s="4" t="str">
        <f t="shared" si="13"/>
        <v>!byte $ff, $ff, $ff, $ff, $aa, $aa, $aa, $55</v>
      </c>
    </row>
    <row r="20" spans="1:94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3</v>
      </c>
      <c r="H20" s="2">
        <v>3</v>
      </c>
      <c r="I20" s="2">
        <v>3</v>
      </c>
      <c r="J20" s="2">
        <v>3</v>
      </c>
      <c r="K20" s="2">
        <v>3</v>
      </c>
      <c r="L20" s="2">
        <v>3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H20" s="2" t="str">
        <f>_xlfn.XLOOKUP(A20,'Vic colour ref'!$A$2:$A$5,'Vic colour ref'!$D$2:$D$5,"")</f>
        <v>00</v>
      </c>
      <c r="AI20" s="2" t="str">
        <f>_xlfn.XLOOKUP(B20,'Vic colour ref'!$A$2:$A$5,'Vic colour ref'!$D$2:$D$5,"")</f>
        <v>00</v>
      </c>
      <c r="AJ20" s="2" t="str">
        <f>_xlfn.XLOOKUP(C20,'Vic colour ref'!$A$2:$A$5,'Vic colour ref'!$D$2:$D$5,"")</f>
        <v>00</v>
      </c>
      <c r="AK20" s="2" t="str">
        <f>_xlfn.XLOOKUP(D20,'Vic colour ref'!$A$2:$A$5,'Vic colour ref'!$D$2:$D$5,"")</f>
        <v>00</v>
      </c>
      <c r="AL20" s="2" t="str">
        <f>_xlfn.XLOOKUP(E20,'Vic colour ref'!$A$2:$A$5,'Vic colour ref'!$D$2:$D$5,"")</f>
        <v>00</v>
      </c>
      <c r="AM20" s="2" t="str">
        <f>_xlfn.XLOOKUP(F20,'Vic colour ref'!$A$2:$A$5,'Vic colour ref'!$D$2:$D$5,"")</f>
        <v>00</v>
      </c>
      <c r="AN20" s="2">
        <f>_xlfn.XLOOKUP(G20,'Vic colour ref'!$A$2:$A$5,'Vic colour ref'!$D$2:$D$5,"")</f>
        <v>11</v>
      </c>
      <c r="AO20" s="2">
        <f>_xlfn.XLOOKUP(H20,'Vic colour ref'!$A$2:$A$5,'Vic colour ref'!$D$2:$D$5,"")</f>
        <v>11</v>
      </c>
      <c r="AP20" s="2">
        <f>_xlfn.XLOOKUP(I20,'Vic colour ref'!$A$2:$A$5,'Vic colour ref'!$D$2:$D$5,"")</f>
        <v>11</v>
      </c>
      <c r="AQ20" s="2">
        <f>_xlfn.XLOOKUP(J20,'Vic colour ref'!$A$2:$A$5,'Vic colour ref'!$D$2:$D$5,"")</f>
        <v>11</v>
      </c>
      <c r="AR20" s="2">
        <f>_xlfn.XLOOKUP(K20,'Vic colour ref'!$A$2:$A$5,'Vic colour ref'!$D$2:$D$5,"")</f>
        <v>11</v>
      </c>
      <c r="AS20" s="2">
        <f>_xlfn.XLOOKUP(L20,'Vic colour ref'!$A$2:$A$5,'Vic colour ref'!$D$2:$D$5,"")</f>
        <v>11</v>
      </c>
      <c r="AT20" s="2" t="str">
        <f>_xlfn.XLOOKUP(M20,'Vic colour ref'!$A$2:$A$5,'Vic colour ref'!$D$2:$D$5,"")</f>
        <v>00</v>
      </c>
      <c r="AU20" s="2" t="str">
        <f>_xlfn.XLOOKUP(N20,'Vic colour ref'!$A$2:$A$5,'Vic colour ref'!$D$2:$D$5,"")</f>
        <v>00</v>
      </c>
      <c r="AV20" s="2" t="str">
        <f>_xlfn.XLOOKUP(O20,'Vic colour ref'!$A$2:$A$5,'Vic colour ref'!$D$2:$D$5,"")</f>
        <v>00</v>
      </c>
      <c r="AW20" s="2" t="str">
        <f>_xlfn.XLOOKUP(P20,'Vic colour ref'!$A$2:$A$5,'Vic colour ref'!$D$2:$D$5,"")</f>
        <v>00</v>
      </c>
      <c r="AX20" s="2" t="str">
        <f>_xlfn.XLOOKUP(Q20,'Vic colour ref'!$A$2:$A$5,'Vic colour ref'!$D$2:$D$5,"")</f>
        <v>00</v>
      </c>
      <c r="AY20" s="2" t="str">
        <f>_xlfn.XLOOKUP(R20,'Vic colour ref'!$A$2:$A$5,'Vic colour ref'!$D$2:$D$5,"")</f>
        <v>00</v>
      </c>
      <c r="AZ20" s="2" t="str">
        <f>_xlfn.XLOOKUP(S20,'Vic colour ref'!$A$2:$A$5,'Vic colour ref'!$D$2:$D$5,"")</f>
        <v>00</v>
      </c>
      <c r="BA20" s="2" t="str">
        <f>_xlfn.XLOOKUP(T20,'Vic colour ref'!$A$2:$A$5,'Vic colour ref'!$D$2:$D$5,"")</f>
        <v>00</v>
      </c>
      <c r="BB20" s="2" t="str">
        <f>_xlfn.XLOOKUP(U20,'Vic colour ref'!$A$2:$A$5,'Vic colour ref'!$D$2:$D$5,"")</f>
        <v>00</v>
      </c>
      <c r="BC20" s="2" t="str">
        <f>_xlfn.XLOOKUP(V20,'Vic colour ref'!$A$2:$A$5,'Vic colour ref'!$D$2:$D$5,"")</f>
        <v>00</v>
      </c>
      <c r="BD20" s="2" t="str">
        <f>_xlfn.XLOOKUP(W20,'Vic colour ref'!$A$2:$A$5,'Vic colour ref'!$D$2:$D$5,"")</f>
        <v>00</v>
      </c>
      <c r="BE20" s="2" t="str">
        <f>_xlfn.XLOOKUP(X20,'Vic colour ref'!$A$2:$A$5,'Vic colour ref'!$D$2:$D$5,"")</f>
        <v>00</v>
      </c>
      <c r="BF20" s="2" t="str">
        <f>_xlfn.XLOOKUP(Y20,'Vic colour ref'!$A$2:$A$5,'Vic colour ref'!$D$2:$D$5,"")</f>
        <v>00</v>
      </c>
      <c r="BG20" s="2" t="str">
        <f>_xlfn.XLOOKUP(Z20,'Vic colour ref'!$A$2:$A$5,'Vic colour ref'!$D$2:$D$5,"")</f>
        <v>00</v>
      </c>
      <c r="BH20" s="2" t="str">
        <f>_xlfn.XLOOKUP(AA20,'Vic colour ref'!$A$2:$A$5,'Vic colour ref'!$D$2:$D$5,"")</f>
        <v>00</v>
      </c>
      <c r="BI20" s="2" t="str">
        <f>_xlfn.XLOOKUP(AB20,'Vic colour ref'!$A$2:$A$5,'Vic colour ref'!$D$2:$D$5,"")</f>
        <v>00</v>
      </c>
      <c r="BJ20" s="2" t="str">
        <f>_xlfn.XLOOKUP(AC20,'Vic colour ref'!$A$2:$A$5,'Vic colour ref'!$D$2:$D$5,"")</f>
        <v>00</v>
      </c>
      <c r="BK20" s="2" t="str">
        <f>_xlfn.XLOOKUP(AD20,'Vic colour ref'!$A$2:$A$5,'Vic colour ref'!$D$2:$D$5,"")</f>
        <v>00</v>
      </c>
      <c r="BL20" s="2" t="str">
        <f>_xlfn.XLOOKUP(AE20,'Vic colour ref'!$A$2:$A$5,'Vic colour ref'!$D$2:$D$5,"")</f>
        <v>00</v>
      </c>
      <c r="BM20" s="2" t="str">
        <f>_xlfn.XLOOKUP(AF20,'Vic colour ref'!$A$2:$A$5,'Vic colour ref'!$D$2:$D$5,"")</f>
        <v>00</v>
      </c>
      <c r="BO20" s="18" t="str">
        <f t="shared" si="1"/>
        <v>00000000</v>
      </c>
      <c r="BP20" s="18" t="str">
        <f t="shared" si="2"/>
        <v>00001111</v>
      </c>
      <c r="BQ20" s="18" t="str">
        <f t="shared" si="3"/>
        <v>11111111</v>
      </c>
      <c r="BR20" s="18" t="str">
        <f t="shared" si="4"/>
        <v>00000000</v>
      </c>
      <c r="BS20" s="18" t="str">
        <f t="shared" si="5"/>
        <v>00000000</v>
      </c>
      <c r="BT20" s="18" t="str">
        <f t="shared" si="6"/>
        <v>00000000</v>
      </c>
      <c r="BU20" s="18" t="str">
        <f t="shared" si="7"/>
        <v>00000000</v>
      </c>
      <c r="BV20" s="18" t="str">
        <f t="shared" si="8"/>
        <v>00000000</v>
      </c>
      <c r="BX20" s="21" t="str">
        <f t="shared" si="9"/>
        <v>00</v>
      </c>
      <c r="BY20" s="21" t="str">
        <f t="shared" si="10"/>
        <v>0F</v>
      </c>
      <c r="BZ20" s="21" t="str">
        <f t="shared" si="11"/>
        <v>FF</v>
      </c>
      <c r="CA20" s="21" t="str">
        <f t="shared" si="11"/>
        <v>00</v>
      </c>
      <c r="CB20" s="21" t="str">
        <f t="shared" si="11"/>
        <v>00</v>
      </c>
      <c r="CC20" s="24" t="str">
        <f t="shared" si="11"/>
        <v>00</v>
      </c>
      <c r="CD20" s="21" t="str">
        <f t="shared" si="14"/>
        <v>00</v>
      </c>
      <c r="CE20" s="24" t="str">
        <f t="shared" si="12"/>
        <v>00</v>
      </c>
      <c r="CG20" s="2" t="str" cm="1">
        <f t="array" ref="CG20:CN20">TRANSPOSE(CA17:CA24)</f>
        <v>FC</v>
      </c>
      <c r="CH20" s="2" t="str">
        <v>00</v>
      </c>
      <c r="CI20" s="2" t="str">
        <v>00</v>
      </c>
      <c r="CJ20" s="2" t="str">
        <v>00</v>
      </c>
      <c r="CK20" s="2" t="str">
        <v>54</v>
      </c>
      <c r="CL20" s="2" t="str">
        <v>54</v>
      </c>
      <c r="CM20" s="2" t="str">
        <v>54</v>
      </c>
      <c r="CN20" s="2" t="str">
        <v>01</v>
      </c>
      <c r="CP20" s="4" t="str">
        <f t="shared" si="13"/>
        <v>!byte $fc, $00, $00, $00, $54, $54, $54, $01</v>
      </c>
    </row>
    <row r="21" spans="1:94" x14ac:dyDescent="0.3">
      <c r="A21" s="2">
        <v>0</v>
      </c>
      <c r="B21" s="2">
        <v>0</v>
      </c>
      <c r="C21" s="2">
        <v>0</v>
      </c>
      <c r="D21" s="2">
        <v>1</v>
      </c>
      <c r="E21" s="2">
        <v>1</v>
      </c>
      <c r="F21" s="2">
        <v>1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1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3</v>
      </c>
      <c r="Z21" s="2">
        <v>3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H21" s="2" t="str">
        <f>_xlfn.XLOOKUP(A21,'Vic colour ref'!$A$2:$A$5,'Vic colour ref'!$D$2:$D$5,"")</f>
        <v>00</v>
      </c>
      <c r="AI21" s="2" t="str">
        <f>_xlfn.XLOOKUP(B21,'Vic colour ref'!$A$2:$A$5,'Vic colour ref'!$D$2:$D$5,"")</f>
        <v>00</v>
      </c>
      <c r="AJ21" s="2" t="str">
        <f>_xlfn.XLOOKUP(C21,'Vic colour ref'!$A$2:$A$5,'Vic colour ref'!$D$2:$D$5,"")</f>
        <v>00</v>
      </c>
      <c r="AK21" s="2" t="str">
        <f>_xlfn.XLOOKUP(D21,'Vic colour ref'!$A$2:$A$5,'Vic colour ref'!$D$2:$D$5,"")</f>
        <v>01</v>
      </c>
      <c r="AL21" s="2" t="str">
        <f>_xlfn.XLOOKUP(E21,'Vic colour ref'!$A$2:$A$5,'Vic colour ref'!$D$2:$D$5,"")</f>
        <v>01</v>
      </c>
      <c r="AM21" s="2" t="str">
        <f>_xlfn.XLOOKUP(F21,'Vic colour ref'!$A$2:$A$5,'Vic colour ref'!$D$2:$D$5,"")</f>
        <v>01</v>
      </c>
      <c r="AN21" s="2">
        <f>_xlfn.XLOOKUP(G21,'Vic colour ref'!$A$2:$A$5,'Vic colour ref'!$D$2:$D$5,"")</f>
        <v>10</v>
      </c>
      <c r="AO21" s="2">
        <f>_xlfn.XLOOKUP(H21,'Vic colour ref'!$A$2:$A$5,'Vic colour ref'!$D$2:$D$5,"")</f>
        <v>10</v>
      </c>
      <c r="AP21" s="2">
        <f>_xlfn.XLOOKUP(I21,'Vic colour ref'!$A$2:$A$5,'Vic colour ref'!$D$2:$D$5,"")</f>
        <v>10</v>
      </c>
      <c r="AQ21" s="2">
        <f>_xlfn.XLOOKUP(J21,'Vic colour ref'!$A$2:$A$5,'Vic colour ref'!$D$2:$D$5,"")</f>
        <v>10</v>
      </c>
      <c r="AR21" s="2">
        <f>_xlfn.XLOOKUP(K21,'Vic colour ref'!$A$2:$A$5,'Vic colour ref'!$D$2:$D$5,"")</f>
        <v>10</v>
      </c>
      <c r="AS21" s="2">
        <f>_xlfn.XLOOKUP(L21,'Vic colour ref'!$A$2:$A$5,'Vic colour ref'!$D$2:$D$5,"")</f>
        <v>10</v>
      </c>
      <c r="AT21" s="2" t="str">
        <f>_xlfn.XLOOKUP(M21,'Vic colour ref'!$A$2:$A$5,'Vic colour ref'!$D$2:$D$5,"")</f>
        <v>01</v>
      </c>
      <c r="AU21" s="2" t="str">
        <f>_xlfn.XLOOKUP(N21,'Vic colour ref'!$A$2:$A$5,'Vic colour ref'!$D$2:$D$5,"")</f>
        <v>01</v>
      </c>
      <c r="AV21" s="2" t="str">
        <f>_xlfn.XLOOKUP(O21,'Vic colour ref'!$A$2:$A$5,'Vic colour ref'!$D$2:$D$5,"")</f>
        <v>01</v>
      </c>
      <c r="AW21" s="2" t="str">
        <f>_xlfn.XLOOKUP(P21,'Vic colour ref'!$A$2:$A$5,'Vic colour ref'!$D$2:$D$5,"")</f>
        <v>00</v>
      </c>
      <c r="AX21" s="2" t="str">
        <f>_xlfn.XLOOKUP(Q21,'Vic colour ref'!$A$2:$A$5,'Vic colour ref'!$D$2:$D$5,"")</f>
        <v>00</v>
      </c>
      <c r="AY21" s="2" t="str">
        <f>_xlfn.XLOOKUP(R21,'Vic colour ref'!$A$2:$A$5,'Vic colour ref'!$D$2:$D$5,"")</f>
        <v>00</v>
      </c>
      <c r="AZ21" s="2" t="str">
        <f>_xlfn.XLOOKUP(S21,'Vic colour ref'!$A$2:$A$5,'Vic colour ref'!$D$2:$D$5,"")</f>
        <v>00</v>
      </c>
      <c r="BA21" s="2" t="str">
        <f>_xlfn.XLOOKUP(T21,'Vic colour ref'!$A$2:$A$5,'Vic colour ref'!$D$2:$D$5,"")</f>
        <v>00</v>
      </c>
      <c r="BB21" s="2" t="str">
        <f>_xlfn.XLOOKUP(U21,'Vic colour ref'!$A$2:$A$5,'Vic colour ref'!$D$2:$D$5,"")</f>
        <v>00</v>
      </c>
      <c r="BC21" s="2" t="str">
        <f>_xlfn.XLOOKUP(V21,'Vic colour ref'!$A$2:$A$5,'Vic colour ref'!$D$2:$D$5,"")</f>
        <v>00</v>
      </c>
      <c r="BD21" s="2" t="str">
        <f>_xlfn.XLOOKUP(W21,'Vic colour ref'!$A$2:$A$5,'Vic colour ref'!$D$2:$D$5,"")</f>
        <v>00</v>
      </c>
      <c r="BE21" s="2" t="str">
        <f>_xlfn.XLOOKUP(X21,'Vic colour ref'!$A$2:$A$5,'Vic colour ref'!$D$2:$D$5,"")</f>
        <v>00</v>
      </c>
      <c r="BF21" s="2">
        <f>_xlfn.XLOOKUP(Y21,'Vic colour ref'!$A$2:$A$5,'Vic colour ref'!$D$2:$D$5,"")</f>
        <v>11</v>
      </c>
      <c r="BG21" s="2">
        <f>_xlfn.XLOOKUP(Z21,'Vic colour ref'!$A$2:$A$5,'Vic colour ref'!$D$2:$D$5,"")</f>
        <v>11</v>
      </c>
      <c r="BH21" s="2" t="str">
        <f>_xlfn.XLOOKUP(AA21,'Vic colour ref'!$A$2:$A$5,'Vic colour ref'!$D$2:$D$5,"")</f>
        <v>00</v>
      </c>
      <c r="BI21" s="2" t="str">
        <f>_xlfn.XLOOKUP(AB21,'Vic colour ref'!$A$2:$A$5,'Vic colour ref'!$D$2:$D$5,"")</f>
        <v>00</v>
      </c>
      <c r="BJ21" s="2" t="str">
        <f>_xlfn.XLOOKUP(AC21,'Vic colour ref'!$A$2:$A$5,'Vic colour ref'!$D$2:$D$5,"")</f>
        <v>00</v>
      </c>
      <c r="BK21" s="2" t="str">
        <f>_xlfn.XLOOKUP(AD21,'Vic colour ref'!$A$2:$A$5,'Vic colour ref'!$D$2:$D$5,"")</f>
        <v>00</v>
      </c>
      <c r="BL21" s="2" t="str">
        <f>_xlfn.XLOOKUP(AE21,'Vic colour ref'!$A$2:$A$5,'Vic colour ref'!$D$2:$D$5,"")</f>
        <v>00</v>
      </c>
      <c r="BM21" s="2" t="str">
        <f>_xlfn.XLOOKUP(AF21,'Vic colour ref'!$A$2:$A$5,'Vic colour ref'!$D$2:$D$5,"")</f>
        <v>00</v>
      </c>
      <c r="BO21" s="18" t="str">
        <f t="shared" si="1"/>
        <v>00000001</v>
      </c>
      <c r="BP21" s="18" t="str">
        <f t="shared" si="2"/>
        <v>01011010</v>
      </c>
      <c r="BQ21" s="18" t="str">
        <f t="shared" si="3"/>
        <v>10101010</v>
      </c>
      <c r="BR21" s="18" t="str">
        <f t="shared" si="4"/>
        <v>01010100</v>
      </c>
      <c r="BS21" s="18" t="str">
        <f t="shared" si="5"/>
        <v>00000000</v>
      </c>
      <c r="BT21" s="18" t="str">
        <f t="shared" si="6"/>
        <v>00000000</v>
      </c>
      <c r="BU21" s="18" t="str">
        <f t="shared" si="7"/>
        <v>11110000</v>
      </c>
      <c r="BV21" s="18" t="str">
        <f t="shared" si="8"/>
        <v>00000000</v>
      </c>
      <c r="BX21" s="21" t="str">
        <f t="shared" si="9"/>
        <v>01</v>
      </c>
      <c r="BY21" s="21" t="str">
        <f t="shared" si="10"/>
        <v>5A</v>
      </c>
      <c r="BZ21" s="21" t="str">
        <f t="shared" si="11"/>
        <v>AA</v>
      </c>
      <c r="CA21" s="21" t="str">
        <f t="shared" si="11"/>
        <v>54</v>
      </c>
      <c r="CB21" s="21" t="str">
        <f t="shared" si="11"/>
        <v>00</v>
      </c>
      <c r="CC21" s="24" t="str">
        <f t="shared" si="11"/>
        <v>00</v>
      </c>
      <c r="CD21" s="21" t="str">
        <f t="shared" si="14"/>
        <v>F0</v>
      </c>
      <c r="CE21" s="24" t="str">
        <f t="shared" si="12"/>
        <v>00</v>
      </c>
      <c r="CG21" s="2" t="str" cm="1">
        <f t="array" ref="CG21:CN21">TRANSPOSE(CB17:CB24)</f>
        <v>00</v>
      </c>
      <c r="CH21" s="2" t="str">
        <v>00</v>
      </c>
      <c r="CI21" s="2" t="str">
        <v>00</v>
      </c>
      <c r="CJ21" s="2" t="str">
        <v>00</v>
      </c>
      <c r="CK21" s="2" t="str">
        <v>00</v>
      </c>
      <c r="CL21" s="2" t="str">
        <v>00</v>
      </c>
      <c r="CM21" s="2" t="str">
        <v>00</v>
      </c>
      <c r="CN21" s="2" t="str">
        <v>50</v>
      </c>
      <c r="CP21" s="4" t="str">
        <f t="shared" si="13"/>
        <v>!byte $00, $00, $00, $00, $00, $00, $00, $50</v>
      </c>
    </row>
    <row r="22" spans="1:94" x14ac:dyDescent="0.3">
      <c r="A22" s="2">
        <v>0</v>
      </c>
      <c r="B22" s="2">
        <v>0</v>
      </c>
      <c r="C22" s="2">
        <v>0</v>
      </c>
      <c r="D22" s="2">
        <v>1</v>
      </c>
      <c r="E22" s="2">
        <v>1</v>
      </c>
      <c r="F22" s="2">
        <v>1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1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3</v>
      </c>
      <c r="Z22" s="2">
        <v>3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H22" s="2" t="str">
        <f>_xlfn.XLOOKUP(A22,'Vic colour ref'!$A$2:$A$5,'Vic colour ref'!$D$2:$D$5,"")</f>
        <v>00</v>
      </c>
      <c r="AI22" s="2" t="str">
        <f>_xlfn.XLOOKUP(B22,'Vic colour ref'!$A$2:$A$5,'Vic colour ref'!$D$2:$D$5,"")</f>
        <v>00</v>
      </c>
      <c r="AJ22" s="2" t="str">
        <f>_xlfn.XLOOKUP(C22,'Vic colour ref'!$A$2:$A$5,'Vic colour ref'!$D$2:$D$5,"")</f>
        <v>00</v>
      </c>
      <c r="AK22" s="2" t="str">
        <f>_xlfn.XLOOKUP(D22,'Vic colour ref'!$A$2:$A$5,'Vic colour ref'!$D$2:$D$5,"")</f>
        <v>01</v>
      </c>
      <c r="AL22" s="2" t="str">
        <f>_xlfn.XLOOKUP(E22,'Vic colour ref'!$A$2:$A$5,'Vic colour ref'!$D$2:$D$5,"")</f>
        <v>01</v>
      </c>
      <c r="AM22" s="2" t="str">
        <f>_xlfn.XLOOKUP(F22,'Vic colour ref'!$A$2:$A$5,'Vic colour ref'!$D$2:$D$5,"")</f>
        <v>01</v>
      </c>
      <c r="AN22" s="2">
        <f>_xlfn.XLOOKUP(G22,'Vic colour ref'!$A$2:$A$5,'Vic colour ref'!$D$2:$D$5,"")</f>
        <v>10</v>
      </c>
      <c r="AO22" s="2">
        <f>_xlfn.XLOOKUP(H22,'Vic colour ref'!$A$2:$A$5,'Vic colour ref'!$D$2:$D$5,"")</f>
        <v>10</v>
      </c>
      <c r="AP22" s="2">
        <f>_xlfn.XLOOKUP(I22,'Vic colour ref'!$A$2:$A$5,'Vic colour ref'!$D$2:$D$5,"")</f>
        <v>10</v>
      </c>
      <c r="AQ22" s="2">
        <f>_xlfn.XLOOKUP(J22,'Vic colour ref'!$A$2:$A$5,'Vic colour ref'!$D$2:$D$5,"")</f>
        <v>10</v>
      </c>
      <c r="AR22" s="2">
        <f>_xlfn.XLOOKUP(K22,'Vic colour ref'!$A$2:$A$5,'Vic colour ref'!$D$2:$D$5,"")</f>
        <v>10</v>
      </c>
      <c r="AS22" s="2">
        <f>_xlfn.XLOOKUP(L22,'Vic colour ref'!$A$2:$A$5,'Vic colour ref'!$D$2:$D$5,"")</f>
        <v>10</v>
      </c>
      <c r="AT22" s="2" t="str">
        <f>_xlfn.XLOOKUP(M22,'Vic colour ref'!$A$2:$A$5,'Vic colour ref'!$D$2:$D$5,"")</f>
        <v>01</v>
      </c>
      <c r="AU22" s="2" t="str">
        <f>_xlfn.XLOOKUP(N22,'Vic colour ref'!$A$2:$A$5,'Vic colour ref'!$D$2:$D$5,"")</f>
        <v>01</v>
      </c>
      <c r="AV22" s="2" t="str">
        <f>_xlfn.XLOOKUP(O22,'Vic colour ref'!$A$2:$A$5,'Vic colour ref'!$D$2:$D$5,"")</f>
        <v>01</v>
      </c>
      <c r="AW22" s="2" t="str">
        <f>_xlfn.XLOOKUP(P22,'Vic colour ref'!$A$2:$A$5,'Vic colour ref'!$D$2:$D$5,"")</f>
        <v>00</v>
      </c>
      <c r="AX22" s="2" t="str">
        <f>_xlfn.XLOOKUP(Q22,'Vic colour ref'!$A$2:$A$5,'Vic colour ref'!$D$2:$D$5,"")</f>
        <v>00</v>
      </c>
      <c r="AY22" s="2" t="str">
        <f>_xlfn.XLOOKUP(R22,'Vic colour ref'!$A$2:$A$5,'Vic colour ref'!$D$2:$D$5,"")</f>
        <v>00</v>
      </c>
      <c r="AZ22" s="2" t="str">
        <f>_xlfn.XLOOKUP(S22,'Vic colour ref'!$A$2:$A$5,'Vic colour ref'!$D$2:$D$5,"")</f>
        <v>00</v>
      </c>
      <c r="BA22" s="2" t="str">
        <f>_xlfn.XLOOKUP(T22,'Vic colour ref'!$A$2:$A$5,'Vic colour ref'!$D$2:$D$5,"")</f>
        <v>00</v>
      </c>
      <c r="BB22" s="2" t="str">
        <f>_xlfn.XLOOKUP(U22,'Vic colour ref'!$A$2:$A$5,'Vic colour ref'!$D$2:$D$5,"")</f>
        <v>00</v>
      </c>
      <c r="BC22" s="2" t="str">
        <f>_xlfn.XLOOKUP(V22,'Vic colour ref'!$A$2:$A$5,'Vic colour ref'!$D$2:$D$5,"")</f>
        <v>00</v>
      </c>
      <c r="BD22" s="2" t="str">
        <f>_xlfn.XLOOKUP(W22,'Vic colour ref'!$A$2:$A$5,'Vic colour ref'!$D$2:$D$5,"")</f>
        <v>00</v>
      </c>
      <c r="BE22" s="2" t="str">
        <f>_xlfn.XLOOKUP(X22,'Vic colour ref'!$A$2:$A$5,'Vic colour ref'!$D$2:$D$5,"")</f>
        <v>00</v>
      </c>
      <c r="BF22" s="2">
        <f>_xlfn.XLOOKUP(Y22,'Vic colour ref'!$A$2:$A$5,'Vic colour ref'!$D$2:$D$5,"")</f>
        <v>11</v>
      </c>
      <c r="BG22" s="2">
        <f>_xlfn.XLOOKUP(Z22,'Vic colour ref'!$A$2:$A$5,'Vic colour ref'!$D$2:$D$5,"")</f>
        <v>11</v>
      </c>
      <c r="BH22" s="2" t="str">
        <f>_xlfn.XLOOKUP(AA22,'Vic colour ref'!$A$2:$A$5,'Vic colour ref'!$D$2:$D$5,"")</f>
        <v>00</v>
      </c>
      <c r="BI22" s="2" t="str">
        <f>_xlfn.XLOOKUP(AB22,'Vic colour ref'!$A$2:$A$5,'Vic colour ref'!$D$2:$D$5,"")</f>
        <v>00</v>
      </c>
      <c r="BJ22" s="2" t="str">
        <f>_xlfn.XLOOKUP(AC22,'Vic colour ref'!$A$2:$A$5,'Vic colour ref'!$D$2:$D$5,"")</f>
        <v>00</v>
      </c>
      <c r="BK22" s="2" t="str">
        <f>_xlfn.XLOOKUP(AD22,'Vic colour ref'!$A$2:$A$5,'Vic colour ref'!$D$2:$D$5,"")</f>
        <v>00</v>
      </c>
      <c r="BL22" s="2" t="str">
        <f>_xlfn.XLOOKUP(AE22,'Vic colour ref'!$A$2:$A$5,'Vic colour ref'!$D$2:$D$5,"")</f>
        <v>00</v>
      </c>
      <c r="BM22" s="2" t="str">
        <f>_xlfn.XLOOKUP(AF22,'Vic colour ref'!$A$2:$A$5,'Vic colour ref'!$D$2:$D$5,"")</f>
        <v>00</v>
      </c>
      <c r="BO22" s="18" t="str">
        <f t="shared" si="1"/>
        <v>00000001</v>
      </c>
      <c r="BP22" s="18" t="str">
        <f t="shared" si="2"/>
        <v>01011010</v>
      </c>
      <c r="BQ22" s="18" t="str">
        <f t="shared" si="3"/>
        <v>10101010</v>
      </c>
      <c r="BR22" s="18" t="str">
        <f t="shared" si="4"/>
        <v>01010100</v>
      </c>
      <c r="BS22" s="18" t="str">
        <f t="shared" si="5"/>
        <v>00000000</v>
      </c>
      <c r="BT22" s="18" t="str">
        <f t="shared" si="6"/>
        <v>00000000</v>
      </c>
      <c r="BU22" s="18" t="str">
        <f t="shared" si="7"/>
        <v>11110000</v>
      </c>
      <c r="BV22" s="18" t="str">
        <f t="shared" si="8"/>
        <v>00000000</v>
      </c>
      <c r="BX22" s="21" t="str">
        <f t="shared" si="9"/>
        <v>01</v>
      </c>
      <c r="BY22" s="21" t="str">
        <f t="shared" si="10"/>
        <v>5A</v>
      </c>
      <c r="BZ22" s="21" t="str">
        <f t="shared" si="11"/>
        <v>AA</v>
      </c>
      <c r="CA22" s="21" t="str">
        <f t="shared" si="11"/>
        <v>54</v>
      </c>
      <c r="CB22" s="21" t="str">
        <f t="shared" si="11"/>
        <v>00</v>
      </c>
      <c r="CC22" s="24" t="str">
        <f t="shared" si="11"/>
        <v>00</v>
      </c>
      <c r="CD22" s="21" t="str">
        <f t="shared" si="14"/>
        <v>F0</v>
      </c>
      <c r="CE22" s="24" t="str">
        <f t="shared" si="12"/>
        <v>00</v>
      </c>
      <c r="CG22" s="2" t="str" cm="1">
        <f t="array" ref="CG22:CN22">TRANSPOSE(CC17:CC24)</f>
        <v>00</v>
      </c>
      <c r="CH22" s="2" t="str">
        <v>00</v>
      </c>
      <c r="CI22" s="2" t="str">
        <v>00</v>
      </c>
      <c r="CJ22" s="2" t="str">
        <v>00</v>
      </c>
      <c r="CK22" s="2" t="str">
        <v>00</v>
      </c>
      <c r="CL22" s="2" t="str">
        <v>00</v>
      </c>
      <c r="CM22" s="2" t="str">
        <v>00</v>
      </c>
      <c r="CN22" s="2" t="str">
        <v>00</v>
      </c>
      <c r="CP22" s="4" t="str">
        <f t="shared" si="13"/>
        <v>!byte $00, $00, $00, $00, $00, $00, $00, $00</v>
      </c>
    </row>
    <row r="23" spans="1:94" x14ac:dyDescent="0.3">
      <c r="A23" s="2">
        <v>0</v>
      </c>
      <c r="B23" s="2">
        <v>0</v>
      </c>
      <c r="C23" s="2">
        <v>0</v>
      </c>
      <c r="D23" s="2">
        <v>1</v>
      </c>
      <c r="E23" s="2">
        <v>1</v>
      </c>
      <c r="F23" s="2">
        <v>1</v>
      </c>
      <c r="G23" s="2">
        <v>2</v>
      </c>
      <c r="H23" s="2">
        <v>2</v>
      </c>
      <c r="I23" s="2">
        <v>2</v>
      </c>
      <c r="J23" s="2">
        <v>2</v>
      </c>
      <c r="K23" s="2">
        <v>2</v>
      </c>
      <c r="L23" s="2">
        <v>2</v>
      </c>
      <c r="M23" s="2">
        <v>1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3</v>
      </c>
      <c r="Z23" s="2">
        <v>3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H23" s="2" t="str">
        <f>_xlfn.XLOOKUP(A23,'Vic colour ref'!$A$2:$A$5,'Vic colour ref'!$D$2:$D$5,"")</f>
        <v>00</v>
      </c>
      <c r="AI23" s="2" t="str">
        <f>_xlfn.XLOOKUP(B23,'Vic colour ref'!$A$2:$A$5,'Vic colour ref'!$D$2:$D$5,"")</f>
        <v>00</v>
      </c>
      <c r="AJ23" s="2" t="str">
        <f>_xlfn.XLOOKUP(C23,'Vic colour ref'!$A$2:$A$5,'Vic colour ref'!$D$2:$D$5,"")</f>
        <v>00</v>
      </c>
      <c r="AK23" s="2" t="str">
        <f>_xlfn.XLOOKUP(D23,'Vic colour ref'!$A$2:$A$5,'Vic colour ref'!$D$2:$D$5,"")</f>
        <v>01</v>
      </c>
      <c r="AL23" s="2" t="str">
        <f>_xlfn.XLOOKUP(E23,'Vic colour ref'!$A$2:$A$5,'Vic colour ref'!$D$2:$D$5,"")</f>
        <v>01</v>
      </c>
      <c r="AM23" s="2" t="str">
        <f>_xlfn.XLOOKUP(F23,'Vic colour ref'!$A$2:$A$5,'Vic colour ref'!$D$2:$D$5,"")</f>
        <v>01</v>
      </c>
      <c r="AN23" s="2">
        <f>_xlfn.XLOOKUP(G23,'Vic colour ref'!$A$2:$A$5,'Vic colour ref'!$D$2:$D$5,"")</f>
        <v>10</v>
      </c>
      <c r="AO23" s="2">
        <f>_xlfn.XLOOKUP(H23,'Vic colour ref'!$A$2:$A$5,'Vic colour ref'!$D$2:$D$5,"")</f>
        <v>10</v>
      </c>
      <c r="AP23" s="2">
        <f>_xlfn.XLOOKUP(I23,'Vic colour ref'!$A$2:$A$5,'Vic colour ref'!$D$2:$D$5,"")</f>
        <v>10</v>
      </c>
      <c r="AQ23" s="2">
        <f>_xlfn.XLOOKUP(J23,'Vic colour ref'!$A$2:$A$5,'Vic colour ref'!$D$2:$D$5,"")</f>
        <v>10</v>
      </c>
      <c r="AR23" s="2">
        <f>_xlfn.XLOOKUP(K23,'Vic colour ref'!$A$2:$A$5,'Vic colour ref'!$D$2:$D$5,"")</f>
        <v>10</v>
      </c>
      <c r="AS23" s="2">
        <f>_xlfn.XLOOKUP(L23,'Vic colour ref'!$A$2:$A$5,'Vic colour ref'!$D$2:$D$5,"")</f>
        <v>10</v>
      </c>
      <c r="AT23" s="2" t="str">
        <f>_xlfn.XLOOKUP(M23,'Vic colour ref'!$A$2:$A$5,'Vic colour ref'!$D$2:$D$5,"")</f>
        <v>01</v>
      </c>
      <c r="AU23" s="2" t="str">
        <f>_xlfn.XLOOKUP(N23,'Vic colour ref'!$A$2:$A$5,'Vic colour ref'!$D$2:$D$5,"")</f>
        <v>01</v>
      </c>
      <c r="AV23" s="2" t="str">
        <f>_xlfn.XLOOKUP(O23,'Vic colour ref'!$A$2:$A$5,'Vic colour ref'!$D$2:$D$5,"")</f>
        <v>01</v>
      </c>
      <c r="AW23" s="2" t="str">
        <f>_xlfn.XLOOKUP(P23,'Vic colour ref'!$A$2:$A$5,'Vic colour ref'!$D$2:$D$5,"")</f>
        <v>00</v>
      </c>
      <c r="AX23" s="2" t="str">
        <f>_xlfn.XLOOKUP(Q23,'Vic colour ref'!$A$2:$A$5,'Vic colour ref'!$D$2:$D$5,"")</f>
        <v>00</v>
      </c>
      <c r="AY23" s="2" t="str">
        <f>_xlfn.XLOOKUP(R23,'Vic colour ref'!$A$2:$A$5,'Vic colour ref'!$D$2:$D$5,"")</f>
        <v>00</v>
      </c>
      <c r="AZ23" s="2" t="str">
        <f>_xlfn.XLOOKUP(S23,'Vic colour ref'!$A$2:$A$5,'Vic colour ref'!$D$2:$D$5,"")</f>
        <v>00</v>
      </c>
      <c r="BA23" s="2" t="str">
        <f>_xlfn.XLOOKUP(T23,'Vic colour ref'!$A$2:$A$5,'Vic colour ref'!$D$2:$D$5,"")</f>
        <v>00</v>
      </c>
      <c r="BB23" s="2" t="str">
        <f>_xlfn.XLOOKUP(U23,'Vic colour ref'!$A$2:$A$5,'Vic colour ref'!$D$2:$D$5,"")</f>
        <v>00</v>
      </c>
      <c r="BC23" s="2" t="str">
        <f>_xlfn.XLOOKUP(V23,'Vic colour ref'!$A$2:$A$5,'Vic colour ref'!$D$2:$D$5,"")</f>
        <v>00</v>
      </c>
      <c r="BD23" s="2" t="str">
        <f>_xlfn.XLOOKUP(W23,'Vic colour ref'!$A$2:$A$5,'Vic colour ref'!$D$2:$D$5,"")</f>
        <v>00</v>
      </c>
      <c r="BE23" s="2" t="str">
        <f>_xlfn.XLOOKUP(X23,'Vic colour ref'!$A$2:$A$5,'Vic colour ref'!$D$2:$D$5,"")</f>
        <v>00</v>
      </c>
      <c r="BF23" s="2">
        <f>_xlfn.XLOOKUP(Y23,'Vic colour ref'!$A$2:$A$5,'Vic colour ref'!$D$2:$D$5,"")</f>
        <v>11</v>
      </c>
      <c r="BG23" s="2">
        <f>_xlfn.XLOOKUP(Z23,'Vic colour ref'!$A$2:$A$5,'Vic colour ref'!$D$2:$D$5,"")</f>
        <v>11</v>
      </c>
      <c r="BH23" s="2" t="str">
        <f>_xlfn.XLOOKUP(AA23,'Vic colour ref'!$A$2:$A$5,'Vic colour ref'!$D$2:$D$5,"")</f>
        <v>00</v>
      </c>
      <c r="BI23" s="2" t="str">
        <f>_xlfn.XLOOKUP(AB23,'Vic colour ref'!$A$2:$A$5,'Vic colour ref'!$D$2:$D$5,"")</f>
        <v>00</v>
      </c>
      <c r="BJ23" s="2" t="str">
        <f>_xlfn.XLOOKUP(AC23,'Vic colour ref'!$A$2:$A$5,'Vic colour ref'!$D$2:$D$5,"")</f>
        <v>00</v>
      </c>
      <c r="BK23" s="2" t="str">
        <f>_xlfn.XLOOKUP(AD23,'Vic colour ref'!$A$2:$A$5,'Vic colour ref'!$D$2:$D$5,"")</f>
        <v>00</v>
      </c>
      <c r="BL23" s="2" t="str">
        <f>_xlfn.XLOOKUP(AE23,'Vic colour ref'!$A$2:$A$5,'Vic colour ref'!$D$2:$D$5,"")</f>
        <v>00</v>
      </c>
      <c r="BM23" s="2" t="str">
        <f>_xlfn.XLOOKUP(AF23,'Vic colour ref'!$A$2:$A$5,'Vic colour ref'!$D$2:$D$5,"")</f>
        <v>00</v>
      </c>
      <c r="BO23" s="18" t="str">
        <f t="shared" si="1"/>
        <v>00000001</v>
      </c>
      <c r="BP23" s="18" t="str">
        <f t="shared" si="2"/>
        <v>01011010</v>
      </c>
      <c r="BQ23" s="18" t="str">
        <f t="shared" si="3"/>
        <v>10101010</v>
      </c>
      <c r="BR23" s="18" t="str">
        <f t="shared" si="4"/>
        <v>01010100</v>
      </c>
      <c r="BS23" s="18" t="str">
        <f t="shared" si="5"/>
        <v>00000000</v>
      </c>
      <c r="BT23" s="18" t="str">
        <f t="shared" si="6"/>
        <v>00000000</v>
      </c>
      <c r="BU23" s="18" t="str">
        <f t="shared" si="7"/>
        <v>11110000</v>
      </c>
      <c r="BV23" s="18" t="str">
        <f t="shared" si="8"/>
        <v>00000000</v>
      </c>
      <c r="BX23" s="21" t="str">
        <f t="shared" si="9"/>
        <v>01</v>
      </c>
      <c r="BY23" s="21" t="str">
        <f t="shared" si="10"/>
        <v>5A</v>
      </c>
      <c r="BZ23" s="21" t="str">
        <f t="shared" si="11"/>
        <v>AA</v>
      </c>
      <c r="CA23" s="21" t="str">
        <f t="shared" si="11"/>
        <v>54</v>
      </c>
      <c r="CB23" s="21" t="str">
        <f t="shared" si="11"/>
        <v>00</v>
      </c>
      <c r="CC23" s="24" t="str">
        <f t="shared" si="11"/>
        <v>00</v>
      </c>
      <c r="CD23" s="21" t="str">
        <f t="shared" si="14"/>
        <v>F0</v>
      </c>
      <c r="CE23" s="24" t="str">
        <f t="shared" si="12"/>
        <v>00</v>
      </c>
      <c r="CG23" s="2" t="str" cm="1">
        <f t="array" ref="CG23:CN23">TRANSPOSE(CD17:CD24)</f>
        <v>00</v>
      </c>
      <c r="CH23" s="2" t="str">
        <v>00</v>
      </c>
      <c r="CI23" s="2" t="str">
        <v>00</v>
      </c>
      <c r="CJ23" s="2" t="str">
        <v>00</v>
      </c>
      <c r="CK23" s="2" t="str">
        <v>F0</v>
      </c>
      <c r="CL23" s="2" t="str">
        <v>F0</v>
      </c>
      <c r="CM23" s="2" t="str">
        <v>F0</v>
      </c>
      <c r="CN23" s="2" t="str">
        <v>F0</v>
      </c>
      <c r="CP23" s="4" t="str">
        <f t="shared" si="13"/>
        <v>!byte $00, $00, $00, $00, $f0, $f0, $f0, $f0</v>
      </c>
    </row>
    <row r="24" spans="1:94" x14ac:dyDescent="0.3">
      <c r="A24" s="2">
        <v>1</v>
      </c>
      <c r="B24" s="2">
        <v>1</v>
      </c>
      <c r="C24" s="2">
        <v>1</v>
      </c>
      <c r="D24" s="2">
        <v>0</v>
      </c>
      <c r="E24" s="2">
        <v>0</v>
      </c>
      <c r="F24" s="2">
        <v>0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3</v>
      </c>
      <c r="Z24" s="2">
        <v>3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H24" s="2" t="str">
        <f>_xlfn.XLOOKUP(A24,'Vic colour ref'!$A$2:$A$5,'Vic colour ref'!$D$2:$D$5,"")</f>
        <v>01</v>
      </c>
      <c r="AI24" s="2" t="str">
        <f>_xlfn.XLOOKUP(B24,'Vic colour ref'!$A$2:$A$5,'Vic colour ref'!$D$2:$D$5,"")</f>
        <v>01</v>
      </c>
      <c r="AJ24" s="2" t="str">
        <f>_xlfn.XLOOKUP(C24,'Vic colour ref'!$A$2:$A$5,'Vic colour ref'!$D$2:$D$5,"")</f>
        <v>01</v>
      </c>
      <c r="AK24" s="2" t="str">
        <f>_xlfn.XLOOKUP(D24,'Vic colour ref'!$A$2:$A$5,'Vic colour ref'!$D$2:$D$5,"")</f>
        <v>00</v>
      </c>
      <c r="AL24" s="2" t="str">
        <f>_xlfn.XLOOKUP(E24,'Vic colour ref'!$A$2:$A$5,'Vic colour ref'!$D$2:$D$5,"")</f>
        <v>00</v>
      </c>
      <c r="AM24" s="2" t="str">
        <f>_xlfn.XLOOKUP(F24,'Vic colour ref'!$A$2:$A$5,'Vic colour ref'!$D$2:$D$5,"")</f>
        <v>00</v>
      </c>
      <c r="AN24" s="2" t="str">
        <f>_xlfn.XLOOKUP(G24,'Vic colour ref'!$A$2:$A$5,'Vic colour ref'!$D$2:$D$5,"")</f>
        <v>01</v>
      </c>
      <c r="AO24" s="2" t="str">
        <f>_xlfn.XLOOKUP(H24,'Vic colour ref'!$A$2:$A$5,'Vic colour ref'!$D$2:$D$5,"")</f>
        <v>01</v>
      </c>
      <c r="AP24" s="2" t="str">
        <f>_xlfn.XLOOKUP(I24,'Vic colour ref'!$A$2:$A$5,'Vic colour ref'!$D$2:$D$5,"")</f>
        <v>01</v>
      </c>
      <c r="AQ24" s="2" t="str">
        <f>_xlfn.XLOOKUP(J24,'Vic colour ref'!$A$2:$A$5,'Vic colour ref'!$D$2:$D$5,"")</f>
        <v>01</v>
      </c>
      <c r="AR24" s="2" t="str">
        <f>_xlfn.XLOOKUP(K24,'Vic colour ref'!$A$2:$A$5,'Vic colour ref'!$D$2:$D$5,"")</f>
        <v>01</v>
      </c>
      <c r="AS24" s="2" t="str">
        <f>_xlfn.XLOOKUP(L24,'Vic colour ref'!$A$2:$A$5,'Vic colour ref'!$D$2:$D$5,"")</f>
        <v>01</v>
      </c>
      <c r="AT24" s="2" t="str">
        <f>_xlfn.XLOOKUP(M24,'Vic colour ref'!$A$2:$A$5,'Vic colour ref'!$D$2:$D$5,"")</f>
        <v>00</v>
      </c>
      <c r="AU24" s="2" t="str">
        <f>_xlfn.XLOOKUP(N24,'Vic colour ref'!$A$2:$A$5,'Vic colour ref'!$D$2:$D$5,"")</f>
        <v>00</v>
      </c>
      <c r="AV24" s="2" t="str">
        <f>_xlfn.XLOOKUP(O24,'Vic colour ref'!$A$2:$A$5,'Vic colour ref'!$D$2:$D$5,"")</f>
        <v>00</v>
      </c>
      <c r="AW24" s="2" t="str">
        <f>_xlfn.XLOOKUP(P24,'Vic colour ref'!$A$2:$A$5,'Vic colour ref'!$D$2:$D$5,"")</f>
        <v>01</v>
      </c>
      <c r="AX24" s="2" t="str">
        <f>_xlfn.XLOOKUP(Q24,'Vic colour ref'!$A$2:$A$5,'Vic colour ref'!$D$2:$D$5,"")</f>
        <v>01</v>
      </c>
      <c r="AY24" s="2" t="str">
        <f>_xlfn.XLOOKUP(R24,'Vic colour ref'!$A$2:$A$5,'Vic colour ref'!$D$2:$D$5,"")</f>
        <v>01</v>
      </c>
      <c r="AZ24" s="2" t="str">
        <f>_xlfn.XLOOKUP(S24,'Vic colour ref'!$A$2:$A$5,'Vic colour ref'!$D$2:$D$5,"")</f>
        <v>00</v>
      </c>
      <c r="BA24" s="2" t="str">
        <f>_xlfn.XLOOKUP(T24,'Vic colour ref'!$A$2:$A$5,'Vic colour ref'!$D$2:$D$5,"")</f>
        <v>00</v>
      </c>
      <c r="BB24" s="2" t="str">
        <f>_xlfn.XLOOKUP(U24,'Vic colour ref'!$A$2:$A$5,'Vic colour ref'!$D$2:$D$5,"")</f>
        <v>00</v>
      </c>
      <c r="BC24" s="2" t="str">
        <f>_xlfn.XLOOKUP(V24,'Vic colour ref'!$A$2:$A$5,'Vic colour ref'!$D$2:$D$5,"")</f>
        <v>00</v>
      </c>
      <c r="BD24" s="2" t="str">
        <f>_xlfn.XLOOKUP(W24,'Vic colour ref'!$A$2:$A$5,'Vic colour ref'!$D$2:$D$5,"")</f>
        <v>00</v>
      </c>
      <c r="BE24" s="2" t="str">
        <f>_xlfn.XLOOKUP(X24,'Vic colour ref'!$A$2:$A$5,'Vic colour ref'!$D$2:$D$5,"")</f>
        <v>00</v>
      </c>
      <c r="BF24" s="2">
        <f>_xlfn.XLOOKUP(Y24,'Vic colour ref'!$A$2:$A$5,'Vic colour ref'!$D$2:$D$5,"")</f>
        <v>11</v>
      </c>
      <c r="BG24" s="2">
        <f>_xlfn.XLOOKUP(Z24,'Vic colour ref'!$A$2:$A$5,'Vic colour ref'!$D$2:$D$5,"")</f>
        <v>11</v>
      </c>
      <c r="BH24" s="2" t="str">
        <f>_xlfn.XLOOKUP(AA24,'Vic colour ref'!$A$2:$A$5,'Vic colour ref'!$D$2:$D$5,"")</f>
        <v>00</v>
      </c>
      <c r="BI24" s="2" t="str">
        <f>_xlfn.XLOOKUP(AB24,'Vic colour ref'!$A$2:$A$5,'Vic colour ref'!$D$2:$D$5,"")</f>
        <v>00</v>
      </c>
      <c r="BJ24" s="2" t="str">
        <f>_xlfn.XLOOKUP(AC24,'Vic colour ref'!$A$2:$A$5,'Vic colour ref'!$D$2:$D$5,"")</f>
        <v>00</v>
      </c>
      <c r="BK24" s="2" t="str">
        <f>_xlfn.XLOOKUP(AD24,'Vic colour ref'!$A$2:$A$5,'Vic colour ref'!$D$2:$D$5,"")</f>
        <v>00</v>
      </c>
      <c r="BL24" s="2" t="str">
        <f>_xlfn.XLOOKUP(AE24,'Vic colour ref'!$A$2:$A$5,'Vic colour ref'!$D$2:$D$5,"")</f>
        <v>00</v>
      </c>
      <c r="BM24" s="2" t="str">
        <f>_xlfn.XLOOKUP(AF24,'Vic colour ref'!$A$2:$A$5,'Vic colour ref'!$D$2:$D$5,"")</f>
        <v>00</v>
      </c>
      <c r="BO24" s="19" t="str">
        <f t="shared" si="1"/>
        <v>01010100</v>
      </c>
      <c r="BP24" s="19" t="str">
        <f t="shared" si="2"/>
        <v>00000101</v>
      </c>
      <c r="BQ24" s="19" t="str">
        <f t="shared" si="3"/>
        <v>01010101</v>
      </c>
      <c r="BR24" s="19" t="str">
        <f t="shared" si="4"/>
        <v>00000001</v>
      </c>
      <c r="BS24" s="19" t="str">
        <f t="shared" si="5"/>
        <v>01010000</v>
      </c>
      <c r="BT24" s="19" t="str">
        <f t="shared" si="6"/>
        <v>00000000</v>
      </c>
      <c r="BU24" s="19" t="str">
        <f t="shared" si="7"/>
        <v>11110000</v>
      </c>
      <c r="BV24" s="19" t="str">
        <f t="shared" si="8"/>
        <v>00000000</v>
      </c>
      <c r="BX24" s="22" t="str">
        <f t="shared" si="9"/>
        <v>54</v>
      </c>
      <c r="BY24" s="22" t="str">
        <f t="shared" si="10"/>
        <v>05</v>
      </c>
      <c r="BZ24" s="22" t="str">
        <f t="shared" si="11"/>
        <v>55</v>
      </c>
      <c r="CA24" s="22" t="str">
        <f t="shared" si="11"/>
        <v>01</v>
      </c>
      <c r="CB24" s="22" t="str">
        <f t="shared" si="11"/>
        <v>50</v>
      </c>
      <c r="CC24" s="25" t="str">
        <f t="shared" si="11"/>
        <v>00</v>
      </c>
      <c r="CD24" s="22" t="str">
        <f t="shared" si="14"/>
        <v>F0</v>
      </c>
      <c r="CE24" s="25" t="str">
        <f t="shared" si="12"/>
        <v>00</v>
      </c>
      <c r="CG24" s="2" t="str" cm="1">
        <f t="array" ref="CG24:CN24">TRANSPOSE(CE17:CE24)</f>
        <v>00</v>
      </c>
      <c r="CH24" s="2" t="str">
        <v>00</v>
      </c>
      <c r="CI24" s="2" t="str">
        <v>00</v>
      </c>
      <c r="CJ24" s="2" t="str">
        <v>00</v>
      </c>
      <c r="CK24" s="2" t="str">
        <v>00</v>
      </c>
      <c r="CL24" s="2" t="str">
        <v>00</v>
      </c>
      <c r="CM24" s="2" t="str">
        <v>00</v>
      </c>
      <c r="CN24" s="2" t="str">
        <v>00</v>
      </c>
      <c r="CP24" s="4" t="str">
        <f t="shared" si="13"/>
        <v>!byte $00, $00, $00, $00, $00, $00, $00, $00</v>
      </c>
    </row>
    <row r="25" spans="1:94" x14ac:dyDescent="0.3">
      <c r="A25" s="2">
        <v>1</v>
      </c>
      <c r="B25" s="2">
        <v>1</v>
      </c>
      <c r="C25" s="2">
        <v>1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3</v>
      </c>
      <c r="X25" s="2">
        <v>3</v>
      </c>
      <c r="Y25" s="2">
        <v>2</v>
      </c>
      <c r="Z25" s="2">
        <v>2</v>
      </c>
      <c r="AA25" s="2">
        <v>3</v>
      </c>
      <c r="AB25" s="2">
        <v>3</v>
      </c>
      <c r="AC25" s="2">
        <v>0</v>
      </c>
      <c r="AD25" s="2">
        <v>0</v>
      </c>
      <c r="AE25" s="2">
        <v>0</v>
      </c>
      <c r="AF25" s="2">
        <v>0</v>
      </c>
      <c r="AH25" s="2" t="str">
        <f>_xlfn.XLOOKUP(A25,'Vic colour ref'!$A$2:$A$5,'Vic colour ref'!$D$2:$D$5,"")</f>
        <v>01</v>
      </c>
      <c r="AI25" s="2" t="str">
        <f>_xlfn.XLOOKUP(B25,'Vic colour ref'!$A$2:$A$5,'Vic colour ref'!$D$2:$D$5,"")</f>
        <v>01</v>
      </c>
      <c r="AJ25" s="2" t="str">
        <f>_xlfn.XLOOKUP(C25,'Vic colour ref'!$A$2:$A$5,'Vic colour ref'!$D$2:$D$5,"")</f>
        <v>01</v>
      </c>
      <c r="AK25" s="2" t="str">
        <f>_xlfn.XLOOKUP(D25,'Vic colour ref'!$A$2:$A$5,'Vic colour ref'!$D$2:$D$5,"")</f>
        <v>00</v>
      </c>
      <c r="AL25" s="2" t="str">
        <f>_xlfn.XLOOKUP(E25,'Vic colour ref'!$A$2:$A$5,'Vic colour ref'!$D$2:$D$5,"")</f>
        <v>00</v>
      </c>
      <c r="AM25" s="2" t="str">
        <f>_xlfn.XLOOKUP(F25,'Vic colour ref'!$A$2:$A$5,'Vic colour ref'!$D$2:$D$5,"")</f>
        <v>00</v>
      </c>
      <c r="AN25" s="2" t="str">
        <f>_xlfn.XLOOKUP(G25,'Vic colour ref'!$A$2:$A$5,'Vic colour ref'!$D$2:$D$5,"")</f>
        <v>01</v>
      </c>
      <c r="AO25" s="2" t="str">
        <f>_xlfn.XLOOKUP(H25,'Vic colour ref'!$A$2:$A$5,'Vic colour ref'!$D$2:$D$5,"")</f>
        <v>01</v>
      </c>
      <c r="AP25" s="2" t="str">
        <f>_xlfn.XLOOKUP(I25,'Vic colour ref'!$A$2:$A$5,'Vic colour ref'!$D$2:$D$5,"")</f>
        <v>01</v>
      </c>
      <c r="AQ25" s="2" t="str">
        <f>_xlfn.XLOOKUP(J25,'Vic colour ref'!$A$2:$A$5,'Vic colour ref'!$D$2:$D$5,"")</f>
        <v>01</v>
      </c>
      <c r="AR25" s="2" t="str">
        <f>_xlfn.XLOOKUP(K25,'Vic colour ref'!$A$2:$A$5,'Vic colour ref'!$D$2:$D$5,"")</f>
        <v>01</v>
      </c>
      <c r="AS25" s="2" t="str">
        <f>_xlfn.XLOOKUP(L25,'Vic colour ref'!$A$2:$A$5,'Vic colour ref'!$D$2:$D$5,"")</f>
        <v>01</v>
      </c>
      <c r="AT25" s="2" t="str">
        <f>_xlfn.XLOOKUP(M25,'Vic colour ref'!$A$2:$A$5,'Vic colour ref'!$D$2:$D$5,"")</f>
        <v>00</v>
      </c>
      <c r="AU25" s="2" t="str">
        <f>_xlfn.XLOOKUP(N25,'Vic colour ref'!$A$2:$A$5,'Vic colour ref'!$D$2:$D$5,"")</f>
        <v>00</v>
      </c>
      <c r="AV25" s="2" t="str">
        <f>_xlfn.XLOOKUP(O25,'Vic colour ref'!$A$2:$A$5,'Vic colour ref'!$D$2:$D$5,"")</f>
        <v>00</v>
      </c>
      <c r="AW25" s="2" t="str">
        <f>_xlfn.XLOOKUP(P25,'Vic colour ref'!$A$2:$A$5,'Vic colour ref'!$D$2:$D$5,"")</f>
        <v>01</v>
      </c>
      <c r="AX25" s="2" t="str">
        <f>_xlfn.XLOOKUP(Q25,'Vic colour ref'!$A$2:$A$5,'Vic colour ref'!$D$2:$D$5,"")</f>
        <v>01</v>
      </c>
      <c r="AY25" s="2" t="str">
        <f>_xlfn.XLOOKUP(R25,'Vic colour ref'!$A$2:$A$5,'Vic colour ref'!$D$2:$D$5,"")</f>
        <v>01</v>
      </c>
      <c r="AZ25" s="2" t="str">
        <f>_xlfn.XLOOKUP(S25,'Vic colour ref'!$A$2:$A$5,'Vic colour ref'!$D$2:$D$5,"")</f>
        <v>00</v>
      </c>
      <c r="BA25" s="2" t="str">
        <f>_xlfn.XLOOKUP(T25,'Vic colour ref'!$A$2:$A$5,'Vic colour ref'!$D$2:$D$5,"")</f>
        <v>00</v>
      </c>
      <c r="BB25" s="2" t="str">
        <f>_xlfn.XLOOKUP(U25,'Vic colour ref'!$A$2:$A$5,'Vic colour ref'!$D$2:$D$5,"")</f>
        <v>00</v>
      </c>
      <c r="BC25" s="2" t="str">
        <f>_xlfn.XLOOKUP(V25,'Vic colour ref'!$A$2:$A$5,'Vic colour ref'!$D$2:$D$5,"")</f>
        <v>00</v>
      </c>
      <c r="BD25" s="2">
        <f>_xlfn.XLOOKUP(W25,'Vic colour ref'!$A$2:$A$5,'Vic colour ref'!$D$2:$D$5,"")</f>
        <v>11</v>
      </c>
      <c r="BE25" s="2">
        <f>_xlfn.XLOOKUP(X25,'Vic colour ref'!$A$2:$A$5,'Vic colour ref'!$D$2:$D$5,"")</f>
        <v>11</v>
      </c>
      <c r="BF25" s="2">
        <f>_xlfn.XLOOKUP(Y25,'Vic colour ref'!$A$2:$A$5,'Vic colour ref'!$D$2:$D$5,"")</f>
        <v>10</v>
      </c>
      <c r="BG25" s="2">
        <f>_xlfn.XLOOKUP(Z25,'Vic colour ref'!$A$2:$A$5,'Vic colour ref'!$D$2:$D$5,"")</f>
        <v>10</v>
      </c>
      <c r="BH25" s="2">
        <f>_xlfn.XLOOKUP(AA25,'Vic colour ref'!$A$2:$A$5,'Vic colour ref'!$D$2:$D$5,"")</f>
        <v>11</v>
      </c>
      <c r="BI25" s="2">
        <f>_xlfn.XLOOKUP(AB25,'Vic colour ref'!$A$2:$A$5,'Vic colour ref'!$D$2:$D$5,"")</f>
        <v>11</v>
      </c>
      <c r="BJ25" s="2" t="str">
        <f>_xlfn.XLOOKUP(AC25,'Vic colour ref'!$A$2:$A$5,'Vic colour ref'!$D$2:$D$5,"")</f>
        <v>00</v>
      </c>
      <c r="BK25" s="2" t="str">
        <f>_xlfn.XLOOKUP(AD25,'Vic colour ref'!$A$2:$A$5,'Vic colour ref'!$D$2:$D$5,"")</f>
        <v>00</v>
      </c>
      <c r="BL25" s="2" t="str">
        <f>_xlfn.XLOOKUP(AE25,'Vic colour ref'!$A$2:$A$5,'Vic colour ref'!$D$2:$D$5,"")</f>
        <v>00</v>
      </c>
      <c r="BM25" s="2" t="str">
        <f>_xlfn.XLOOKUP(AF25,'Vic colour ref'!$A$2:$A$5,'Vic colour ref'!$D$2:$D$5,"")</f>
        <v>00</v>
      </c>
      <c r="BO25" s="17" t="str">
        <f t="shared" si="1"/>
        <v>01010100</v>
      </c>
      <c r="BP25" s="17" t="str">
        <f t="shared" si="2"/>
        <v>00000101</v>
      </c>
      <c r="BQ25" s="17" t="str">
        <f t="shared" si="3"/>
        <v>01010101</v>
      </c>
      <c r="BR25" s="17" t="str">
        <f t="shared" si="4"/>
        <v>00000001</v>
      </c>
      <c r="BS25" s="17" t="str">
        <f t="shared" si="5"/>
        <v>01010000</v>
      </c>
      <c r="BT25" s="17" t="str">
        <f t="shared" si="6"/>
        <v>00001111</v>
      </c>
      <c r="BU25" s="17" t="str">
        <f t="shared" si="7"/>
        <v>10101111</v>
      </c>
      <c r="BV25" s="17" t="str">
        <f t="shared" si="8"/>
        <v>00000000</v>
      </c>
      <c r="BX25" s="20" t="str">
        <f t="shared" si="9"/>
        <v>54</v>
      </c>
      <c r="BY25" s="20" t="str">
        <f t="shared" si="10"/>
        <v>05</v>
      </c>
      <c r="BZ25" s="20" t="str">
        <f t="shared" si="11"/>
        <v>55</v>
      </c>
      <c r="CA25" s="20" t="str">
        <f t="shared" si="11"/>
        <v>01</v>
      </c>
      <c r="CB25" s="20" t="str">
        <f t="shared" si="11"/>
        <v>50</v>
      </c>
      <c r="CC25" s="20" t="str">
        <f t="shared" si="11"/>
        <v>0F</v>
      </c>
      <c r="CD25" s="20" t="str">
        <f t="shared" si="14"/>
        <v>AF</v>
      </c>
      <c r="CE25" s="20" t="str">
        <f t="shared" si="12"/>
        <v>00</v>
      </c>
      <c r="CG25" s="2" t="str" cm="1">
        <f t="array" ref="CG25:CN25">TRANSPOSE(BX25:BX32)</f>
        <v>54</v>
      </c>
      <c r="CH25" s="2" t="str">
        <v>54</v>
      </c>
      <c r="CI25" s="2" t="str">
        <v>54</v>
      </c>
      <c r="CJ25" s="2" t="str">
        <v>54</v>
      </c>
      <c r="CK25" s="2" t="str">
        <v>54</v>
      </c>
      <c r="CL25" s="2" t="str">
        <v>00</v>
      </c>
      <c r="CM25" s="2" t="str">
        <v>00</v>
      </c>
      <c r="CN25" s="2" t="str">
        <v>00</v>
      </c>
      <c r="CP25" s="4" t="str">
        <f t="shared" si="13"/>
        <v>!byte $54, $54, $54, $54, $54, $00, $00, $00</v>
      </c>
    </row>
    <row r="26" spans="1:94" x14ac:dyDescent="0.3">
      <c r="A26" s="2">
        <v>1</v>
      </c>
      <c r="B26" s="2">
        <v>1</v>
      </c>
      <c r="C26" s="2">
        <v>1</v>
      </c>
      <c r="D26" s="2">
        <v>0</v>
      </c>
      <c r="E26" s="2">
        <v>0</v>
      </c>
      <c r="F26" s="2">
        <v>0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3</v>
      </c>
      <c r="X26" s="2">
        <v>3</v>
      </c>
      <c r="Y26" s="2">
        <v>2</v>
      </c>
      <c r="Z26" s="2">
        <v>2</v>
      </c>
      <c r="AA26" s="2">
        <v>3</v>
      </c>
      <c r="AB26" s="2">
        <v>3</v>
      </c>
      <c r="AC26" s="2">
        <v>0</v>
      </c>
      <c r="AD26" s="2">
        <v>0</v>
      </c>
      <c r="AE26" s="2">
        <v>0</v>
      </c>
      <c r="AF26" s="2">
        <v>0</v>
      </c>
      <c r="AH26" s="2" t="str">
        <f>_xlfn.XLOOKUP(A26,'Vic colour ref'!$A$2:$A$5,'Vic colour ref'!$D$2:$D$5,"")</f>
        <v>01</v>
      </c>
      <c r="AI26" s="2" t="str">
        <f>_xlfn.XLOOKUP(B26,'Vic colour ref'!$A$2:$A$5,'Vic colour ref'!$D$2:$D$5,"")</f>
        <v>01</v>
      </c>
      <c r="AJ26" s="2" t="str">
        <f>_xlfn.XLOOKUP(C26,'Vic colour ref'!$A$2:$A$5,'Vic colour ref'!$D$2:$D$5,"")</f>
        <v>01</v>
      </c>
      <c r="AK26" s="2" t="str">
        <f>_xlfn.XLOOKUP(D26,'Vic colour ref'!$A$2:$A$5,'Vic colour ref'!$D$2:$D$5,"")</f>
        <v>00</v>
      </c>
      <c r="AL26" s="2" t="str">
        <f>_xlfn.XLOOKUP(E26,'Vic colour ref'!$A$2:$A$5,'Vic colour ref'!$D$2:$D$5,"")</f>
        <v>00</v>
      </c>
      <c r="AM26" s="2" t="str">
        <f>_xlfn.XLOOKUP(F26,'Vic colour ref'!$A$2:$A$5,'Vic colour ref'!$D$2:$D$5,"")</f>
        <v>00</v>
      </c>
      <c r="AN26" s="2" t="str">
        <f>_xlfn.XLOOKUP(G26,'Vic colour ref'!$A$2:$A$5,'Vic colour ref'!$D$2:$D$5,"")</f>
        <v>01</v>
      </c>
      <c r="AO26" s="2" t="str">
        <f>_xlfn.XLOOKUP(H26,'Vic colour ref'!$A$2:$A$5,'Vic colour ref'!$D$2:$D$5,"")</f>
        <v>01</v>
      </c>
      <c r="AP26" s="2" t="str">
        <f>_xlfn.XLOOKUP(I26,'Vic colour ref'!$A$2:$A$5,'Vic colour ref'!$D$2:$D$5,"")</f>
        <v>01</v>
      </c>
      <c r="AQ26" s="2" t="str">
        <f>_xlfn.XLOOKUP(J26,'Vic colour ref'!$A$2:$A$5,'Vic colour ref'!$D$2:$D$5,"")</f>
        <v>01</v>
      </c>
      <c r="AR26" s="2" t="str">
        <f>_xlfn.XLOOKUP(K26,'Vic colour ref'!$A$2:$A$5,'Vic colour ref'!$D$2:$D$5,"")</f>
        <v>01</v>
      </c>
      <c r="AS26" s="2" t="str">
        <f>_xlfn.XLOOKUP(L26,'Vic colour ref'!$A$2:$A$5,'Vic colour ref'!$D$2:$D$5,"")</f>
        <v>01</v>
      </c>
      <c r="AT26" s="2" t="str">
        <f>_xlfn.XLOOKUP(M26,'Vic colour ref'!$A$2:$A$5,'Vic colour ref'!$D$2:$D$5,"")</f>
        <v>00</v>
      </c>
      <c r="AU26" s="2" t="str">
        <f>_xlfn.XLOOKUP(N26,'Vic colour ref'!$A$2:$A$5,'Vic colour ref'!$D$2:$D$5,"")</f>
        <v>00</v>
      </c>
      <c r="AV26" s="2" t="str">
        <f>_xlfn.XLOOKUP(O26,'Vic colour ref'!$A$2:$A$5,'Vic colour ref'!$D$2:$D$5,"")</f>
        <v>00</v>
      </c>
      <c r="AW26" s="2" t="str">
        <f>_xlfn.XLOOKUP(P26,'Vic colour ref'!$A$2:$A$5,'Vic colour ref'!$D$2:$D$5,"")</f>
        <v>01</v>
      </c>
      <c r="AX26" s="2" t="str">
        <f>_xlfn.XLOOKUP(Q26,'Vic colour ref'!$A$2:$A$5,'Vic colour ref'!$D$2:$D$5,"")</f>
        <v>01</v>
      </c>
      <c r="AY26" s="2" t="str">
        <f>_xlfn.XLOOKUP(R26,'Vic colour ref'!$A$2:$A$5,'Vic colour ref'!$D$2:$D$5,"")</f>
        <v>01</v>
      </c>
      <c r="AZ26" s="2" t="str">
        <f>_xlfn.XLOOKUP(S26,'Vic colour ref'!$A$2:$A$5,'Vic colour ref'!$D$2:$D$5,"")</f>
        <v>00</v>
      </c>
      <c r="BA26" s="2" t="str">
        <f>_xlfn.XLOOKUP(T26,'Vic colour ref'!$A$2:$A$5,'Vic colour ref'!$D$2:$D$5,"")</f>
        <v>00</v>
      </c>
      <c r="BB26" s="2" t="str">
        <f>_xlfn.XLOOKUP(U26,'Vic colour ref'!$A$2:$A$5,'Vic colour ref'!$D$2:$D$5,"")</f>
        <v>00</v>
      </c>
      <c r="BC26" s="2" t="str">
        <f>_xlfn.XLOOKUP(V26,'Vic colour ref'!$A$2:$A$5,'Vic colour ref'!$D$2:$D$5,"")</f>
        <v>00</v>
      </c>
      <c r="BD26" s="2">
        <f>_xlfn.XLOOKUP(W26,'Vic colour ref'!$A$2:$A$5,'Vic colour ref'!$D$2:$D$5,"")</f>
        <v>11</v>
      </c>
      <c r="BE26" s="2">
        <f>_xlfn.XLOOKUP(X26,'Vic colour ref'!$A$2:$A$5,'Vic colour ref'!$D$2:$D$5,"")</f>
        <v>11</v>
      </c>
      <c r="BF26" s="2">
        <f>_xlfn.XLOOKUP(Y26,'Vic colour ref'!$A$2:$A$5,'Vic colour ref'!$D$2:$D$5,"")</f>
        <v>10</v>
      </c>
      <c r="BG26" s="2">
        <f>_xlfn.XLOOKUP(Z26,'Vic colour ref'!$A$2:$A$5,'Vic colour ref'!$D$2:$D$5,"")</f>
        <v>10</v>
      </c>
      <c r="BH26" s="2">
        <f>_xlfn.XLOOKUP(AA26,'Vic colour ref'!$A$2:$A$5,'Vic colour ref'!$D$2:$D$5,"")</f>
        <v>11</v>
      </c>
      <c r="BI26" s="2">
        <f>_xlfn.XLOOKUP(AB26,'Vic colour ref'!$A$2:$A$5,'Vic colour ref'!$D$2:$D$5,"")</f>
        <v>11</v>
      </c>
      <c r="BJ26" s="2" t="str">
        <f>_xlfn.XLOOKUP(AC26,'Vic colour ref'!$A$2:$A$5,'Vic colour ref'!$D$2:$D$5,"")</f>
        <v>00</v>
      </c>
      <c r="BK26" s="2" t="str">
        <f>_xlfn.XLOOKUP(AD26,'Vic colour ref'!$A$2:$A$5,'Vic colour ref'!$D$2:$D$5,"")</f>
        <v>00</v>
      </c>
      <c r="BL26" s="2" t="str">
        <f>_xlfn.XLOOKUP(AE26,'Vic colour ref'!$A$2:$A$5,'Vic colour ref'!$D$2:$D$5,"")</f>
        <v>00</v>
      </c>
      <c r="BM26" s="2" t="str">
        <f>_xlfn.XLOOKUP(AF26,'Vic colour ref'!$A$2:$A$5,'Vic colour ref'!$D$2:$D$5,"")</f>
        <v>00</v>
      </c>
      <c r="BO26" s="18" t="str">
        <f t="shared" si="1"/>
        <v>01010100</v>
      </c>
      <c r="BP26" s="18" t="str">
        <f t="shared" si="2"/>
        <v>00000101</v>
      </c>
      <c r="BQ26" s="18" t="str">
        <f t="shared" si="3"/>
        <v>01010101</v>
      </c>
      <c r="BR26" s="18" t="str">
        <f t="shared" si="4"/>
        <v>00000001</v>
      </c>
      <c r="BS26" s="18" t="str">
        <f t="shared" si="5"/>
        <v>01010000</v>
      </c>
      <c r="BT26" s="18" t="str">
        <f t="shared" si="6"/>
        <v>00001111</v>
      </c>
      <c r="BU26" s="18" t="str">
        <f t="shared" si="7"/>
        <v>10101111</v>
      </c>
      <c r="BV26" s="18" t="str">
        <f t="shared" si="8"/>
        <v>00000000</v>
      </c>
      <c r="BX26" s="21" t="str">
        <f t="shared" si="9"/>
        <v>54</v>
      </c>
      <c r="BY26" s="21" t="str">
        <f t="shared" si="10"/>
        <v>05</v>
      </c>
      <c r="BZ26" s="21" t="str">
        <f t="shared" si="11"/>
        <v>55</v>
      </c>
      <c r="CA26" s="21" t="str">
        <f t="shared" si="11"/>
        <v>01</v>
      </c>
      <c r="CB26" s="21" t="str">
        <f t="shared" si="11"/>
        <v>50</v>
      </c>
      <c r="CC26" s="21" t="str">
        <f t="shared" si="11"/>
        <v>0F</v>
      </c>
      <c r="CD26" s="21" t="str">
        <f t="shared" si="14"/>
        <v>AF</v>
      </c>
      <c r="CE26" s="21" t="str">
        <f t="shared" si="12"/>
        <v>00</v>
      </c>
      <c r="CG26" s="2" t="str" cm="1">
        <f t="array" ref="CG26:CN26">TRANSPOSE(BY25:BY32)</f>
        <v>05</v>
      </c>
      <c r="CH26" s="2" t="str">
        <v>05</v>
      </c>
      <c r="CI26" s="2" t="str">
        <v>0A</v>
      </c>
      <c r="CJ26" s="2" t="str">
        <v>0A</v>
      </c>
      <c r="CK26" s="2" t="str">
        <v>0A</v>
      </c>
      <c r="CL26" s="2" t="str">
        <v>05</v>
      </c>
      <c r="CM26" s="2" t="str">
        <v>05</v>
      </c>
      <c r="CN26" s="2" t="str">
        <v>05</v>
      </c>
      <c r="CP26" s="4" t="str">
        <f t="shared" si="13"/>
        <v>!byte $05, $05, $0a, $0a, $0a, $05, $05, $05</v>
      </c>
    </row>
    <row r="27" spans="1:94" x14ac:dyDescent="0.3">
      <c r="A27" s="2">
        <v>1</v>
      </c>
      <c r="B27" s="2">
        <v>1</v>
      </c>
      <c r="C27" s="2">
        <v>1</v>
      </c>
      <c r="D27" s="2">
        <v>0</v>
      </c>
      <c r="E27" s="2">
        <v>0</v>
      </c>
      <c r="F27" s="2">
        <v>0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3</v>
      </c>
      <c r="X27" s="2">
        <v>3</v>
      </c>
      <c r="Y27" s="2">
        <v>3</v>
      </c>
      <c r="Z27" s="2">
        <v>3</v>
      </c>
      <c r="AA27" s="2">
        <v>2</v>
      </c>
      <c r="AB27" s="2">
        <v>2</v>
      </c>
      <c r="AC27" s="2">
        <v>0</v>
      </c>
      <c r="AD27" s="2">
        <v>0</v>
      </c>
      <c r="AE27" s="2">
        <v>0</v>
      </c>
      <c r="AF27" s="2">
        <v>0</v>
      </c>
      <c r="AH27" s="2" t="str">
        <f>_xlfn.XLOOKUP(A27,'Vic colour ref'!$A$2:$A$5,'Vic colour ref'!$D$2:$D$5,"")</f>
        <v>01</v>
      </c>
      <c r="AI27" s="2" t="str">
        <f>_xlfn.XLOOKUP(B27,'Vic colour ref'!$A$2:$A$5,'Vic colour ref'!$D$2:$D$5,"")</f>
        <v>01</v>
      </c>
      <c r="AJ27" s="2" t="str">
        <f>_xlfn.XLOOKUP(C27,'Vic colour ref'!$A$2:$A$5,'Vic colour ref'!$D$2:$D$5,"")</f>
        <v>01</v>
      </c>
      <c r="AK27" s="2" t="str">
        <f>_xlfn.XLOOKUP(D27,'Vic colour ref'!$A$2:$A$5,'Vic colour ref'!$D$2:$D$5,"")</f>
        <v>00</v>
      </c>
      <c r="AL27" s="2" t="str">
        <f>_xlfn.XLOOKUP(E27,'Vic colour ref'!$A$2:$A$5,'Vic colour ref'!$D$2:$D$5,"")</f>
        <v>00</v>
      </c>
      <c r="AM27" s="2" t="str">
        <f>_xlfn.XLOOKUP(F27,'Vic colour ref'!$A$2:$A$5,'Vic colour ref'!$D$2:$D$5,"")</f>
        <v>00</v>
      </c>
      <c r="AN27" s="2">
        <f>_xlfn.XLOOKUP(G27,'Vic colour ref'!$A$2:$A$5,'Vic colour ref'!$D$2:$D$5,"")</f>
        <v>10</v>
      </c>
      <c r="AO27" s="2">
        <f>_xlfn.XLOOKUP(H27,'Vic colour ref'!$A$2:$A$5,'Vic colour ref'!$D$2:$D$5,"")</f>
        <v>10</v>
      </c>
      <c r="AP27" s="2">
        <f>_xlfn.XLOOKUP(I27,'Vic colour ref'!$A$2:$A$5,'Vic colour ref'!$D$2:$D$5,"")</f>
        <v>10</v>
      </c>
      <c r="AQ27" s="2">
        <f>_xlfn.XLOOKUP(J27,'Vic colour ref'!$A$2:$A$5,'Vic colour ref'!$D$2:$D$5,"")</f>
        <v>10</v>
      </c>
      <c r="AR27" s="2">
        <f>_xlfn.XLOOKUP(K27,'Vic colour ref'!$A$2:$A$5,'Vic colour ref'!$D$2:$D$5,"")</f>
        <v>10</v>
      </c>
      <c r="AS27" s="2">
        <f>_xlfn.XLOOKUP(L27,'Vic colour ref'!$A$2:$A$5,'Vic colour ref'!$D$2:$D$5,"")</f>
        <v>10</v>
      </c>
      <c r="AT27" s="2" t="str">
        <f>_xlfn.XLOOKUP(M27,'Vic colour ref'!$A$2:$A$5,'Vic colour ref'!$D$2:$D$5,"")</f>
        <v>00</v>
      </c>
      <c r="AU27" s="2" t="str">
        <f>_xlfn.XLOOKUP(N27,'Vic colour ref'!$A$2:$A$5,'Vic colour ref'!$D$2:$D$5,"")</f>
        <v>00</v>
      </c>
      <c r="AV27" s="2" t="str">
        <f>_xlfn.XLOOKUP(O27,'Vic colour ref'!$A$2:$A$5,'Vic colour ref'!$D$2:$D$5,"")</f>
        <v>00</v>
      </c>
      <c r="AW27" s="2" t="str">
        <f>_xlfn.XLOOKUP(P27,'Vic colour ref'!$A$2:$A$5,'Vic colour ref'!$D$2:$D$5,"")</f>
        <v>01</v>
      </c>
      <c r="AX27" s="2" t="str">
        <f>_xlfn.XLOOKUP(Q27,'Vic colour ref'!$A$2:$A$5,'Vic colour ref'!$D$2:$D$5,"")</f>
        <v>01</v>
      </c>
      <c r="AY27" s="2" t="str">
        <f>_xlfn.XLOOKUP(R27,'Vic colour ref'!$A$2:$A$5,'Vic colour ref'!$D$2:$D$5,"")</f>
        <v>01</v>
      </c>
      <c r="AZ27" s="2" t="str">
        <f>_xlfn.XLOOKUP(S27,'Vic colour ref'!$A$2:$A$5,'Vic colour ref'!$D$2:$D$5,"")</f>
        <v>00</v>
      </c>
      <c r="BA27" s="2" t="str">
        <f>_xlfn.XLOOKUP(T27,'Vic colour ref'!$A$2:$A$5,'Vic colour ref'!$D$2:$D$5,"")</f>
        <v>00</v>
      </c>
      <c r="BB27" s="2" t="str">
        <f>_xlfn.XLOOKUP(U27,'Vic colour ref'!$A$2:$A$5,'Vic colour ref'!$D$2:$D$5,"")</f>
        <v>00</v>
      </c>
      <c r="BC27" s="2" t="str">
        <f>_xlfn.XLOOKUP(V27,'Vic colour ref'!$A$2:$A$5,'Vic colour ref'!$D$2:$D$5,"")</f>
        <v>00</v>
      </c>
      <c r="BD27" s="2">
        <f>_xlfn.XLOOKUP(W27,'Vic colour ref'!$A$2:$A$5,'Vic colour ref'!$D$2:$D$5,"")</f>
        <v>11</v>
      </c>
      <c r="BE27" s="2">
        <f>_xlfn.XLOOKUP(X27,'Vic colour ref'!$A$2:$A$5,'Vic colour ref'!$D$2:$D$5,"")</f>
        <v>11</v>
      </c>
      <c r="BF27" s="2">
        <f>_xlfn.XLOOKUP(Y27,'Vic colour ref'!$A$2:$A$5,'Vic colour ref'!$D$2:$D$5,"")</f>
        <v>11</v>
      </c>
      <c r="BG27" s="2">
        <f>_xlfn.XLOOKUP(Z27,'Vic colour ref'!$A$2:$A$5,'Vic colour ref'!$D$2:$D$5,"")</f>
        <v>11</v>
      </c>
      <c r="BH27" s="2">
        <f>_xlfn.XLOOKUP(AA27,'Vic colour ref'!$A$2:$A$5,'Vic colour ref'!$D$2:$D$5,"")</f>
        <v>10</v>
      </c>
      <c r="BI27" s="2">
        <f>_xlfn.XLOOKUP(AB27,'Vic colour ref'!$A$2:$A$5,'Vic colour ref'!$D$2:$D$5,"")</f>
        <v>10</v>
      </c>
      <c r="BJ27" s="2" t="str">
        <f>_xlfn.XLOOKUP(AC27,'Vic colour ref'!$A$2:$A$5,'Vic colour ref'!$D$2:$D$5,"")</f>
        <v>00</v>
      </c>
      <c r="BK27" s="2" t="str">
        <f>_xlfn.XLOOKUP(AD27,'Vic colour ref'!$A$2:$A$5,'Vic colour ref'!$D$2:$D$5,"")</f>
        <v>00</v>
      </c>
      <c r="BL27" s="2" t="str">
        <f>_xlfn.XLOOKUP(AE27,'Vic colour ref'!$A$2:$A$5,'Vic colour ref'!$D$2:$D$5,"")</f>
        <v>00</v>
      </c>
      <c r="BM27" s="2" t="str">
        <f>_xlfn.XLOOKUP(AF27,'Vic colour ref'!$A$2:$A$5,'Vic colour ref'!$D$2:$D$5,"")</f>
        <v>00</v>
      </c>
      <c r="BO27" s="18" t="str">
        <f t="shared" si="1"/>
        <v>01010100</v>
      </c>
      <c r="BP27" s="18" t="str">
        <f t="shared" si="2"/>
        <v>00001010</v>
      </c>
      <c r="BQ27" s="18" t="str">
        <f t="shared" si="3"/>
        <v>10101010</v>
      </c>
      <c r="BR27" s="18" t="str">
        <f t="shared" si="4"/>
        <v>00000001</v>
      </c>
      <c r="BS27" s="18" t="str">
        <f t="shared" si="5"/>
        <v>01010000</v>
      </c>
      <c r="BT27" s="18" t="str">
        <f t="shared" si="6"/>
        <v>00001111</v>
      </c>
      <c r="BU27" s="18" t="str">
        <f t="shared" si="7"/>
        <v>11111010</v>
      </c>
      <c r="BV27" s="18" t="str">
        <f t="shared" si="8"/>
        <v>00000000</v>
      </c>
      <c r="BX27" s="21" t="str">
        <f t="shared" si="9"/>
        <v>54</v>
      </c>
      <c r="BY27" s="21" t="str">
        <f t="shared" si="10"/>
        <v>0A</v>
      </c>
      <c r="BZ27" s="21" t="str">
        <f t="shared" si="11"/>
        <v>AA</v>
      </c>
      <c r="CA27" s="21" t="str">
        <f t="shared" si="11"/>
        <v>01</v>
      </c>
      <c r="CB27" s="21" t="str">
        <f t="shared" si="11"/>
        <v>50</v>
      </c>
      <c r="CC27" s="21" t="str">
        <f t="shared" si="11"/>
        <v>0F</v>
      </c>
      <c r="CD27" s="21" t="str">
        <f t="shared" si="14"/>
        <v>FA</v>
      </c>
      <c r="CE27" s="21" t="str">
        <f t="shared" si="12"/>
        <v>00</v>
      </c>
      <c r="CG27" s="2" t="str" cm="1">
        <f t="array" ref="CG27:CN27">TRANSPOSE(BZ25:BZ32)</f>
        <v>55</v>
      </c>
      <c r="CH27" s="2" t="str">
        <v>55</v>
      </c>
      <c r="CI27" s="2" t="str">
        <v>AA</v>
      </c>
      <c r="CJ27" s="2" t="str">
        <v>AA</v>
      </c>
      <c r="CK27" s="2" t="str">
        <v>AA</v>
      </c>
      <c r="CL27" s="2" t="str">
        <v>55</v>
      </c>
      <c r="CM27" s="2" t="str">
        <v>55</v>
      </c>
      <c r="CN27" s="2" t="str">
        <v>55</v>
      </c>
      <c r="CP27" s="4" t="str">
        <f t="shared" si="13"/>
        <v>!byte $55, $55, $aa, $aa, $aa, $55, $55, $55</v>
      </c>
    </row>
    <row r="28" spans="1:94" x14ac:dyDescent="0.3">
      <c r="A28" s="2">
        <v>1</v>
      </c>
      <c r="B28" s="2">
        <v>1</v>
      </c>
      <c r="C28" s="2">
        <v>1</v>
      </c>
      <c r="D28" s="2">
        <v>0</v>
      </c>
      <c r="E28" s="2">
        <v>0</v>
      </c>
      <c r="F28" s="2">
        <v>0</v>
      </c>
      <c r="G28" s="2">
        <v>2</v>
      </c>
      <c r="H28" s="2">
        <v>2</v>
      </c>
      <c r="I28" s="2">
        <v>2</v>
      </c>
      <c r="J28" s="2">
        <v>2</v>
      </c>
      <c r="K28" s="2">
        <v>2</v>
      </c>
      <c r="L28" s="2">
        <v>2</v>
      </c>
      <c r="M28" s="2">
        <v>0</v>
      </c>
      <c r="N28" s="2">
        <v>0</v>
      </c>
      <c r="O28" s="2">
        <v>0</v>
      </c>
      <c r="P28" s="2">
        <v>1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3</v>
      </c>
      <c r="X28" s="2">
        <v>3</v>
      </c>
      <c r="Y28" s="2">
        <v>3</v>
      </c>
      <c r="Z28" s="2">
        <v>3</v>
      </c>
      <c r="AA28" s="2">
        <v>2</v>
      </c>
      <c r="AB28" s="2">
        <v>2</v>
      </c>
      <c r="AC28" s="2">
        <v>0</v>
      </c>
      <c r="AD28" s="2">
        <v>0</v>
      </c>
      <c r="AE28" s="2">
        <v>0</v>
      </c>
      <c r="AF28" s="2">
        <v>0</v>
      </c>
      <c r="AH28" s="2" t="str">
        <f>_xlfn.XLOOKUP(A28,'Vic colour ref'!$A$2:$A$5,'Vic colour ref'!$D$2:$D$5,"")</f>
        <v>01</v>
      </c>
      <c r="AI28" s="2" t="str">
        <f>_xlfn.XLOOKUP(B28,'Vic colour ref'!$A$2:$A$5,'Vic colour ref'!$D$2:$D$5,"")</f>
        <v>01</v>
      </c>
      <c r="AJ28" s="2" t="str">
        <f>_xlfn.XLOOKUP(C28,'Vic colour ref'!$A$2:$A$5,'Vic colour ref'!$D$2:$D$5,"")</f>
        <v>01</v>
      </c>
      <c r="AK28" s="2" t="str">
        <f>_xlfn.XLOOKUP(D28,'Vic colour ref'!$A$2:$A$5,'Vic colour ref'!$D$2:$D$5,"")</f>
        <v>00</v>
      </c>
      <c r="AL28" s="2" t="str">
        <f>_xlfn.XLOOKUP(E28,'Vic colour ref'!$A$2:$A$5,'Vic colour ref'!$D$2:$D$5,"")</f>
        <v>00</v>
      </c>
      <c r="AM28" s="2" t="str">
        <f>_xlfn.XLOOKUP(F28,'Vic colour ref'!$A$2:$A$5,'Vic colour ref'!$D$2:$D$5,"")</f>
        <v>00</v>
      </c>
      <c r="AN28" s="2">
        <f>_xlfn.XLOOKUP(G28,'Vic colour ref'!$A$2:$A$5,'Vic colour ref'!$D$2:$D$5,"")</f>
        <v>10</v>
      </c>
      <c r="AO28" s="2">
        <f>_xlfn.XLOOKUP(H28,'Vic colour ref'!$A$2:$A$5,'Vic colour ref'!$D$2:$D$5,"")</f>
        <v>10</v>
      </c>
      <c r="AP28" s="2">
        <f>_xlfn.XLOOKUP(I28,'Vic colour ref'!$A$2:$A$5,'Vic colour ref'!$D$2:$D$5,"")</f>
        <v>10</v>
      </c>
      <c r="AQ28" s="2">
        <f>_xlfn.XLOOKUP(J28,'Vic colour ref'!$A$2:$A$5,'Vic colour ref'!$D$2:$D$5,"")</f>
        <v>10</v>
      </c>
      <c r="AR28" s="2">
        <f>_xlfn.XLOOKUP(K28,'Vic colour ref'!$A$2:$A$5,'Vic colour ref'!$D$2:$D$5,"")</f>
        <v>10</v>
      </c>
      <c r="AS28" s="2">
        <f>_xlfn.XLOOKUP(L28,'Vic colour ref'!$A$2:$A$5,'Vic colour ref'!$D$2:$D$5,"")</f>
        <v>10</v>
      </c>
      <c r="AT28" s="2" t="str">
        <f>_xlfn.XLOOKUP(M28,'Vic colour ref'!$A$2:$A$5,'Vic colour ref'!$D$2:$D$5,"")</f>
        <v>00</v>
      </c>
      <c r="AU28" s="2" t="str">
        <f>_xlfn.XLOOKUP(N28,'Vic colour ref'!$A$2:$A$5,'Vic colour ref'!$D$2:$D$5,"")</f>
        <v>00</v>
      </c>
      <c r="AV28" s="2" t="str">
        <f>_xlfn.XLOOKUP(O28,'Vic colour ref'!$A$2:$A$5,'Vic colour ref'!$D$2:$D$5,"")</f>
        <v>00</v>
      </c>
      <c r="AW28" s="2" t="str">
        <f>_xlfn.XLOOKUP(P28,'Vic colour ref'!$A$2:$A$5,'Vic colour ref'!$D$2:$D$5,"")</f>
        <v>01</v>
      </c>
      <c r="AX28" s="2" t="str">
        <f>_xlfn.XLOOKUP(Q28,'Vic colour ref'!$A$2:$A$5,'Vic colour ref'!$D$2:$D$5,"")</f>
        <v>01</v>
      </c>
      <c r="AY28" s="2" t="str">
        <f>_xlfn.XLOOKUP(R28,'Vic colour ref'!$A$2:$A$5,'Vic colour ref'!$D$2:$D$5,"")</f>
        <v>01</v>
      </c>
      <c r="AZ28" s="2" t="str">
        <f>_xlfn.XLOOKUP(S28,'Vic colour ref'!$A$2:$A$5,'Vic colour ref'!$D$2:$D$5,"")</f>
        <v>00</v>
      </c>
      <c r="BA28" s="2" t="str">
        <f>_xlfn.XLOOKUP(T28,'Vic colour ref'!$A$2:$A$5,'Vic colour ref'!$D$2:$D$5,"")</f>
        <v>00</v>
      </c>
      <c r="BB28" s="2" t="str">
        <f>_xlfn.XLOOKUP(U28,'Vic colour ref'!$A$2:$A$5,'Vic colour ref'!$D$2:$D$5,"")</f>
        <v>00</v>
      </c>
      <c r="BC28" s="2" t="str">
        <f>_xlfn.XLOOKUP(V28,'Vic colour ref'!$A$2:$A$5,'Vic colour ref'!$D$2:$D$5,"")</f>
        <v>00</v>
      </c>
      <c r="BD28" s="2">
        <f>_xlfn.XLOOKUP(W28,'Vic colour ref'!$A$2:$A$5,'Vic colour ref'!$D$2:$D$5,"")</f>
        <v>11</v>
      </c>
      <c r="BE28" s="2">
        <f>_xlfn.XLOOKUP(X28,'Vic colour ref'!$A$2:$A$5,'Vic colour ref'!$D$2:$D$5,"")</f>
        <v>11</v>
      </c>
      <c r="BF28" s="2">
        <f>_xlfn.XLOOKUP(Y28,'Vic colour ref'!$A$2:$A$5,'Vic colour ref'!$D$2:$D$5,"")</f>
        <v>11</v>
      </c>
      <c r="BG28" s="2">
        <f>_xlfn.XLOOKUP(Z28,'Vic colour ref'!$A$2:$A$5,'Vic colour ref'!$D$2:$D$5,"")</f>
        <v>11</v>
      </c>
      <c r="BH28" s="2">
        <f>_xlfn.XLOOKUP(AA28,'Vic colour ref'!$A$2:$A$5,'Vic colour ref'!$D$2:$D$5,"")</f>
        <v>10</v>
      </c>
      <c r="BI28" s="2">
        <f>_xlfn.XLOOKUP(AB28,'Vic colour ref'!$A$2:$A$5,'Vic colour ref'!$D$2:$D$5,"")</f>
        <v>10</v>
      </c>
      <c r="BJ28" s="2" t="str">
        <f>_xlfn.XLOOKUP(AC28,'Vic colour ref'!$A$2:$A$5,'Vic colour ref'!$D$2:$D$5,"")</f>
        <v>00</v>
      </c>
      <c r="BK28" s="2" t="str">
        <f>_xlfn.XLOOKUP(AD28,'Vic colour ref'!$A$2:$A$5,'Vic colour ref'!$D$2:$D$5,"")</f>
        <v>00</v>
      </c>
      <c r="BL28" s="2" t="str">
        <f>_xlfn.XLOOKUP(AE28,'Vic colour ref'!$A$2:$A$5,'Vic colour ref'!$D$2:$D$5,"")</f>
        <v>00</v>
      </c>
      <c r="BM28" s="2" t="str">
        <f>_xlfn.XLOOKUP(AF28,'Vic colour ref'!$A$2:$A$5,'Vic colour ref'!$D$2:$D$5,"")</f>
        <v>00</v>
      </c>
      <c r="BO28" s="18" t="str">
        <f t="shared" si="1"/>
        <v>01010100</v>
      </c>
      <c r="BP28" s="18" t="str">
        <f t="shared" si="2"/>
        <v>00001010</v>
      </c>
      <c r="BQ28" s="18" t="str">
        <f t="shared" si="3"/>
        <v>10101010</v>
      </c>
      <c r="BR28" s="18" t="str">
        <f t="shared" si="4"/>
        <v>00000001</v>
      </c>
      <c r="BS28" s="18" t="str">
        <f t="shared" si="5"/>
        <v>01010000</v>
      </c>
      <c r="BT28" s="18" t="str">
        <f t="shared" si="6"/>
        <v>00001111</v>
      </c>
      <c r="BU28" s="18" t="str">
        <f t="shared" si="7"/>
        <v>11111010</v>
      </c>
      <c r="BV28" s="18" t="str">
        <f t="shared" si="8"/>
        <v>00000000</v>
      </c>
      <c r="BX28" s="21" t="str">
        <f t="shared" si="9"/>
        <v>54</v>
      </c>
      <c r="BY28" s="21" t="str">
        <f t="shared" si="10"/>
        <v>0A</v>
      </c>
      <c r="BZ28" s="21" t="str">
        <f t="shared" si="11"/>
        <v>AA</v>
      </c>
      <c r="CA28" s="21" t="str">
        <f t="shared" si="11"/>
        <v>01</v>
      </c>
      <c r="CB28" s="21" t="str">
        <f t="shared" si="11"/>
        <v>50</v>
      </c>
      <c r="CC28" s="21" t="str">
        <f t="shared" si="11"/>
        <v>0F</v>
      </c>
      <c r="CD28" s="21" t="str">
        <f t="shared" si="14"/>
        <v>FA</v>
      </c>
      <c r="CE28" s="21" t="str">
        <f t="shared" si="12"/>
        <v>00</v>
      </c>
      <c r="CG28" s="2" t="str" cm="1">
        <f t="array" ref="CG28:CN28">TRANSPOSE(CA25:CA32)</f>
        <v>01</v>
      </c>
      <c r="CH28" s="2" t="str">
        <v>01</v>
      </c>
      <c r="CI28" s="2" t="str">
        <v>01</v>
      </c>
      <c r="CJ28" s="2" t="str">
        <v>01</v>
      </c>
      <c r="CK28" s="2" t="str">
        <v>01</v>
      </c>
      <c r="CL28" s="2" t="str">
        <v>00</v>
      </c>
      <c r="CM28" s="2" t="str">
        <v>00</v>
      </c>
      <c r="CN28" s="2" t="str">
        <v>00</v>
      </c>
      <c r="CP28" s="4" t="str">
        <f t="shared" si="13"/>
        <v>!byte $01, $01, $01, $01, $01, $00, $00, $00</v>
      </c>
    </row>
    <row r="29" spans="1:94" x14ac:dyDescent="0.3">
      <c r="A29" s="2">
        <v>1</v>
      </c>
      <c r="B29" s="2">
        <v>1</v>
      </c>
      <c r="C29" s="2">
        <v>1</v>
      </c>
      <c r="D29" s="2">
        <v>0</v>
      </c>
      <c r="E29" s="2">
        <v>0</v>
      </c>
      <c r="F29" s="2">
        <v>0</v>
      </c>
      <c r="G29" s="2">
        <v>2</v>
      </c>
      <c r="H29" s="2">
        <v>2</v>
      </c>
      <c r="I29" s="2">
        <v>2</v>
      </c>
      <c r="J29" s="2">
        <v>2</v>
      </c>
      <c r="K29" s="2">
        <v>2</v>
      </c>
      <c r="L29" s="2">
        <v>2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0</v>
      </c>
      <c r="T29" s="2">
        <v>0</v>
      </c>
      <c r="U29" s="2">
        <v>2</v>
      </c>
      <c r="V29" s="2">
        <v>2</v>
      </c>
      <c r="W29" s="2">
        <v>3</v>
      </c>
      <c r="X29" s="2">
        <v>3</v>
      </c>
      <c r="Y29" s="2">
        <v>3</v>
      </c>
      <c r="Z29" s="2">
        <v>3</v>
      </c>
      <c r="AA29" s="2">
        <v>3</v>
      </c>
      <c r="AB29" s="2">
        <v>3</v>
      </c>
      <c r="AC29" s="2">
        <v>2</v>
      </c>
      <c r="AD29" s="2">
        <v>2</v>
      </c>
      <c r="AE29" s="2">
        <v>0</v>
      </c>
      <c r="AF29" s="2">
        <v>0</v>
      </c>
      <c r="AH29" s="2" t="str">
        <f>_xlfn.XLOOKUP(A29,'Vic colour ref'!$A$2:$A$5,'Vic colour ref'!$D$2:$D$5,"")</f>
        <v>01</v>
      </c>
      <c r="AI29" s="2" t="str">
        <f>_xlfn.XLOOKUP(B29,'Vic colour ref'!$A$2:$A$5,'Vic colour ref'!$D$2:$D$5,"")</f>
        <v>01</v>
      </c>
      <c r="AJ29" s="2" t="str">
        <f>_xlfn.XLOOKUP(C29,'Vic colour ref'!$A$2:$A$5,'Vic colour ref'!$D$2:$D$5,"")</f>
        <v>01</v>
      </c>
      <c r="AK29" s="2" t="str">
        <f>_xlfn.XLOOKUP(D29,'Vic colour ref'!$A$2:$A$5,'Vic colour ref'!$D$2:$D$5,"")</f>
        <v>00</v>
      </c>
      <c r="AL29" s="2" t="str">
        <f>_xlfn.XLOOKUP(E29,'Vic colour ref'!$A$2:$A$5,'Vic colour ref'!$D$2:$D$5,"")</f>
        <v>00</v>
      </c>
      <c r="AM29" s="2" t="str">
        <f>_xlfn.XLOOKUP(F29,'Vic colour ref'!$A$2:$A$5,'Vic colour ref'!$D$2:$D$5,"")</f>
        <v>00</v>
      </c>
      <c r="AN29" s="2">
        <f>_xlfn.XLOOKUP(G29,'Vic colour ref'!$A$2:$A$5,'Vic colour ref'!$D$2:$D$5,"")</f>
        <v>10</v>
      </c>
      <c r="AO29" s="2">
        <f>_xlfn.XLOOKUP(H29,'Vic colour ref'!$A$2:$A$5,'Vic colour ref'!$D$2:$D$5,"")</f>
        <v>10</v>
      </c>
      <c r="AP29" s="2">
        <f>_xlfn.XLOOKUP(I29,'Vic colour ref'!$A$2:$A$5,'Vic colour ref'!$D$2:$D$5,"")</f>
        <v>10</v>
      </c>
      <c r="AQ29" s="2">
        <f>_xlfn.XLOOKUP(J29,'Vic colour ref'!$A$2:$A$5,'Vic colour ref'!$D$2:$D$5,"")</f>
        <v>10</v>
      </c>
      <c r="AR29" s="2">
        <f>_xlfn.XLOOKUP(K29,'Vic colour ref'!$A$2:$A$5,'Vic colour ref'!$D$2:$D$5,"")</f>
        <v>10</v>
      </c>
      <c r="AS29" s="2">
        <f>_xlfn.XLOOKUP(L29,'Vic colour ref'!$A$2:$A$5,'Vic colour ref'!$D$2:$D$5,"")</f>
        <v>10</v>
      </c>
      <c r="AT29" s="2" t="str">
        <f>_xlfn.XLOOKUP(M29,'Vic colour ref'!$A$2:$A$5,'Vic colour ref'!$D$2:$D$5,"")</f>
        <v>00</v>
      </c>
      <c r="AU29" s="2" t="str">
        <f>_xlfn.XLOOKUP(N29,'Vic colour ref'!$A$2:$A$5,'Vic colour ref'!$D$2:$D$5,"")</f>
        <v>00</v>
      </c>
      <c r="AV29" s="2" t="str">
        <f>_xlfn.XLOOKUP(O29,'Vic colour ref'!$A$2:$A$5,'Vic colour ref'!$D$2:$D$5,"")</f>
        <v>00</v>
      </c>
      <c r="AW29" s="2" t="str">
        <f>_xlfn.XLOOKUP(P29,'Vic colour ref'!$A$2:$A$5,'Vic colour ref'!$D$2:$D$5,"")</f>
        <v>01</v>
      </c>
      <c r="AX29" s="2" t="str">
        <f>_xlfn.XLOOKUP(Q29,'Vic colour ref'!$A$2:$A$5,'Vic colour ref'!$D$2:$D$5,"")</f>
        <v>01</v>
      </c>
      <c r="AY29" s="2" t="str">
        <f>_xlfn.XLOOKUP(R29,'Vic colour ref'!$A$2:$A$5,'Vic colour ref'!$D$2:$D$5,"")</f>
        <v>01</v>
      </c>
      <c r="AZ29" s="2" t="str">
        <f>_xlfn.XLOOKUP(S29,'Vic colour ref'!$A$2:$A$5,'Vic colour ref'!$D$2:$D$5,"")</f>
        <v>00</v>
      </c>
      <c r="BA29" s="2" t="str">
        <f>_xlfn.XLOOKUP(T29,'Vic colour ref'!$A$2:$A$5,'Vic colour ref'!$D$2:$D$5,"")</f>
        <v>00</v>
      </c>
      <c r="BB29" s="2">
        <f>_xlfn.XLOOKUP(U29,'Vic colour ref'!$A$2:$A$5,'Vic colour ref'!$D$2:$D$5,"")</f>
        <v>10</v>
      </c>
      <c r="BC29" s="2">
        <f>_xlfn.XLOOKUP(V29,'Vic colour ref'!$A$2:$A$5,'Vic colour ref'!$D$2:$D$5,"")</f>
        <v>10</v>
      </c>
      <c r="BD29" s="2">
        <f>_xlfn.XLOOKUP(W29,'Vic colour ref'!$A$2:$A$5,'Vic colour ref'!$D$2:$D$5,"")</f>
        <v>11</v>
      </c>
      <c r="BE29" s="2">
        <f>_xlfn.XLOOKUP(X29,'Vic colour ref'!$A$2:$A$5,'Vic colour ref'!$D$2:$D$5,"")</f>
        <v>11</v>
      </c>
      <c r="BF29" s="2">
        <f>_xlfn.XLOOKUP(Y29,'Vic colour ref'!$A$2:$A$5,'Vic colour ref'!$D$2:$D$5,"")</f>
        <v>11</v>
      </c>
      <c r="BG29" s="2">
        <f>_xlfn.XLOOKUP(Z29,'Vic colour ref'!$A$2:$A$5,'Vic colour ref'!$D$2:$D$5,"")</f>
        <v>11</v>
      </c>
      <c r="BH29" s="2">
        <f>_xlfn.XLOOKUP(AA29,'Vic colour ref'!$A$2:$A$5,'Vic colour ref'!$D$2:$D$5,"")</f>
        <v>11</v>
      </c>
      <c r="BI29" s="2">
        <f>_xlfn.XLOOKUP(AB29,'Vic colour ref'!$A$2:$A$5,'Vic colour ref'!$D$2:$D$5,"")</f>
        <v>11</v>
      </c>
      <c r="BJ29" s="2">
        <f>_xlfn.XLOOKUP(AC29,'Vic colour ref'!$A$2:$A$5,'Vic colour ref'!$D$2:$D$5,"")</f>
        <v>10</v>
      </c>
      <c r="BK29" s="2">
        <f>_xlfn.XLOOKUP(AD29,'Vic colour ref'!$A$2:$A$5,'Vic colour ref'!$D$2:$D$5,"")</f>
        <v>10</v>
      </c>
      <c r="BL29" s="2" t="str">
        <f>_xlfn.XLOOKUP(AE29,'Vic colour ref'!$A$2:$A$5,'Vic colour ref'!$D$2:$D$5,"")</f>
        <v>00</v>
      </c>
      <c r="BM29" s="2" t="str">
        <f>_xlfn.XLOOKUP(AF29,'Vic colour ref'!$A$2:$A$5,'Vic colour ref'!$D$2:$D$5,"")</f>
        <v>00</v>
      </c>
      <c r="BO29" s="18" t="str">
        <f t="shared" si="1"/>
        <v>01010100</v>
      </c>
      <c r="BP29" s="18" t="str">
        <f t="shared" si="2"/>
        <v>00001010</v>
      </c>
      <c r="BQ29" s="18" t="str">
        <f t="shared" si="3"/>
        <v>10101010</v>
      </c>
      <c r="BR29" s="18" t="str">
        <f t="shared" si="4"/>
        <v>00000001</v>
      </c>
      <c r="BS29" s="18" t="str">
        <f t="shared" si="5"/>
        <v>01010000</v>
      </c>
      <c r="BT29" s="18" t="str">
        <f t="shared" si="6"/>
        <v>10101111</v>
      </c>
      <c r="BU29" s="18" t="str">
        <f t="shared" si="7"/>
        <v>11111111</v>
      </c>
      <c r="BV29" s="18" t="str">
        <f t="shared" si="8"/>
        <v>10100000</v>
      </c>
      <c r="BX29" s="21" t="str">
        <f t="shared" si="9"/>
        <v>54</v>
      </c>
      <c r="BY29" s="21" t="str">
        <f t="shared" si="10"/>
        <v>0A</v>
      </c>
      <c r="BZ29" s="21" t="str">
        <f t="shared" si="11"/>
        <v>AA</v>
      </c>
      <c r="CA29" s="21" t="str">
        <f t="shared" si="11"/>
        <v>01</v>
      </c>
      <c r="CB29" s="21" t="str">
        <f t="shared" si="11"/>
        <v>50</v>
      </c>
      <c r="CC29" s="21" t="str">
        <f t="shared" si="11"/>
        <v>AF</v>
      </c>
      <c r="CD29" s="21" t="str">
        <f t="shared" si="14"/>
        <v>FF</v>
      </c>
      <c r="CE29" s="21" t="str">
        <f t="shared" si="12"/>
        <v>A0</v>
      </c>
      <c r="CG29" s="2" t="str" cm="1">
        <f t="array" ref="CG29:CN29">TRANSPOSE(CB25:CB32)</f>
        <v>50</v>
      </c>
      <c r="CH29" s="2" t="str">
        <v>50</v>
      </c>
      <c r="CI29" s="2" t="str">
        <v>50</v>
      </c>
      <c r="CJ29" s="2" t="str">
        <v>50</v>
      </c>
      <c r="CK29" s="2" t="str">
        <v>50</v>
      </c>
      <c r="CL29" s="2" t="str">
        <v>00</v>
      </c>
      <c r="CM29" s="2" t="str">
        <v>00</v>
      </c>
      <c r="CN29" s="2" t="str">
        <v>00</v>
      </c>
      <c r="CP29" s="4" t="str">
        <f t="shared" si="13"/>
        <v>!byte $50, $50, $50, $50, $50, $00, $00, $00</v>
      </c>
    </row>
    <row r="30" spans="1:94" x14ac:dyDescent="0.3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2</v>
      </c>
      <c r="V30" s="2">
        <v>2</v>
      </c>
      <c r="W30" s="2">
        <v>3</v>
      </c>
      <c r="X30" s="2">
        <v>3</v>
      </c>
      <c r="Y30" s="2">
        <v>3</v>
      </c>
      <c r="Z30" s="2">
        <v>3</v>
      </c>
      <c r="AA30" s="2">
        <v>3</v>
      </c>
      <c r="AB30" s="2">
        <v>3</v>
      </c>
      <c r="AC30" s="2">
        <v>2</v>
      </c>
      <c r="AD30" s="2">
        <v>2</v>
      </c>
      <c r="AE30" s="2">
        <v>0</v>
      </c>
      <c r="AF30" s="2">
        <v>0</v>
      </c>
      <c r="AH30" s="2" t="str">
        <f>_xlfn.XLOOKUP(A30,'Vic colour ref'!$A$2:$A$5,'Vic colour ref'!$D$2:$D$5,"")</f>
        <v>00</v>
      </c>
      <c r="AI30" s="2" t="str">
        <f>_xlfn.XLOOKUP(B30,'Vic colour ref'!$A$2:$A$5,'Vic colour ref'!$D$2:$D$5,"")</f>
        <v>00</v>
      </c>
      <c r="AJ30" s="2" t="str">
        <f>_xlfn.XLOOKUP(C30,'Vic colour ref'!$A$2:$A$5,'Vic colour ref'!$D$2:$D$5,"")</f>
        <v>00</v>
      </c>
      <c r="AK30" s="2" t="str">
        <f>_xlfn.XLOOKUP(D30,'Vic colour ref'!$A$2:$A$5,'Vic colour ref'!$D$2:$D$5,"")</f>
        <v>00</v>
      </c>
      <c r="AL30" s="2" t="str">
        <f>_xlfn.XLOOKUP(E30,'Vic colour ref'!$A$2:$A$5,'Vic colour ref'!$D$2:$D$5,"")</f>
        <v>00</v>
      </c>
      <c r="AM30" s="2" t="str">
        <f>_xlfn.XLOOKUP(F30,'Vic colour ref'!$A$2:$A$5,'Vic colour ref'!$D$2:$D$5,"")</f>
        <v>00</v>
      </c>
      <c r="AN30" s="2" t="str">
        <f>_xlfn.XLOOKUP(G30,'Vic colour ref'!$A$2:$A$5,'Vic colour ref'!$D$2:$D$5,"")</f>
        <v>01</v>
      </c>
      <c r="AO30" s="2" t="str">
        <f>_xlfn.XLOOKUP(H30,'Vic colour ref'!$A$2:$A$5,'Vic colour ref'!$D$2:$D$5,"")</f>
        <v>01</v>
      </c>
      <c r="AP30" s="2" t="str">
        <f>_xlfn.XLOOKUP(I30,'Vic colour ref'!$A$2:$A$5,'Vic colour ref'!$D$2:$D$5,"")</f>
        <v>01</v>
      </c>
      <c r="AQ30" s="2" t="str">
        <f>_xlfn.XLOOKUP(J30,'Vic colour ref'!$A$2:$A$5,'Vic colour ref'!$D$2:$D$5,"")</f>
        <v>01</v>
      </c>
      <c r="AR30" s="2" t="str">
        <f>_xlfn.XLOOKUP(K30,'Vic colour ref'!$A$2:$A$5,'Vic colour ref'!$D$2:$D$5,"")</f>
        <v>01</v>
      </c>
      <c r="AS30" s="2" t="str">
        <f>_xlfn.XLOOKUP(L30,'Vic colour ref'!$A$2:$A$5,'Vic colour ref'!$D$2:$D$5,"")</f>
        <v>01</v>
      </c>
      <c r="AT30" s="2" t="str">
        <f>_xlfn.XLOOKUP(M30,'Vic colour ref'!$A$2:$A$5,'Vic colour ref'!$D$2:$D$5,"")</f>
        <v>00</v>
      </c>
      <c r="AU30" s="2" t="str">
        <f>_xlfn.XLOOKUP(N30,'Vic colour ref'!$A$2:$A$5,'Vic colour ref'!$D$2:$D$5,"")</f>
        <v>00</v>
      </c>
      <c r="AV30" s="2" t="str">
        <f>_xlfn.XLOOKUP(O30,'Vic colour ref'!$A$2:$A$5,'Vic colour ref'!$D$2:$D$5,"")</f>
        <v>00</v>
      </c>
      <c r="AW30" s="2" t="str">
        <f>_xlfn.XLOOKUP(P30,'Vic colour ref'!$A$2:$A$5,'Vic colour ref'!$D$2:$D$5,"")</f>
        <v>00</v>
      </c>
      <c r="AX30" s="2" t="str">
        <f>_xlfn.XLOOKUP(Q30,'Vic colour ref'!$A$2:$A$5,'Vic colour ref'!$D$2:$D$5,"")</f>
        <v>00</v>
      </c>
      <c r="AY30" s="2" t="str">
        <f>_xlfn.XLOOKUP(R30,'Vic colour ref'!$A$2:$A$5,'Vic colour ref'!$D$2:$D$5,"")</f>
        <v>00</v>
      </c>
      <c r="AZ30" s="2" t="str">
        <f>_xlfn.XLOOKUP(S30,'Vic colour ref'!$A$2:$A$5,'Vic colour ref'!$D$2:$D$5,"")</f>
        <v>00</v>
      </c>
      <c r="BA30" s="2" t="str">
        <f>_xlfn.XLOOKUP(T30,'Vic colour ref'!$A$2:$A$5,'Vic colour ref'!$D$2:$D$5,"")</f>
        <v>00</v>
      </c>
      <c r="BB30" s="2">
        <f>_xlfn.XLOOKUP(U30,'Vic colour ref'!$A$2:$A$5,'Vic colour ref'!$D$2:$D$5,"")</f>
        <v>10</v>
      </c>
      <c r="BC30" s="2">
        <f>_xlfn.XLOOKUP(V30,'Vic colour ref'!$A$2:$A$5,'Vic colour ref'!$D$2:$D$5,"")</f>
        <v>10</v>
      </c>
      <c r="BD30" s="2">
        <f>_xlfn.XLOOKUP(W30,'Vic colour ref'!$A$2:$A$5,'Vic colour ref'!$D$2:$D$5,"")</f>
        <v>11</v>
      </c>
      <c r="BE30" s="2">
        <f>_xlfn.XLOOKUP(X30,'Vic colour ref'!$A$2:$A$5,'Vic colour ref'!$D$2:$D$5,"")</f>
        <v>11</v>
      </c>
      <c r="BF30" s="2">
        <f>_xlfn.XLOOKUP(Y30,'Vic colour ref'!$A$2:$A$5,'Vic colour ref'!$D$2:$D$5,"")</f>
        <v>11</v>
      </c>
      <c r="BG30" s="2">
        <f>_xlfn.XLOOKUP(Z30,'Vic colour ref'!$A$2:$A$5,'Vic colour ref'!$D$2:$D$5,"")</f>
        <v>11</v>
      </c>
      <c r="BH30" s="2">
        <f>_xlfn.XLOOKUP(AA30,'Vic colour ref'!$A$2:$A$5,'Vic colour ref'!$D$2:$D$5,"")</f>
        <v>11</v>
      </c>
      <c r="BI30" s="2">
        <f>_xlfn.XLOOKUP(AB30,'Vic colour ref'!$A$2:$A$5,'Vic colour ref'!$D$2:$D$5,"")</f>
        <v>11</v>
      </c>
      <c r="BJ30" s="2">
        <f>_xlfn.XLOOKUP(AC30,'Vic colour ref'!$A$2:$A$5,'Vic colour ref'!$D$2:$D$5,"")</f>
        <v>10</v>
      </c>
      <c r="BK30" s="2">
        <f>_xlfn.XLOOKUP(AD30,'Vic colour ref'!$A$2:$A$5,'Vic colour ref'!$D$2:$D$5,"")</f>
        <v>10</v>
      </c>
      <c r="BL30" s="2" t="str">
        <f>_xlfn.XLOOKUP(AE30,'Vic colour ref'!$A$2:$A$5,'Vic colour ref'!$D$2:$D$5,"")</f>
        <v>00</v>
      </c>
      <c r="BM30" s="2" t="str">
        <f>_xlfn.XLOOKUP(AF30,'Vic colour ref'!$A$2:$A$5,'Vic colour ref'!$D$2:$D$5,"")</f>
        <v>00</v>
      </c>
      <c r="BO30" s="18" t="str">
        <f t="shared" si="1"/>
        <v>00000000</v>
      </c>
      <c r="BP30" s="18" t="str">
        <f t="shared" si="2"/>
        <v>00000101</v>
      </c>
      <c r="BQ30" s="18" t="str">
        <f t="shared" si="3"/>
        <v>01010101</v>
      </c>
      <c r="BR30" s="18" t="str">
        <f t="shared" si="4"/>
        <v>00000000</v>
      </c>
      <c r="BS30" s="18" t="str">
        <f t="shared" si="5"/>
        <v>00000000</v>
      </c>
      <c r="BT30" s="18" t="str">
        <f t="shared" si="6"/>
        <v>10101111</v>
      </c>
      <c r="BU30" s="18" t="str">
        <f t="shared" si="7"/>
        <v>11111111</v>
      </c>
      <c r="BV30" s="18" t="str">
        <f t="shared" si="8"/>
        <v>10100000</v>
      </c>
      <c r="BX30" s="21" t="str">
        <f t="shared" si="9"/>
        <v>00</v>
      </c>
      <c r="BY30" s="21" t="str">
        <f t="shared" si="10"/>
        <v>05</v>
      </c>
      <c r="BZ30" s="21" t="str">
        <f t="shared" si="11"/>
        <v>55</v>
      </c>
      <c r="CA30" s="21" t="str">
        <f t="shared" si="11"/>
        <v>00</v>
      </c>
      <c r="CB30" s="21" t="str">
        <f t="shared" si="11"/>
        <v>00</v>
      </c>
      <c r="CC30" s="21" t="str">
        <f t="shared" si="11"/>
        <v>AF</v>
      </c>
      <c r="CD30" s="21" t="str">
        <f t="shared" si="14"/>
        <v>FF</v>
      </c>
      <c r="CE30" s="21" t="str">
        <f t="shared" si="12"/>
        <v>A0</v>
      </c>
      <c r="CG30" s="2" t="str" cm="1">
        <f t="array" ref="CG30:CN30">TRANSPOSE(CC25:CC32)</f>
        <v>0F</v>
      </c>
      <c r="CH30" s="2" t="str">
        <v>0F</v>
      </c>
      <c r="CI30" s="2" t="str">
        <v>0F</v>
      </c>
      <c r="CJ30" s="2" t="str">
        <v>0F</v>
      </c>
      <c r="CK30" s="2" t="str">
        <v>AF</v>
      </c>
      <c r="CL30" s="2" t="str">
        <v>AF</v>
      </c>
      <c r="CM30" s="2" t="str">
        <v>FA</v>
      </c>
      <c r="CN30" s="2" t="str">
        <v>FA</v>
      </c>
      <c r="CP30" s="4" t="str">
        <f t="shared" si="13"/>
        <v>!byte $0f, $0f, $0f, $0f, $af, $af, $fa, $fa</v>
      </c>
    </row>
    <row r="31" spans="1:94" x14ac:dyDescent="0.3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3</v>
      </c>
      <c r="V31" s="2">
        <v>3</v>
      </c>
      <c r="W31" s="2">
        <v>2</v>
      </c>
      <c r="X31" s="2">
        <v>2</v>
      </c>
      <c r="Y31" s="2">
        <v>3</v>
      </c>
      <c r="Z31" s="2">
        <v>3</v>
      </c>
      <c r="AA31" s="2">
        <v>3</v>
      </c>
      <c r="AB31" s="2">
        <v>3</v>
      </c>
      <c r="AC31" s="2">
        <v>3</v>
      </c>
      <c r="AD31" s="2">
        <v>3</v>
      </c>
      <c r="AE31" s="2">
        <v>0</v>
      </c>
      <c r="AF31" s="2">
        <v>0</v>
      </c>
      <c r="AH31" s="2" t="str">
        <f>_xlfn.XLOOKUP(A31,'Vic colour ref'!$A$2:$A$5,'Vic colour ref'!$D$2:$D$5,"")</f>
        <v>00</v>
      </c>
      <c r="AI31" s="2" t="str">
        <f>_xlfn.XLOOKUP(B31,'Vic colour ref'!$A$2:$A$5,'Vic colour ref'!$D$2:$D$5,"")</f>
        <v>00</v>
      </c>
      <c r="AJ31" s="2" t="str">
        <f>_xlfn.XLOOKUP(C31,'Vic colour ref'!$A$2:$A$5,'Vic colour ref'!$D$2:$D$5,"")</f>
        <v>00</v>
      </c>
      <c r="AK31" s="2" t="str">
        <f>_xlfn.XLOOKUP(D31,'Vic colour ref'!$A$2:$A$5,'Vic colour ref'!$D$2:$D$5,"")</f>
        <v>00</v>
      </c>
      <c r="AL31" s="2" t="str">
        <f>_xlfn.XLOOKUP(E31,'Vic colour ref'!$A$2:$A$5,'Vic colour ref'!$D$2:$D$5,"")</f>
        <v>00</v>
      </c>
      <c r="AM31" s="2" t="str">
        <f>_xlfn.XLOOKUP(F31,'Vic colour ref'!$A$2:$A$5,'Vic colour ref'!$D$2:$D$5,"")</f>
        <v>00</v>
      </c>
      <c r="AN31" s="2" t="str">
        <f>_xlfn.XLOOKUP(G31,'Vic colour ref'!$A$2:$A$5,'Vic colour ref'!$D$2:$D$5,"")</f>
        <v>01</v>
      </c>
      <c r="AO31" s="2" t="str">
        <f>_xlfn.XLOOKUP(H31,'Vic colour ref'!$A$2:$A$5,'Vic colour ref'!$D$2:$D$5,"")</f>
        <v>01</v>
      </c>
      <c r="AP31" s="2" t="str">
        <f>_xlfn.XLOOKUP(I31,'Vic colour ref'!$A$2:$A$5,'Vic colour ref'!$D$2:$D$5,"")</f>
        <v>01</v>
      </c>
      <c r="AQ31" s="2" t="str">
        <f>_xlfn.XLOOKUP(J31,'Vic colour ref'!$A$2:$A$5,'Vic colour ref'!$D$2:$D$5,"")</f>
        <v>01</v>
      </c>
      <c r="AR31" s="2" t="str">
        <f>_xlfn.XLOOKUP(K31,'Vic colour ref'!$A$2:$A$5,'Vic colour ref'!$D$2:$D$5,"")</f>
        <v>01</v>
      </c>
      <c r="AS31" s="2" t="str">
        <f>_xlfn.XLOOKUP(L31,'Vic colour ref'!$A$2:$A$5,'Vic colour ref'!$D$2:$D$5,"")</f>
        <v>01</v>
      </c>
      <c r="AT31" s="2" t="str">
        <f>_xlfn.XLOOKUP(M31,'Vic colour ref'!$A$2:$A$5,'Vic colour ref'!$D$2:$D$5,"")</f>
        <v>00</v>
      </c>
      <c r="AU31" s="2" t="str">
        <f>_xlfn.XLOOKUP(N31,'Vic colour ref'!$A$2:$A$5,'Vic colour ref'!$D$2:$D$5,"")</f>
        <v>00</v>
      </c>
      <c r="AV31" s="2" t="str">
        <f>_xlfn.XLOOKUP(O31,'Vic colour ref'!$A$2:$A$5,'Vic colour ref'!$D$2:$D$5,"")</f>
        <v>00</v>
      </c>
      <c r="AW31" s="2" t="str">
        <f>_xlfn.XLOOKUP(P31,'Vic colour ref'!$A$2:$A$5,'Vic colour ref'!$D$2:$D$5,"")</f>
        <v>00</v>
      </c>
      <c r="AX31" s="2" t="str">
        <f>_xlfn.XLOOKUP(Q31,'Vic colour ref'!$A$2:$A$5,'Vic colour ref'!$D$2:$D$5,"")</f>
        <v>00</v>
      </c>
      <c r="AY31" s="2" t="str">
        <f>_xlfn.XLOOKUP(R31,'Vic colour ref'!$A$2:$A$5,'Vic colour ref'!$D$2:$D$5,"")</f>
        <v>00</v>
      </c>
      <c r="AZ31" s="2" t="str">
        <f>_xlfn.XLOOKUP(S31,'Vic colour ref'!$A$2:$A$5,'Vic colour ref'!$D$2:$D$5,"")</f>
        <v>00</v>
      </c>
      <c r="BA31" s="2" t="str">
        <f>_xlfn.XLOOKUP(T31,'Vic colour ref'!$A$2:$A$5,'Vic colour ref'!$D$2:$D$5,"")</f>
        <v>00</v>
      </c>
      <c r="BB31" s="2">
        <f>_xlfn.XLOOKUP(U31,'Vic colour ref'!$A$2:$A$5,'Vic colour ref'!$D$2:$D$5,"")</f>
        <v>11</v>
      </c>
      <c r="BC31" s="2">
        <f>_xlfn.XLOOKUP(V31,'Vic colour ref'!$A$2:$A$5,'Vic colour ref'!$D$2:$D$5,"")</f>
        <v>11</v>
      </c>
      <c r="BD31" s="2">
        <f>_xlfn.XLOOKUP(W31,'Vic colour ref'!$A$2:$A$5,'Vic colour ref'!$D$2:$D$5,"")</f>
        <v>10</v>
      </c>
      <c r="BE31" s="2">
        <f>_xlfn.XLOOKUP(X31,'Vic colour ref'!$A$2:$A$5,'Vic colour ref'!$D$2:$D$5,"")</f>
        <v>10</v>
      </c>
      <c r="BF31" s="2">
        <f>_xlfn.XLOOKUP(Y31,'Vic colour ref'!$A$2:$A$5,'Vic colour ref'!$D$2:$D$5,"")</f>
        <v>11</v>
      </c>
      <c r="BG31" s="2">
        <f>_xlfn.XLOOKUP(Z31,'Vic colour ref'!$A$2:$A$5,'Vic colour ref'!$D$2:$D$5,"")</f>
        <v>11</v>
      </c>
      <c r="BH31" s="2">
        <f>_xlfn.XLOOKUP(AA31,'Vic colour ref'!$A$2:$A$5,'Vic colour ref'!$D$2:$D$5,"")</f>
        <v>11</v>
      </c>
      <c r="BI31" s="2">
        <f>_xlfn.XLOOKUP(AB31,'Vic colour ref'!$A$2:$A$5,'Vic colour ref'!$D$2:$D$5,"")</f>
        <v>11</v>
      </c>
      <c r="BJ31" s="2">
        <f>_xlfn.XLOOKUP(AC31,'Vic colour ref'!$A$2:$A$5,'Vic colour ref'!$D$2:$D$5,"")</f>
        <v>11</v>
      </c>
      <c r="BK31" s="2">
        <f>_xlfn.XLOOKUP(AD31,'Vic colour ref'!$A$2:$A$5,'Vic colour ref'!$D$2:$D$5,"")</f>
        <v>11</v>
      </c>
      <c r="BL31" s="2" t="str">
        <f>_xlfn.XLOOKUP(AE31,'Vic colour ref'!$A$2:$A$5,'Vic colour ref'!$D$2:$D$5,"")</f>
        <v>00</v>
      </c>
      <c r="BM31" s="2" t="str">
        <f>_xlfn.XLOOKUP(AF31,'Vic colour ref'!$A$2:$A$5,'Vic colour ref'!$D$2:$D$5,"")</f>
        <v>00</v>
      </c>
      <c r="BO31" s="18" t="str">
        <f t="shared" si="1"/>
        <v>00000000</v>
      </c>
      <c r="BP31" s="18" t="str">
        <f t="shared" si="2"/>
        <v>00000101</v>
      </c>
      <c r="BQ31" s="18" t="str">
        <f t="shared" si="3"/>
        <v>01010101</v>
      </c>
      <c r="BR31" s="18" t="str">
        <f t="shared" si="4"/>
        <v>00000000</v>
      </c>
      <c r="BS31" s="18" t="str">
        <f t="shared" si="5"/>
        <v>00000000</v>
      </c>
      <c r="BT31" s="18" t="str">
        <f t="shared" si="6"/>
        <v>11111010</v>
      </c>
      <c r="BU31" s="18" t="str">
        <f t="shared" si="7"/>
        <v>11111111</v>
      </c>
      <c r="BV31" s="18" t="str">
        <f t="shared" si="8"/>
        <v>11110000</v>
      </c>
      <c r="BX31" s="21" t="str">
        <f t="shared" si="9"/>
        <v>00</v>
      </c>
      <c r="BY31" s="21" t="str">
        <f t="shared" si="10"/>
        <v>05</v>
      </c>
      <c r="BZ31" s="21" t="str">
        <f t="shared" si="11"/>
        <v>55</v>
      </c>
      <c r="CA31" s="21" t="str">
        <f t="shared" si="11"/>
        <v>00</v>
      </c>
      <c r="CB31" s="21" t="str">
        <f t="shared" si="11"/>
        <v>00</v>
      </c>
      <c r="CC31" s="21" t="str">
        <f t="shared" si="11"/>
        <v>FA</v>
      </c>
      <c r="CD31" s="21" t="str">
        <f t="shared" si="14"/>
        <v>FF</v>
      </c>
      <c r="CE31" s="21" t="str">
        <f t="shared" si="12"/>
        <v>F0</v>
      </c>
      <c r="CG31" s="2" t="str" cm="1">
        <f t="array" ref="CG31:CN31">TRANSPOSE(CD25:CD32)</f>
        <v>AF</v>
      </c>
      <c r="CH31" s="2" t="str">
        <v>AF</v>
      </c>
      <c r="CI31" s="2" t="str">
        <v>FA</v>
      </c>
      <c r="CJ31" s="2" t="str">
        <v>FA</v>
      </c>
      <c r="CK31" s="2" t="str">
        <v>FF</v>
      </c>
      <c r="CL31" s="2" t="str">
        <v>FF</v>
      </c>
      <c r="CM31" s="2" t="str">
        <v>FF</v>
      </c>
      <c r="CN31" s="2" t="str">
        <v>FF</v>
      </c>
      <c r="CP31" s="4" t="str">
        <f t="shared" si="13"/>
        <v>!byte $af, $af, $fa, $fa, $ff, $ff, $ff, $ff</v>
      </c>
    </row>
    <row r="32" spans="1:94" x14ac:dyDescent="0.3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3</v>
      </c>
      <c r="V32" s="2">
        <v>3</v>
      </c>
      <c r="W32" s="2">
        <v>2</v>
      </c>
      <c r="X32" s="2">
        <v>2</v>
      </c>
      <c r="Y32" s="2">
        <v>3</v>
      </c>
      <c r="Z32" s="2">
        <v>3</v>
      </c>
      <c r="AA32" s="2">
        <v>3</v>
      </c>
      <c r="AB32" s="2">
        <v>3</v>
      </c>
      <c r="AC32" s="2">
        <v>3</v>
      </c>
      <c r="AD32" s="2">
        <v>3</v>
      </c>
      <c r="AE32" s="2">
        <v>0</v>
      </c>
      <c r="AF32" s="2">
        <v>0</v>
      </c>
      <c r="AH32" s="2" t="str">
        <f>_xlfn.XLOOKUP(A32,'Vic colour ref'!$A$2:$A$5,'Vic colour ref'!$D$2:$D$5,"")</f>
        <v>00</v>
      </c>
      <c r="AI32" s="2" t="str">
        <f>_xlfn.XLOOKUP(B32,'Vic colour ref'!$A$2:$A$5,'Vic colour ref'!$D$2:$D$5,"")</f>
        <v>00</v>
      </c>
      <c r="AJ32" s="2" t="str">
        <f>_xlfn.XLOOKUP(C32,'Vic colour ref'!$A$2:$A$5,'Vic colour ref'!$D$2:$D$5,"")</f>
        <v>00</v>
      </c>
      <c r="AK32" s="2" t="str">
        <f>_xlfn.XLOOKUP(D32,'Vic colour ref'!$A$2:$A$5,'Vic colour ref'!$D$2:$D$5,"")</f>
        <v>00</v>
      </c>
      <c r="AL32" s="2" t="str">
        <f>_xlfn.XLOOKUP(E32,'Vic colour ref'!$A$2:$A$5,'Vic colour ref'!$D$2:$D$5,"")</f>
        <v>00</v>
      </c>
      <c r="AM32" s="2" t="str">
        <f>_xlfn.XLOOKUP(F32,'Vic colour ref'!$A$2:$A$5,'Vic colour ref'!$D$2:$D$5,"")</f>
        <v>00</v>
      </c>
      <c r="AN32" s="2" t="str">
        <f>_xlfn.XLOOKUP(G32,'Vic colour ref'!$A$2:$A$5,'Vic colour ref'!$D$2:$D$5,"")</f>
        <v>01</v>
      </c>
      <c r="AO32" s="2" t="str">
        <f>_xlfn.XLOOKUP(H32,'Vic colour ref'!$A$2:$A$5,'Vic colour ref'!$D$2:$D$5,"")</f>
        <v>01</v>
      </c>
      <c r="AP32" s="2" t="str">
        <f>_xlfn.XLOOKUP(I32,'Vic colour ref'!$A$2:$A$5,'Vic colour ref'!$D$2:$D$5,"")</f>
        <v>01</v>
      </c>
      <c r="AQ32" s="2" t="str">
        <f>_xlfn.XLOOKUP(J32,'Vic colour ref'!$A$2:$A$5,'Vic colour ref'!$D$2:$D$5,"")</f>
        <v>01</v>
      </c>
      <c r="AR32" s="2" t="str">
        <f>_xlfn.XLOOKUP(K32,'Vic colour ref'!$A$2:$A$5,'Vic colour ref'!$D$2:$D$5,"")</f>
        <v>01</v>
      </c>
      <c r="AS32" s="2" t="str">
        <f>_xlfn.XLOOKUP(L32,'Vic colour ref'!$A$2:$A$5,'Vic colour ref'!$D$2:$D$5,"")</f>
        <v>01</v>
      </c>
      <c r="AT32" s="2" t="str">
        <f>_xlfn.XLOOKUP(M32,'Vic colour ref'!$A$2:$A$5,'Vic colour ref'!$D$2:$D$5,"")</f>
        <v>00</v>
      </c>
      <c r="AU32" s="2" t="str">
        <f>_xlfn.XLOOKUP(N32,'Vic colour ref'!$A$2:$A$5,'Vic colour ref'!$D$2:$D$5,"")</f>
        <v>00</v>
      </c>
      <c r="AV32" s="2" t="str">
        <f>_xlfn.XLOOKUP(O32,'Vic colour ref'!$A$2:$A$5,'Vic colour ref'!$D$2:$D$5,"")</f>
        <v>00</v>
      </c>
      <c r="AW32" s="2" t="str">
        <f>_xlfn.XLOOKUP(P32,'Vic colour ref'!$A$2:$A$5,'Vic colour ref'!$D$2:$D$5,"")</f>
        <v>00</v>
      </c>
      <c r="AX32" s="2" t="str">
        <f>_xlfn.XLOOKUP(Q32,'Vic colour ref'!$A$2:$A$5,'Vic colour ref'!$D$2:$D$5,"")</f>
        <v>00</v>
      </c>
      <c r="AY32" s="2" t="str">
        <f>_xlfn.XLOOKUP(R32,'Vic colour ref'!$A$2:$A$5,'Vic colour ref'!$D$2:$D$5,"")</f>
        <v>00</v>
      </c>
      <c r="AZ32" s="2" t="str">
        <f>_xlfn.XLOOKUP(S32,'Vic colour ref'!$A$2:$A$5,'Vic colour ref'!$D$2:$D$5,"")</f>
        <v>00</v>
      </c>
      <c r="BA32" s="2" t="str">
        <f>_xlfn.XLOOKUP(T32,'Vic colour ref'!$A$2:$A$5,'Vic colour ref'!$D$2:$D$5,"")</f>
        <v>00</v>
      </c>
      <c r="BB32" s="2">
        <f>_xlfn.XLOOKUP(U32,'Vic colour ref'!$A$2:$A$5,'Vic colour ref'!$D$2:$D$5,"")</f>
        <v>11</v>
      </c>
      <c r="BC32" s="2">
        <f>_xlfn.XLOOKUP(V32,'Vic colour ref'!$A$2:$A$5,'Vic colour ref'!$D$2:$D$5,"")</f>
        <v>11</v>
      </c>
      <c r="BD32" s="2">
        <f>_xlfn.XLOOKUP(W32,'Vic colour ref'!$A$2:$A$5,'Vic colour ref'!$D$2:$D$5,"")</f>
        <v>10</v>
      </c>
      <c r="BE32" s="2">
        <f>_xlfn.XLOOKUP(X32,'Vic colour ref'!$A$2:$A$5,'Vic colour ref'!$D$2:$D$5,"")</f>
        <v>10</v>
      </c>
      <c r="BF32" s="2">
        <f>_xlfn.XLOOKUP(Y32,'Vic colour ref'!$A$2:$A$5,'Vic colour ref'!$D$2:$D$5,"")</f>
        <v>11</v>
      </c>
      <c r="BG32" s="2">
        <f>_xlfn.XLOOKUP(Z32,'Vic colour ref'!$A$2:$A$5,'Vic colour ref'!$D$2:$D$5,"")</f>
        <v>11</v>
      </c>
      <c r="BH32" s="2">
        <f>_xlfn.XLOOKUP(AA32,'Vic colour ref'!$A$2:$A$5,'Vic colour ref'!$D$2:$D$5,"")</f>
        <v>11</v>
      </c>
      <c r="BI32" s="2">
        <f>_xlfn.XLOOKUP(AB32,'Vic colour ref'!$A$2:$A$5,'Vic colour ref'!$D$2:$D$5,"")</f>
        <v>11</v>
      </c>
      <c r="BJ32" s="2">
        <f>_xlfn.XLOOKUP(AC32,'Vic colour ref'!$A$2:$A$5,'Vic colour ref'!$D$2:$D$5,"")</f>
        <v>11</v>
      </c>
      <c r="BK32" s="2">
        <f>_xlfn.XLOOKUP(AD32,'Vic colour ref'!$A$2:$A$5,'Vic colour ref'!$D$2:$D$5,"")</f>
        <v>11</v>
      </c>
      <c r="BL32" s="2" t="str">
        <f>_xlfn.XLOOKUP(AE32,'Vic colour ref'!$A$2:$A$5,'Vic colour ref'!$D$2:$D$5,"")</f>
        <v>00</v>
      </c>
      <c r="BM32" s="2" t="str">
        <f>_xlfn.XLOOKUP(AF32,'Vic colour ref'!$A$2:$A$5,'Vic colour ref'!$D$2:$D$5,"")</f>
        <v>00</v>
      </c>
      <c r="BO32" s="19" t="str">
        <f t="shared" si="1"/>
        <v>00000000</v>
      </c>
      <c r="BP32" s="19" t="str">
        <f t="shared" si="2"/>
        <v>00000101</v>
      </c>
      <c r="BQ32" s="19" t="str">
        <f t="shared" si="3"/>
        <v>01010101</v>
      </c>
      <c r="BR32" s="19" t="str">
        <f t="shared" si="4"/>
        <v>00000000</v>
      </c>
      <c r="BS32" s="19" t="str">
        <f t="shared" si="5"/>
        <v>00000000</v>
      </c>
      <c r="BT32" s="19" t="str">
        <f t="shared" si="6"/>
        <v>11111010</v>
      </c>
      <c r="BU32" s="19" t="str">
        <f t="shared" si="7"/>
        <v>11111111</v>
      </c>
      <c r="BV32" s="19" t="str">
        <f t="shared" si="8"/>
        <v>11110000</v>
      </c>
      <c r="BX32" s="22" t="str">
        <f t="shared" si="9"/>
        <v>00</v>
      </c>
      <c r="BY32" s="22" t="str">
        <f t="shared" si="10"/>
        <v>05</v>
      </c>
      <c r="BZ32" s="22" t="str">
        <f t="shared" si="11"/>
        <v>55</v>
      </c>
      <c r="CA32" s="22" t="str">
        <f t="shared" si="11"/>
        <v>00</v>
      </c>
      <c r="CB32" s="22" t="str">
        <f t="shared" si="11"/>
        <v>00</v>
      </c>
      <c r="CC32" s="22" t="str">
        <f t="shared" si="11"/>
        <v>FA</v>
      </c>
      <c r="CD32" s="22" t="str">
        <f t="shared" si="14"/>
        <v>FF</v>
      </c>
      <c r="CE32" s="22" t="str">
        <f t="shared" si="12"/>
        <v>F0</v>
      </c>
      <c r="CG32" s="2" t="str" cm="1">
        <f t="array" ref="CG32:CN32">TRANSPOSE(CE25:CE32)</f>
        <v>00</v>
      </c>
      <c r="CH32" s="2" t="str">
        <v>00</v>
      </c>
      <c r="CI32" s="2" t="str">
        <v>00</v>
      </c>
      <c r="CJ32" s="2" t="str">
        <v>00</v>
      </c>
      <c r="CK32" s="2" t="str">
        <v>A0</v>
      </c>
      <c r="CL32" s="2" t="str">
        <v>A0</v>
      </c>
      <c r="CM32" s="2" t="str">
        <v>F0</v>
      </c>
      <c r="CN32" s="2" t="str">
        <v>F0</v>
      </c>
      <c r="CP32" s="4" t="str">
        <f t="shared" si="13"/>
        <v>!byte $00, $00, $00, $00, $a0, $a0, $f0, $f0</v>
      </c>
    </row>
    <row r="33" spans="1:94" x14ac:dyDescent="0.3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3</v>
      </c>
      <c r="T33" s="2">
        <v>3</v>
      </c>
      <c r="U33" s="2">
        <v>3</v>
      </c>
      <c r="V33" s="2">
        <v>3</v>
      </c>
      <c r="W33" s="2">
        <v>3</v>
      </c>
      <c r="X33" s="2">
        <v>3</v>
      </c>
      <c r="Y33" s="2">
        <v>2</v>
      </c>
      <c r="Z33" s="2">
        <v>2</v>
      </c>
      <c r="AA33" s="2">
        <v>3</v>
      </c>
      <c r="AB33" s="2">
        <v>3</v>
      </c>
      <c r="AC33" s="2">
        <v>3</v>
      </c>
      <c r="AD33" s="2">
        <v>3</v>
      </c>
      <c r="AE33" s="2">
        <v>3</v>
      </c>
      <c r="AF33" s="2">
        <v>3</v>
      </c>
      <c r="AH33" s="2" t="str">
        <f>_xlfn.XLOOKUP(A33,'Vic colour ref'!$A$2:$A$5,'Vic colour ref'!$D$2:$D$5,"")</f>
        <v>00</v>
      </c>
      <c r="AI33" s="2" t="str">
        <f>_xlfn.XLOOKUP(B33,'Vic colour ref'!$A$2:$A$5,'Vic colour ref'!$D$2:$D$5,"")</f>
        <v>00</v>
      </c>
      <c r="AJ33" s="2" t="str">
        <f>_xlfn.XLOOKUP(C33,'Vic colour ref'!$A$2:$A$5,'Vic colour ref'!$D$2:$D$5,"")</f>
        <v>00</v>
      </c>
      <c r="AK33" s="2" t="str">
        <f>_xlfn.XLOOKUP(D33,'Vic colour ref'!$A$2:$A$5,'Vic colour ref'!$D$2:$D$5,"")</f>
        <v>00</v>
      </c>
      <c r="AL33" s="2" t="str">
        <f>_xlfn.XLOOKUP(E33,'Vic colour ref'!$A$2:$A$5,'Vic colour ref'!$D$2:$D$5,"")</f>
        <v>00</v>
      </c>
      <c r="AM33" s="2" t="str">
        <f>_xlfn.XLOOKUP(F33,'Vic colour ref'!$A$2:$A$5,'Vic colour ref'!$D$2:$D$5,"")</f>
        <v>00</v>
      </c>
      <c r="AN33" s="2">
        <f>_xlfn.XLOOKUP(G33,'Vic colour ref'!$A$2:$A$5,'Vic colour ref'!$D$2:$D$5,"")</f>
        <v>10</v>
      </c>
      <c r="AO33" s="2">
        <f>_xlfn.XLOOKUP(H33,'Vic colour ref'!$A$2:$A$5,'Vic colour ref'!$D$2:$D$5,"")</f>
        <v>10</v>
      </c>
      <c r="AP33" s="2">
        <f>_xlfn.XLOOKUP(I33,'Vic colour ref'!$A$2:$A$5,'Vic colour ref'!$D$2:$D$5,"")</f>
        <v>10</v>
      </c>
      <c r="AQ33" s="2">
        <f>_xlfn.XLOOKUP(J33,'Vic colour ref'!$A$2:$A$5,'Vic colour ref'!$D$2:$D$5,"")</f>
        <v>10</v>
      </c>
      <c r="AR33" s="2">
        <f>_xlfn.XLOOKUP(K33,'Vic colour ref'!$A$2:$A$5,'Vic colour ref'!$D$2:$D$5,"")</f>
        <v>10</v>
      </c>
      <c r="AS33" s="2">
        <f>_xlfn.XLOOKUP(L33,'Vic colour ref'!$A$2:$A$5,'Vic colour ref'!$D$2:$D$5,"")</f>
        <v>10</v>
      </c>
      <c r="AT33" s="2" t="str">
        <f>_xlfn.XLOOKUP(M33,'Vic colour ref'!$A$2:$A$5,'Vic colour ref'!$D$2:$D$5,"")</f>
        <v>00</v>
      </c>
      <c r="AU33" s="2" t="str">
        <f>_xlfn.XLOOKUP(N33,'Vic colour ref'!$A$2:$A$5,'Vic colour ref'!$D$2:$D$5,"")</f>
        <v>00</v>
      </c>
      <c r="AV33" s="2" t="str">
        <f>_xlfn.XLOOKUP(O33,'Vic colour ref'!$A$2:$A$5,'Vic colour ref'!$D$2:$D$5,"")</f>
        <v>00</v>
      </c>
      <c r="AW33" s="2" t="str">
        <f>_xlfn.XLOOKUP(P33,'Vic colour ref'!$A$2:$A$5,'Vic colour ref'!$D$2:$D$5,"")</f>
        <v>00</v>
      </c>
      <c r="AX33" s="2" t="str">
        <f>_xlfn.XLOOKUP(Q33,'Vic colour ref'!$A$2:$A$5,'Vic colour ref'!$D$2:$D$5,"")</f>
        <v>00</v>
      </c>
      <c r="AY33" s="2" t="str">
        <f>_xlfn.XLOOKUP(R33,'Vic colour ref'!$A$2:$A$5,'Vic colour ref'!$D$2:$D$5,"")</f>
        <v>00</v>
      </c>
      <c r="AZ33" s="2">
        <f>_xlfn.XLOOKUP(S33,'Vic colour ref'!$A$2:$A$5,'Vic colour ref'!$D$2:$D$5,"")</f>
        <v>11</v>
      </c>
      <c r="BA33" s="2">
        <f>_xlfn.XLOOKUP(T33,'Vic colour ref'!$A$2:$A$5,'Vic colour ref'!$D$2:$D$5,"")</f>
        <v>11</v>
      </c>
      <c r="BB33" s="2">
        <f>_xlfn.XLOOKUP(U33,'Vic colour ref'!$A$2:$A$5,'Vic colour ref'!$D$2:$D$5,"")</f>
        <v>11</v>
      </c>
      <c r="BC33" s="2">
        <f>_xlfn.XLOOKUP(V33,'Vic colour ref'!$A$2:$A$5,'Vic colour ref'!$D$2:$D$5,"")</f>
        <v>11</v>
      </c>
      <c r="BD33" s="2">
        <f>_xlfn.XLOOKUP(W33,'Vic colour ref'!$A$2:$A$5,'Vic colour ref'!$D$2:$D$5,"")</f>
        <v>11</v>
      </c>
      <c r="BE33" s="2">
        <f>_xlfn.XLOOKUP(X33,'Vic colour ref'!$A$2:$A$5,'Vic colour ref'!$D$2:$D$5,"")</f>
        <v>11</v>
      </c>
      <c r="BF33" s="2">
        <f>_xlfn.XLOOKUP(Y33,'Vic colour ref'!$A$2:$A$5,'Vic colour ref'!$D$2:$D$5,"")</f>
        <v>10</v>
      </c>
      <c r="BG33" s="2">
        <f>_xlfn.XLOOKUP(Z33,'Vic colour ref'!$A$2:$A$5,'Vic colour ref'!$D$2:$D$5,"")</f>
        <v>10</v>
      </c>
      <c r="BH33" s="2">
        <f>_xlfn.XLOOKUP(AA33,'Vic colour ref'!$A$2:$A$5,'Vic colour ref'!$D$2:$D$5,"")</f>
        <v>11</v>
      </c>
      <c r="BI33" s="2">
        <f>_xlfn.XLOOKUP(AB33,'Vic colour ref'!$A$2:$A$5,'Vic colour ref'!$D$2:$D$5,"")</f>
        <v>11</v>
      </c>
      <c r="BJ33" s="2">
        <f>_xlfn.XLOOKUP(AC33,'Vic colour ref'!$A$2:$A$5,'Vic colour ref'!$D$2:$D$5,"")</f>
        <v>11</v>
      </c>
      <c r="BK33" s="2">
        <f>_xlfn.XLOOKUP(AD33,'Vic colour ref'!$A$2:$A$5,'Vic colour ref'!$D$2:$D$5,"")</f>
        <v>11</v>
      </c>
      <c r="BL33" s="2">
        <f>_xlfn.XLOOKUP(AE33,'Vic colour ref'!$A$2:$A$5,'Vic colour ref'!$D$2:$D$5,"")</f>
        <v>11</v>
      </c>
      <c r="BM33" s="2">
        <f>_xlfn.XLOOKUP(AF33,'Vic colour ref'!$A$2:$A$5,'Vic colour ref'!$D$2:$D$5,"")</f>
        <v>11</v>
      </c>
      <c r="BO33" s="17" t="str">
        <f t="shared" si="1"/>
        <v>00000000</v>
      </c>
      <c r="BP33" s="17" t="str">
        <f t="shared" si="2"/>
        <v>00001010</v>
      </c>
      <c r="BQ33" s="17" t="str">
        <f t="shared" si="3"/>
        <v>10101010</v>
      </c>
      <c r="BR33" s="17" t="str">
        <f t="shared" si="4"/>
        <v>00000000</v>
      </c>
      <c r="BS33" s="17" t="str">
        <f t="shared" si="5"/>
        <v>00001111</v>
      </c>
      <c r="BT33" s="17" t="str">
        <f t="shared" si="6"/>
        <v>11111111</v>
      </c>
      <c r="BU33" s="17" t="str">
        <f t="shared" si="7"/>
        <v>10101111</v>
      </c>
      <c r="BV33" s="17" t="str">
        <f t="shared" si="8"/>
        <v>11111111</v>
      </c>
      <c r="BX33" s="20" t="str">
        <f t="shared" si="9"/>
        <v>00</v>
      </c>
      <c r="BY33" s="20" t="str">
        <f t="shared" si="10"/>
        <v>0A</v>
      </c>
      <c r="BZ33" s="20" t="str">
        <f t="shared" si="11"/>
        <v>AA</v>
      </c>
      <c r="CA33" s="20" t="str">
        <f t="shared" si="11"/>
        <v>00</v>
      </c>
      <c r="CB33" s="20" t="str">
        <f t="shared" si="11"/>
        <v>0F</v>
      </c>
      <c r="CC33" s="20" t="str">
        <f t="shared" si="11"/>
        <v>FF</v>
      </c>
      <c r="CD33" s="20" t="str">
        <f t="shared" si="14"/>
        <v>AF</v>
      </c>
      <c r="CE33" s="20" t="str">
        <f t="shared" si="12"/>
        <v>FF</v>
      </c>
      <c r="CG33" s="2" t="str" cm="1">
        <f t="array" ref="CG33:CN33">TRANSPOSE(BX33:BX40)</f>
        <v>00</v>
      </c>
      <c r="CH33" s="2" t="str">
        <v>00</v>
      </c>
      <c r="CI33" s="2" t="str">
        <v>00</v>
      </c>
      <c r="CJ33" s="2" t="str">
        <v>02</v>
      </c>
      <c r="CK33" s="2" t="str">
        <v>02</v>
      </c>
      <c r="CL33" s="2" t="str">
        <v>02</v>
      </c>
      <c r="CM33" s="2" t="str">
        <v>03</v>
      </c>
      <c r="CN33" s="2" t="str">
        <v>03</v>
      </c>
      <c r="CP33" s="4" t="str">
        <f t="shared" si="13"/>
        <v>!byte $00, $00, $00, $02, $02, $02, $03, $03</v>
      </c>
    </row>
    <row r="34" spans="1:94" x14ac:dyDescent="0.3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</v>
      </c>
      <c r="T34" s="2">
        <v>3</v>
      </c>
      <c r="U34" s="2">
        <v>3</v>
      </c>
      <c r="V34" s="2">
        <v>3</v>
      </c>
      <c r="W34" s="2">
        <v>3</v>
      </c>
      <c r="X34" s="2">
        <v>3</v>
      </c>
      <c r="Y34" s="2">
        <v>2</v>
      </c>
      <c r="Z34" s="2">
        <v>2</v>
      </c>
      <c r="AA34" s="2">
        <v>3</v>
      </c>
      <c r="AB34" s="2">
        <v>3</v>
      </c>
      <c r="AC34" s="2">
        <v>3</v>
      </c>
      <c r="AD34" s="2">
        <v>3</v>
      </c>
      <c r="AE34" s="2">
        <v>3</v>
      </c>
      <c r="AF34" s="2">
        <v>3</v>
      </c>
      <c r="AH34" s="2" t="str">
        <f>_xlfn.XLOOKUP(A34,'Vic colour ref'!$A$2:$A$5,'Vic colour ref'!$D$2:$D$5,"")</f>
        <v>00</v>
      </c>
      <c r="AI34" s="2" t="str">
        <f>_xlfn.XLOOKUP(B34,'Vic colour ref'!$A$2:$A$5,'Vic colour ref'!$D$2:$D$5,"")</f>
        <v>00</v>
      </c>
      <c r="AJ34" s="2" t="str">
        <f>_xlfn.XLOOKUP(C34,'Vic colour ref'!$A$2:$A$5,'Vic colour ref'!$D$2:$D$5,"")</f>
        <v>00</v>
      </c>
      <c r="AK34" s="2" t="str">
        <f>_xlfn.XLOOKUP(D34,'Vic colour ref'!$A$2:$A$5,'Vic colour ref'!$D$2:$D$5,"")</f>
        <v>00</v>
      </c>
      <c r="AL34" s="2" t="str">
        <f>_xlfn.XLOOKUP(E34,'Vic colour ref'!$A$2:$A$5,'Vic colour ref'!$D$2:$D$5,"")</f>
        <v>00</v>
      </c>
      <c r="AM34" s="2" t="str">
        <f>_xlfn.XLOOKUP(F34,'Vic colour ref'!$A$2:$A$5,'Vic colour ref'!$D$2:$D$5,"")</f>
        <v>00</v>
      </c>
      <c r="AN34" s="2">
        <f>_xlfn.XLOOKUP(G34,'Vic colour ref'!$A$2:$A$5,'Vic colour ref'!$D$2:$D$5,"")</f>
        <v>10</v>
      </c>
      <c r="AO34" s="2">
        <f>_xlfn.XLOOKUP(H34,'Vic colour ref'!$A$2:$A$5,'Vic colour ref'!$D$2:$D$5,"")</f>
        <v>10</v>
      </c>
      <c r="AP34" s="2">
        <f>_xlfn.XLOOKUP(I34,'Vic colour ref'!$A$2:$A$5,'Vic colour ref'!$D$2:$D$5,"")</f>
        <v>10</v>
      </c>
      <c r="AQ34" s="2">
        <f>_xlfn.XLOOKUP(J34,'Vic colour ref'!$A$2:$A$5,'Vic colour ref'!$D$2:$D$5,"")</f>
        <v>10</v>
      </c>
      <c r="AR34" s="2">
        <f>_xlfn.XLOOKUP(K34,'Vic colour ref'!$A$2:$A$5,'Vic colour ref'!$D$2:$D$5,"")</f>
        <v>10</v>
      </c>
      <c r="AS34" s="2">
        <f>_xlfn.XLOOKUP(L34,'Vic colour ref'!$A$2:$A$5,'Vic colour ref'!$D$2:$D$5,"")</f>
        <v>10</v>
      </c>
      <c r="AT34" s="2" t="str">
        <f>_xlfn.XLOOKUP(M34,'Vic colour ref'!$A$2:$A$5,'Vic colour ref'!$D$2:$D$5,"")</f>
        <v>00</v>
      </c>
      <c r="AU34" s="2" t="str">
        <f>_xlfn.XLOOKUP(N34,'Vic colour ref'!$A$2:$A$5,'Vic colour ref'!$D$2:$D$5,"")</f>
        <v>00</v>
      </c>
      <c r="AV34" s="2" t="str">
        <f>_xlfn.XLOOKUP(O34,'Vic colour ref'!$A$2:$A$5,'Vic colour ref'!$D$2:$D$5,"")</f>
        <v>00</v>
      </c>
      <c r="AW34" s="2" t="str">
        <f>_xlfn.XLOOKUP(P34,'Vic colour ref'!$A$2:$A$5,'Vic colour ref'!$D$2:$D$5,"")</f>
        <v>00</v>
      </c>
      <c r="AX34" s="2" t="str">
        <f>_xlfn.XLOOKUP(Q34,'Vic colour ref'!$A$2:$A$5,'Vic colour ref'!$D$2:$D$5,"")</f>
        <v>00</v>
      </c>
      <c r="AY34" s="2" t="str">
        <f>_xlfn.XLOOKUP(R34,'Vic colour ref'!$A$2:$A$5,'Vic colour ref'!$D$2:$D$5,"")</f>
        <v>00</v>
      </c>
      <c r="AZ34" s="2">
        <f>_xlfn.XLOOKUP(S34,'Vic colour ref'!$A$2:$A$5,'Vic colour ref'!$D$2:$D$5,"")</f>
        <v>11</v>
      </c>
      <c r="BA34" s="2">
        <f>_xlfn.XLOOKUP(T34,'Vic colour ref'!$A$2:$A$5,'Vic colour ref'!$D$2:$D$5,"")</f>
        <v>11</v>
      </c>
      <c r="BB34" s="2">
        <f>_xlfn.XLOOKUP(U34,'Vic colour ref'!$A$2:$A$5,'Vic colour ref'!$D$2:$D$5,"")</f>
        <v>11</v>
      </c>
      <c r="BC34" s="2">
        <f>_xlfn.XLOOKUP(V34,'Vic colour ref'!$A$2:$A$5,'Vic colour ref'!$D$2:$D$5,"")</f>
        <v>11</v>
      </c>
      <c r="BD34" s="2">
        <f>_xlfn.XLOOKUP(W34,'Vic colour ref'!$A$2:$A$5,'Vic colour ref'!$D$2:$D$5,"")</f>
        <v>11</v>
      </c>
      <c r="BE34" s="2">
        <f>_xlfn.XLOOKUP(X34,'Vic colour ref'!$A$2:$A$5,'Vic colour ref'!$D$2:$D$5,"")</f>
        <v>11</v>
      </c>
      <c r="BF34" s="2">
        <f>_xlfn.XLOOKUP(Y34,'Vic colour ref'!$A$2:$A$5,'Vic colour ref'!$D$2:$D$5,"")</f>
        <v>10</v>
      </c>
      <c r="BG34" s="2">
        <f>_xlfn.XLOOKUP(Z34,'Vic colour ref'!$A$2:$A$5,'Vic colour ref'!$D$2:$D$5,"")</f>
        <v>10</v>
      </c>
      <c r="BH34" s="2">
        <f>_xlfn.XLOOKUP(AA34,'Vic colour ref'!$A$2:$A$5,'Vic colour ref'!$D$2:$D$5,"")</f>
        <v>11</v>
      </c>
      <c r="BI34" s="2">
        <f>_xlfn.XLOOKUP(AB34,'Vic colour ref'!$A$2:$A$5,'Vic colour ref'!$D$2:$D$5,"")</f>
        <v>11</v>
      </c>
      <c r="BJ34" s="2">
        <f>_xlfn.XLOOKUP(AC34,'Vic colour ref'!$A$2:$A$5,'Vic colour ref'!$D$2:$D$5,"")</f>
        <v>11</v>
      </c>
      <c r="BK34" s="2">
        <f>_xlfn.XLOOKUP(AD34,'Vic colour ref'!$A$2:$A$5,'Vic colour ref'!$D$2:$D$5,"")</f>
        <v>11</v>
      </c>
      <c r="BL34" s="2">
        <f>_xlfn.XLOOKUP(AE34,'Vic colour ref'!$A$2:$A$5,'Vic colour ref'!$D$2:$D$5,"")</f>
        <v>11</v>
      </c>
      <c r="BM34" s="2">
        <f>_xlfn.XLOOKUP(AF34,'Vic colour ref'!$A$2:$A$5,'Vic colour ref'!$D$2:$D$5,"")</f>
        <v>11</v>
      </c>
      <c r="BO34" s="18" t="str">
        <f t="shared" si="1"/>
        <v>00000000</v>
      </c>
      <c r="BP34" s="18" t="str">
        <f t="shared" si="2"/>
        <v>00001010</v>
      </c>
      <c r="BQ34" s="18" t="str">
        <f t="shared" si="3"/>
        <v>10101010</v>
      </c>
      <c r="BR34" s="18" t="str">
        <f t="shared" si="4"/>
        <v>00000000</v>
      </c>
      <c r="BS34" s="18" t="str">
        <f t="shared" si="5"/>
        <v>00001111</v>
      </c>
      <c r="BT34" s="18" t="str">
        <f t="shared" si="6"/>
        <v>11111111</v>
      </c>
      <c r="BU34" s="18" t="str">
        <f t="shared" si="7"/>
        <v>10101111</v>
      </c>
      <c r="BV34" s="18" t="str">
        <f t="shared" si="8"/>
        <v>11111111</v>
      </c>
      <c r="BX34" s="21" t="str">
        <f t="shared" si="9"/>
        <v>00</v>
      </c>
      <c r="BY34" s="21" t="str">
        <f t="shared" si="10"/>
        <v>0A</v>
      </c>
      <c r="BZ34" s="21" t="str">
        <f t="shared" si="11"/>
        <v>AA</v>
      </c>
      <c r="CA34" s="21" t="str">
        <f t="shared" si="11"/>
        <v>00</v>
      </c>
      <c r="CB34" s="21" t="str">
        <f t="shared" si="11"/>
        <v>0F</v>
      </c>
      <c r="CC34" s="21" t="str">
        <f t="shared" si="11"/>
        <v>FF</v>
      </c>
      <c r="CD34" s="21" t="str">
        <f t="shared" si="14"/>
        <v>AF</v>
      </c>
      <c r="CE34" s="21" t="str">
        <f t="shared" si="12"/>
        <v>FF</v>
      </c>
      <c r="CG34" s="2" t="str" cm="1">
        <f t="array" ref="CG34:CN34">TRANSPOSE(BY33:BY40)</f>
        <v>0A</v>
      </c>
      <c r="CH34" s="2" t="str">
        <v>0A</v>
      </c>
      <c r="CI34" s="2" t="str">
        <v>0A</v>
      </c>
      <c r="CJ34" s="2" t="str">
        <v>A5</v>
      </c>
      <c r="CK34" s="2" t="str">
        <v>A5</v>
      </c>
      <c r="CL34" s="2" t="str">
        <v>A5</v>
      </c>
      <c r="CM34" s="2" t="str">
        <v>F0</v>
      </c>
      <c r="CN34" s="2" t="str">
        <v>F0</v>
      </c>
      <c r="CP34" s="4" t="str">
        <f t="shared" si="13"/>
        <v>!byte $0a, $0a, $0a, $a5, $a5, $a5, $f0, $f0</v>
      </c>
    </row>
    <row r="35" spans="1:94" x14ac:dyDescent="0.3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2</v>
      </c>
      <c r="T35" s="2">
        <v>2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2">
        <v>3</v>
      </c>
      <c r="AA35" s="2">
        <v>2</v>
      </c>
      <c r="AB35" s="2">
        <v>2</v>
      </c>
      <c r="AC35" s="2">
        <v>3</v>
      </c>
      <c r="AD35" s="2">
        <v>3</v>
      </c>
      <c r="AE35" s="2">
        <v>3</v>
      </c>
      <c r="AF35" s="2">
        <v>3</v>
      </c>
      <c r="AH35" s="2" t="str">
        <f>_xlfn.XLOOKUP(A35,'Vic colour ref'!$A$2:$A$5,'Vic colour ref'!$D$2:$D$5,"")</f>
        <v>00</v>
      </c>
      <c r="AI35" s="2" t="str">
        <f>_xlfn.XLOOKUP(B35,'Vic colour ref'!$A$2:$A$5,'Vic colour ref'!$D$2:$D$5,"")</f>
        <v>00</v>
      </c>
      <c r="AJ35" s="2" t="str">
        <f>_xlfn.XLOOKUP(C35,'Vic colour ref'!$A$2:$A$5,'Vic colour ref'!$D$2:$D$5,"")</f>
        <v>00</v>
      </c>
      <c r="AK35" s="2" t="str">
        <f>_xlfn.XLOOKUP(D35,'Vic colour ref'!$A$2:$A$5,'Vic colour ref'!$D$2:$D$5,"")</f>
        <v>00</v>
      </c>
      <c r="AL35" s="2" t="str">
        <f>_xlfn.XLOOKUP(E35,'Vic colour ref'!$A$2:$A$5,'Vic colour ref'!$D$2:$D$5,"")</f>
        <v>00</v>
      </c>
      <c r="AM35" s="2" t="str">
        <f>_xlfn.XLOOKUP(F35,'Vic colour ref'!$A$2:$A$5,'Vic colour ref'!$D$2:$D$5,"")</f>
        <v>00</v>
      </c>
      <c r="AN35" s="2">
        <f>_xlfn.XLOOKUP(G35,'Vic colour ref'!$A$2:$A$5,'Vic colour ref'!$D$2:$D$5,"")</f>
        <v>10</v>
      </c>
      <c r="AO35" s="2">
        <f>_xlfn.XLOOKUP(H35,'Vic colour ref'!$A$2:$A$5,'Vic colour ref'!$D$2:$D$5,"")</f>
        <v>10</v>
      </c>
      <c r="AP35" s="2">
        <f>_xlfn.XLOOKUP(I35,'Vic colour ref'!$A$2:$A$5,'Vic colour ref'!$D$2:$D$5,"")</f>
        <v>10</v>
      </c>
      <c r="AQ35" s="2">
        <f>_xlfn.XLOOKUP(J35,'Vic colour ref'!$A$2:$A$5,'Vic colour ref'!$D$2:$D$5,"")</f>
        <v>10</v>
      </c>
      <c r="AR35" s="2">
        <f>_xlfn.XLOOKUP(K35,'Vic colour ref'!$A$2:$A$5,'Vic colour ref'!$D$2:$D$5,"")</f>
        <v>10</v>
      </c>
      <c r="AS35" s="2">
        <f>_xlfn.XLOOKUP(L35,'Vic colour ref'!$A$2:$A$5,'Vic colour ref'!$D$2:$D$5,"")</f>
        <v>10</v>
      </c>
      <c r="AT35" s="2" t="str">
        <f>_xlfn.XLOOKUP(M35,'Vic colour ref'!$A$2:$A$5,'Vic colour ref'!$D$2:$D$5,"")</f>
        <v>00</v>
      </c>
      <c r="AU35" s="2" t="str">
        <f>_xlfn.XLOOKUP(N35,'Vic colour ref'!$A$2:$A$5,'Vic colour ref'!$D$2:$D$5,"")</f>
        <v>00</v>
      </c>
      <c r="AV35" s="2" t="str">
        <f>_xlfn.XLOOKUP(O35,'Vic colour ref'!$A$2:$A$5,'Vic colour ref'!$D$2:$D$5,"")</f>
        <v>00</v>
      </c>
      <c r="AW35" s="2" t="str">
        <f>_xlfn.XLOOKUP(P35,'Vic colour ref'!$A$2:$A$5,'Vic colour ref'!$D$2:$D$5,"")</f>
        <v>00</v>
      </c>
      <c r="AX35" s="2" t="str">
        <f>_xlfn.XLOOKUP(Q35,'Vic colour ref'!$A$2:$A$5,'Vic colour ref'!$D$2:$D$5,"")</f>
        <v>00</v>
      </c>
      <c r="AY35" s="2" t="str">
        <f>_xlfn.XLOOKUP(R35,'Vic colour ref'!$A$2:$A$5,'Vic colour ref'!$D$2:$D$5,"")</f>
        <v>00</v>
      </c>
      <c r="AZ35" s="2">
        <f>_xlfn.XLOOKUP(S35,'Vic colour ref'!$A$2:$A$5,'Vic colour ref'!$D$2:$D$5,"")</f>
        <v>10</v>
      </c>
      <c r="BA35" s="2">
        <f>_xlfn.XLOOKUP(T35,'Vic colour ref'!$A$2:$A$5,'Vic colour ref'!$D$2:$D$5,"")</f>
        <v>10</v>
      </c>
      <c r="BB35" s="2">
        <f>_xlfn.XLOOKUP(U35,'Vic colour ref'!$A$2:$A$5,'Vic colour ref'!$D$2:$D$5,"")</f>
        <v>11</v>
      </c>
      <c r="BC35" s="2">
        <f>_xlfn.XLOOKUP(V35,'Vic colour ref'!$A$2:$A$5,'Vic colour ref'!$D$2:$D$5,"")</f>
        <v>11</v>
      </c>
      <c r="BD35" s="2">
        <f>_xlfn.XLOOKUP(W35,'Vic colour ref'!$A$2:$A$5,'Vic colour ref'!$D$2:$D$5,"")</f>
        <v>11</v>
      </c>
      <c r="BE35" s="2">
        <f>_xlfn.XLOOKUP(X35,'Vic colour ref'!$A$2:$A$5,'Vic colour ref'!$D$2:$D$5,"")</f>
        <v>11</v>
      </c>
      <c r="BF35" s="2">
        <f>_xlfn.XLOOKUP(Y35,'Vic colour ref'!$A$2:$A$5,'Vic colour ref'!$D$2:$D$5,"")</f>
        <v>11</v>
      </c>
      <c r="BG35" s="2">
        <f>_xlfn.XLOOKUP(Z35,'Vic colour ref'!$A$2:$A$5,'Vic colour ref'!$D$2:$D$5,"")</f>
        <v>11</v>
      </c>
      <c r="BH35" s="2">
        <f>_xlfn.XLOOKUP(AA35,'Vic colour ref'!$A$2:$A$5,'Vic colour ref'!$D$2:$D$5,"")</f>
        <v>10</v>
      </c>
      <c r="BI35" s="2">
        <f>_xlfn.XLOOKUP(AB35,'Vic colour ref'!$A$2:$A$5,'Vic colour ref'!$D$2:$D$5,"")</f>
        <v>10</v>
      </c>
      <c r="BJ35" s="2">
        <f>_xlfn.XLOOKUP(AC35,'Vic colour ref'!$A$2:$A$5,'Vic colour ref'!$D$2:$D$5,"")</f>
        <v>11</v>
      </c>
      <c r="BK35" s="2">
        <f>_xlfn.XLOOKUP(AD35,'Vic colour ref'!$A$2:$A$5,'Vic colour ref'!$D$2:$D$5,"")</f>
        <v>11</v>
      </c>
      <c r="BL35" s="2">
        <f>_xlfn.XLOOKUP(AE35,'Vic colour ref'!$A$2:$A$5,'Vic colour ref'!$D$2:$D$5,"")</f>
        <v>11</v>
      </c>
      <c r="BM35" s="2">
        <f>_xlfn.XLOOKUP(AF35,'Vic colour ref'!$A$2:$A$5,'Vic colour ref'!$D$2:$D$5,"")</f>
        <v>11</v>
      </c>
      <c r="BO35" s="18" t="str">
        <f t="shared" si="1"/>
        <v>00000000</v>
      </c>
      <c r="BP35" s="18" t="str">
        <f t="shared" si="2"/>
        <v>00001010</v>
      </c>
      <c r="BQ35" s="18" t="str">
        <f t="shared" si="3"/>
        <v>10101010</v>
      </c>
      <c r="BR35" s="18" t="str">
        <f t="shared" si="4"/>
        <v>00000000</v>
      </c>
      <c r="BS35" s="18" t="str">
        <f t="shared" si="5"/>
        <v>00001010</v>
      </c>
      <c r="BT35" s="18" t="str">
        <f t="shared" si="6"/>
        <v>11111111</v>
      </c>
      <c r="BU35" s="18" t="str">
        <f t="shared" si="7"/>
        <v>11111010</v>
      </c>
      <c r="BV35" s="18" t="str">
        <f t="shared" si="8"/>
        <v>11111111</v>
      </c>
      <c r="BX35" s="21" t="str">
        <f t="shared" si="9"/>
        <v>00</v>
      </c>
      <c r="BY35" s="21" t="str">
        <f t="shared" si="10"/>
        <v>0A</v>
      </c>
      <c r="BZ35" s="21" t="str">
        <f t="shared" si="11"/>
        <v>AA</v>
      </c>
      <c r="CA35" s="21" t="str">
        <f t="shared" si="11"/>
        <v>00</v>
      </c>
      <c r="CB35" s="21" t="str">
        <f t="shared" si="11"/>
        <v>0A</v>
      </c>
      <c r="CC35" s="21" t="str">
        <f t="shared" si="11"/>
        <v>FF</v>
      </c>
      <c r="CD35" s="21" t="str">
        <f t="shared" si="14"/>
        <v>FA</v>
      </c>
      <c r="CE35" s="21" t="str">
        <f t="shared" si="12"/>
        <v>FF</v>
      </c>
      <c r="CG35" s="2" t="str" cm="1">
        <f t="array" ref="CG35:CN35">TRANSPOSE(BZ33:BZ40)</f>
        <v>AA</v>
      </c>
      <c r="CH35" s="2" t="str">
        <v>AA</v>
      </c>
      <c r="CI35" s="2" t="str">
        <v>AA</v>
      </c>
      <c r="CJ35" s="2" t="str">
        <v>55</v>
      </c>
      <c r="CK35" s="2" t="str">
        <v>55</v>
      </c>
      <c r="CL35" s="2" t="str">
        <v>55</v>
      </c>
      <c r="CM35" s="2" t="str">
        <v>00</v>
      </c>
      <c r="CN35" s="2" t="str">
        <v>00</v>
      </c>
      <c r="CP35" s="4" t="str">
        <f t="shared" si="13"/>
        <v>!byte $aa, $aa, $aa, $55, $55, $55, $00, $00</v>
      </c>
    </row>
    <row r="36" spans="1:94" x14ac:dyDescent="0.3">
      <c r="A36" s="2">
        <v>0</v>
      </c>
      <c r="B36" s="2">
        <v>0</v>
      </c>
      <c r="C36" s="2">
        <v>0</v>
      </c>
      <c r="D36" s="2">
        <v>2</v>
      </c>
      <c r="E36" s="2">
        <v>2</v>
      </c>
      <c r="F36" s="2">
        <v>2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2</v>
      </c>
      <c r="N36" s="2">
        <v>2</v>
      </c>
      <c r="O36" s="2">
        <v>2</v>
      </c>
      <c r="P36" s="2">
        <v>0</v>
      </c>
      <c r="Q36" s="2">
        <v>0</v>
      </c>
      <c r="R36" s="2">
        <v>0</v>
      </c>
      <c r="S36" s="2">
        <v>2</v>
      </c>
      <c r="T36" s="2">
        <v>2</v>
      </c>
      <c r="U36" s="2">
        <v>3</v>
      </c>
      <c r="V36" s="2">
        <v>3</v>
      </c>
      <c r="W36" s="2">
        <v>3</v>
      </c>
      <c r="X36" s="2">
        <v>3</v>
      </c>
      <c r="Y36" s="2">
        <v>3</v>
      </c>
      <c r="Z36" s="2">
        <v>3</v>
      </c>
      <c r="AA36" s="2">
        <v>2</v>
      </c>
      <c r="AB36" s="2">
        <v>2</v>
      </c>
      <c r="AC36" s="2">
        <v>3</v>
      </c>
      <c r="AD36" s="2">
        <v>3</v>
      </c>
      <c r="AE36" s="2">
        <v>3</v>
      </c>
      <c r="AF36" s="2">
        <v>3</v>
      </c>
      <c r="AH36" s="2" t="str">
        <f>_xlfn.XLOOKUP(A36,'Vic colour ref'!$A$2:$A$5,'Vic colour ref'!$D$2:$D$5,"")</f>
        <v>00</v>
      </c>
      <c r="AI36" s="2" t="str">
        <f>_xlfn.XLOOKUP(B36,'Vic colour ref'!$A$2:$A$5,'Vic colour ref'!$D$2:$D$5,"")</f>
        <v>00</v>
      </c>
      <c r="AJ36" s="2" t="str">
        <f>_xlfn.XLOOKUP(C36,'Vic colour ref'!$A$2:$A$5,'Vic colour ref'!$D$2:$D$5,"")</f>
        <v>00</v>
      </c>
      <c r="AK36" s="2">
        <f>_xlfn.XLOOKUP(D36,'Vic colour ref'!$A$2:$A$5,'Vic colour ref'!$D$2:$D$5,"")</f>
        <v>10</v>
      </c>
      <c r="AL36" s="2">
        <f>_xlfn.XLOOKUP(E36,'Vic colour ref'!$A$2:$A$5,'Vic colour ref'!$D$2:$D$5,"")</f>
        <v>10</v>
      </c>
      <c r="AM36" s="2">
        <f>_xlfn.XLOOKUP(F36,'Vic colour ref'!$A$2:$A$5,'Vic colour ref'!$D$2:$D$5,"")</f>
        <v>10</v>
      </c>
      <c r="AN36" s="2" t="str">
        <f>_xlfn.XLOOKUP(G36,'Vic colour ref'!$A$2:$A$5,'Vic colour ref'!$D$2:$D$5,"")</f>
        <v>01</v>
      </c>
      <c r="AO36" s="2" t="str">
        <f>_xlfn.XLOOKUP(H36,'Vic colour ref'!$A$2:$A$5,'Vic colour ref'!$D$2:$D$5,"")</f>
        <v>01</v>
      </c>
      <c r="AP36" s="2" t="str">
        <f>_xlfn.XLOOKUP(I36,'Vic colour ref'!$A$2:$A$5,'Vic colour ref'!$D$2:$D$5,"")</f>
        <v>01</v>
      </c>
      <c r="AQ36" s="2" t="str">
        <f>_xlfn.XLOOKUP(J36,'Vic colour ref'!$A$2:$A$5,'Vic colour ref'!$D$2:$D$5,"")</f>
        <v>01</v>
      </c>
      <c r="AR36" s="2" t="str">
        <f>_xlfn.XLOOKUP(K36,'Vic colour ref'!$A$2:$A$5,'Vic colour ref'!$D$2:$D$5,"")</f>
        <v>01</v>
      </c>
      <c r="AS36" s="2" t="str">
        <f>_xlfn.XLOOKUP(L36,'Vic colour ref'!$A$2:$A$5,'Vic colour ref'!$D$2:$D$5,"")</f>
        <v>01</v>
      </c>
      <c r="AT36" s="2">
        <f>_xlfn.XLOOKUP(M36,'Vic colour ref'!$A$2:$A$5,'Vic colour ref'!$D$2:$D$5,"")</f>
        <v>10</v>
      </c>
      <c r="AU36" s="2">
        <f>_xlfn.XLOOKUP(N36,'Vic colour ref'!$A$2:$A$5,'Vic colour ref'!$D$2:$D$5,"")</f>
        <v>10</v>
      </c>
      <c r="AV36" s="2">
        <f>_xlfn.XLOOKUP(O36,'Vic colour ref'!$A$2:$A$5,'Vic colour ref'!$D$2:$D$5,"")</f>
        <v>10</v>
      </c>
      <c r="AW36" s="2" t="str">
        <f>_xlfn.XLOOKUP(P36,'Vic colour ref'!$A$2:$A$5,'Vic colour ref'!$D$2:$D$5,"")</f>
        <v>00</v>
      </c>
      <c r="AX36" s="2" t="str">
        <f>_xlfn.XLOOKUP(Q36,'Vic colour ref'!$A$2:$A$5,'Vic colour ref'!$D$2:$D$5,"")</f>
        <v>00</v>
      </c>
      <c r="AY36" s="2" t="str">
        <f>_xlfn.XLOOKUP(R36,'Vic colour ref'!$A$2:$A$5,'Vic colour ref'!$D$2:$D$5,"")</f>
        <v>00</v>
      </c>
      <c r="AZ36" s="2">
        <f>_xlfn.XLOOKUP(S36,'Vic colour ref'!$A$2:$A$5,'Vic colour ref'!$D$2:$D$5,"")</f>
        <v>10</v>
      </c>
      <c r="BA36" s="2">
        <f>_xlfn.XLOOKUP(T36,'Vic colour ref'!$A$2:$A$5,'Vic colour ref'!$D$2:$D$5,"")</f>
        <v>10</v>
      </c>
      <c r="BB36" s="2">
        <f>_xlfn.XLOOKUP(U36,'Vic colour ref'!$A$2:$A$5,'Vic colour ref'!$D$2:$D$5,"")</f>
        <v>11</v>
      </c>
      <c r="BC36" s="2">
        <f>_xlfn.XLOOKUP(V36,'Vic colour ref'!$A$2:$A$5,'Vic colour ref'!$D$2:$D$5,"")</f>
        <v>11</v>
      </c>
      <c r="BD36" s="2">
        <f>_xlfn.XLOOKUP(W36,'Vic colour ref'!$A$2:$A$5,'Vic colour ref'!$D$2:$D$5,"")</f>
        <v>11</v>
      </c>
      <c r="BE36" s="2">
        <f>_xlfn.XLOOKUP(X36,'Vic colour ref'!$A$2:$A$5,'Vic colour ref'!$D$2:$D$5,"")</f>
        <v>11</v>
      </c>
      <c r="BF36" s="2">
        <f>_xlfn.XLOOKUP(Y36,'Vic colour ref'!$A$2:$A$5,'Vic colour ref'!$D$2:$D$5,"")</f>
        <v>11</v>
      </c>
      <c r="BG36" s="2">
        <f>_xlfn.XLOOKUP(Z36,'Vic colour ref'!$A$2:$A$5,'Vic colour ref'!$D$2:$D$5,"")</f>
        <v>11</v>
      </c>
      <c r="BH36" s="2">
        <f>_xlfn.XLOOKUP(AA36,'Vic colour ref'!$A$2:$A$5,'Vic colour ref'!$D$2:$D$5,"")</f>
        <v>10</v>
      </c>
      <c r="BI36" s="2">
        <f>_xlfn.XLOOKUP(AB36,'Vic colour ref'!$A$2:$A$5,'Vic colour ref'!$D$2:$D$5,"")</f>
        <v>10</v>
      </c>
      <c r="BJ36" s="2">
        <f>_xlfn.XLOOKUP(AC36,'Vic colour ref'!$A$2:$A$5,'Vic colour ref'!$D$2:$D$5,"")</f>
        <v>11</v>
      </c>
      <c r="BK36" s="2">
        <f>_xlfn.XLOOKUP(AD36,'Vic colour ref'!$A$2:$A$5,'Vic colour ref'!$D$2:$D$5,"")</f>
        <v>11</v>
      </c>
      <c r="BL36" s="2">
        <f>_xlfn.XLOOKUP(AE36,'Vic colour ref'!$A$2:$A$5,'Vic colour ref'!$D$2:$D$5,"")</f>
        <v>11</v>
      </c>
      <c r="BM36" s="2">
        <f>_xlfn.XLOOKUP(AF36,'Vic colour ref'!$A$2:$A$5,'Vic colour ref'!$D$2:$D$5,"")</f>
        <v>11</v>
      </c>
      <c r="BO36" s="18" t="str">
        <f t="shared" si="1"/>
        <v>00000010</v>
      </c>
      <c r="BP36" s="18" t="str">
        <f t="shared" si="2"/>
        <v>10100101</v>
      </c>
      <c r="BQ36" s="18" t="str">
        <f t="shared" si="3"/>
        <v>01010101</v>
      </c>
      <c r="BR36" s="18" t="str">
        <f t="shared" si="4"/>
        <v>10101000</v>
      </c>
      <c r="BS36" s="18" t="str">
        <f t="shared" si="5"/>
        <v>00001010</v>
      </c>
      <c r="BT36" s="18" t="str">
        <f t="shared" si="6"/>
        <v>11111111</v>
      </c>
      <c r="BU36" s="18" t="str">
        <f t="shared" si="7"/>
        <v>11111010</v>
      </c>
      <c r="BV36" s="18" t="str">
        <f t="shared" si="8"/>
        <v>11111111</v>
      </c>
      <c r="BX36" s="21" t="str">
        <f t="shared" si="9"/>
        <v>02</v>
      </c>
      <c r="BY36" s="21" t="str">
        <f t="shared" si="10"/>
        <v>A5</v>
      </c>
      <c r="BZ36" s="21" t="str">
        <f t="shared" si="11"/>
        <v>55</v>
      </c>
      <c r="CA36" s="21" t="str">
        <f t="shared" si="11"/>
        <v>A8</v>
      </c>
      <c r="CB36" s="21" t="str">
        <f t="shared" si="11"/>
        <v>0A</v>
      </c>
      <c r="CC36" s="21" t="str">
        <f t="shared" si="11"/>
        <v>FF</v>
      </c>
      <c r="CD36" s="21" t="str">
        <f t="shared" si="14"/>
        <v>FA</v>
      </c>
      <c r="CE36" s="21" t="str">
        <f t="shared" si="12"/>
        <v>FF</v>
      </c>
      <c r="CG36" s="2" t="str" cm="1">
        <f t="array" ref="CG36:CN36">TRANSPOSE(CA33:CA40)</f>
        <v>00</v>
      </c>
      <c r="CH36" s="2" t="str">
        <v>00</v>
      </c>
      <c r="CI36" s="2" t="str">
        <v>00</v>
      </c>
      <c r="CJ36" s="2" t="str">
        <v>A8</v>
      </c>
      <c r="CK36" s="2" t="str">
        <v>A8</v>
      </c>
      <c r="CL36" s="2" t="str">
        <v>A8</v>
      </c>
      <c r="CM36" s="2" t="str">
        <v>FC</v>
      </c>
      <c r="CN36" s="2" t="str">
        <v>FC</v>
      </c>
      <c r="CP36" s="4" t="str">
        <f t="shared" si="13"/>
        <v>!byte $00, $00, $00, $a8, $a8, $a8, $fc, $fc</v>
      </c>
    </row>
    <row r="37" spans="1:94" x14ac:dyDescent="0.3">
      <c r="A37" s="2">
        <v>0</v>
      </c>
      <c r="B37" s="2">
        <v>0</v>
      </c>
      <c r="C37" s="2">
        <v>0</v>
      </c>
      <c r="D37" s="2">
        <v>2</v>
      </c>
      <c r="E37" s="2">
        <v>2</v>
      </c>
      <c r="F37" s="2">
        <v>2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2</v>
      </c>
      <c r="N37" s="2">
        <v>2</v>
      </c>
      <c r="O37" s="2">
        <v>2</v>
      </c>
      <c r="P37" s="2">
        <v>0</v>
      </c>
      <c r="Q37" s="2">
        <v>0</v>
      </c>
      <c r="R37" s="2">
        <v>0</v>
      </c>
      <c r="S37" s="2">
        <v>3</v>
      </c>
      <c r="T37" s="2">
        <v>3</v>
      </c>
      <c r="U37" s="2">
        <v>2</v>
      </c>
      <c r="V37" s="2">
        <v>2</v>
      </c>
      <c r="W37" s="2">
        <v>3</v>
      </c>
      <c r="X37" s="2">
        <v>3</v>
      </c>
      <c r="Y37" s="2">
        <v>3</v>
      </c>
      <c r="Z37" s="2">
        <v>3</v>
      </c>
      <c r="AA37" s="2">
        <v>3</v>
      </c>
      <c r="AB37" s="2">
        <v>3</v>
      </c>
      <c r="AC37" s="2">
        <v>2</v>
      </c>
      <c r="AD37" s="2">
        <v>2</v>
      </c>
      <c r="AE37" s="2">
        <v>3</v>
      </c>
      <c r="AF37" s="2">
        <v>3</v>
      </c>
      <c r="AH37" s="2" t="str">
        <f>_xlfn.XLOOKUP(A37,'Vic colour ref'!$A$2:$A$5,'Vic colour ref'!$D$2:$D$5,"")</f>
        <v>00</v>
      </c>
      <c r="AI37" s="2" t="str">
        <f>_xlfn.XLOOKUP(B37,'Vic colour ref'!$A$2:$A$5,'Vic colour ref'!$D$2:$D$5,"")</f>
        <v>00</v>
      </c>
      <c r="AJ37" s="2" t="str">
        <f>_xlfn.XLOOKUP(C37,'Vic colour ref'!$A$2:$A$5,'Vic colour ref'!$D$2:$D$5,"")</f>
        <v>00</v>
      </c>
      <c r="AK37" s="2">
        <f>_xlfn.XLOOKUP(D37,'Vic colour ref'!$A$2:$A$5,'Vic colour ref'!$D$2:$D$5,"")</f>
        <v>10</v>
      </c>
      <c r="AL37" s="2">
        <f>_xlfn.XLOOKUP(E37,'Vic colour ref'!$A$2:$A$5,'Vic colour ref'!$D$2:$D$5,"")</f>
        <v>10</v>
      </c>
      <c r="AM37" s="2">
        <f>_xlfn.XLOOKUP(F37,'Vic colour ref'!$A$2:$A$5,'Vic colour ref'!$D$2:$D$5,"")</f>
        <v>10</v>
      </c>
      <c r="AN37" s="2" t="str">
        <f>_xlfn.XLOOKUP(G37,'Vic colour ref'!$A$2:$A$5,'Vic colour ref'!$D$2:$D$5,"")</f>
        <v>01</v>
      </c>
      <c r="AO37" s="2" t="str">
        <f>_xlfn.XLOOKUP(H37,'Vic colour ref'!$A$2:$A$5,'Vic colour ref'!$D$2:$D$5,"")</f>
        <v>01</v>
      </c>
      <c r="AP37" s="2" t="str">
        <f>_xlfn.XLOOKUP(I37,'Vic colour ref'!$A$2:$A$5,'Vic colour ref'!$D$2:$D$5,"")</f>
        <v>01</v>
      </c>
      <c r="AQ37" s="2" t="str">
        <f>_xlfn.XLOOKUP(J37,'Vic colour ref'!$A$2:$A$5,'Vic colour ref'!$D$2:$D$5,"")</f>
        <v>01</v>
      </c>
      <c r="AR37" s="2" t="str">
        <f>_xlfn.XLOOKUP(K37,'Vic colour ref'!$A$2:$A$5,'Vic colour ref'!$D$2:$D$5,"")</f>
        <v>01</v>
      </c>
      <c r="AS37" s="2" t="str">
        <f>_xlfn.XLOOKUP(L37,'Vic colour ref'!$A$2:$A$5,'Vic colour ref'!$D$2:$D$5,"")</f>
        <v>01</v>
      </c>
      <c r="AT37" s="2">
        <f>_xlfn.XLOOKUP(M37,'Vic colour ref'!$A$2:$A$5,'Vic colour ref'!$D$2:$D$5,"")</f>
        <v>10</v>
      </c>
      <c r="AU37" s="2">
        <f>_xlfn.XLOOKUP(N37,'Vic colour ref'!$A$2:$A$5,'Vic colour ref'!$D$2:$D$5,"")</f>
        <v>10</v>
      </c>
      <c r="AV37" s="2">
        <f>_xlfn.XLOOKUP(O37,'Vic colour ref'!$A$2:$A$5,'Vic colour ref'!$D$2:$D$5,"")</f>
        <v>10</v>
      </c>
      <c r="AW37" s="2" t="str">
        <f>_xlfn.XLOOKUP(P37,'Vic colour ref'!$A$2:$A$5,'Vic colour ref'!$D$2:$D$5,"")</f>
        <v>00</v>
      </c>
      <c r="AX37" s="2" t="str">
        <f>_xlfn.XLOOKUP(Q37,'Vic colour ref'!$A$2:$A$5,'Vic colour ref'!$D$2:$D$5,"")</f>
        <v>00</v>
      </c>
      <c r="AY37" s="2" t="str">
        <f>_xlfn.XLOOKUP(R37,'Vic colour ref'!$A$2:$A$5,'Vic colour ref'!$D$2:$D$5,"")</f>
        <v>00</v>
      </c>
      <c r="AZ37" s="2">
        <f>_xlfn.XLOOKUP(S37,'Vic colour ref'!$A$2:$A$5,'Vic colour ref'!$D$2:$D$5,"")</f>
        <v>11</v>
      </c>
      <c r="BA37" s="2">
        <f>_xlfn.XLOOKUP(T37,'Vic colour ref'!$A$2:$A$5,'Vic colour ref'!$D$2:$D$5,"")</f>
        <v>11</v>
      </c>
      <c r="BB37" s="2">
        <f>_xlfn.XLOOKUP(U37,'Vic colour ref'!$A$2:$A$5,'Vic colour ref'!$D$2:$D$5,"")</f>
        <v>10</v>
      </c>
      <c r="BC37" s="2">
        <f>_xlfn.XLOOKUP(V37,'Vic colour ref'!$A$2:$A$5,'Vic colour ref'!$D$2:$D$5,"")</f>
        <v>10</v>
      </c>
      <c r="BD37" s="2">
        <f>_xlfn.XLOOKUP(W37,'Vic colour ref'!$A$2:$A$5,'Vic colour ref'!$D$2:$D$5,"")</f>
        <v>11</v>
      </c>
      <c r="BE37" s="2">
        <f>_xlfn.XLOOKUP(X37,'Vic colour ref'!$A$2:$A$5,'Vic colour ref'!$D$2:$D$5,"")</f>
        <v>11</v>
      </c>
      <c r="BF37" s="2">
        <f>_xlfn.XLOOKUP(Y37,'Vic colour ref'!$A$2:$A$5,'Vic colour ref'!$D$2:$D$5,"")</f>
        <v>11</v>
      </c>
      <c r="BG37" s="2">
        <f>_xlfn.XLOOKUP(Z37,'Vic colour ref'!$A$2:$A$5,'Vic colour ref'!$D$2:$D$5,"")</f>
        <v>11</v>
      </c>
      <c r="BH37" s="2">
        <f>_xlfn.XLOOKUP(AA37,'Vic colour ref'!$A$2:$A$5,'Vic colour ref'!$D$2:$D$5,"")</f>
        <v>11</v>
      </c>
      <c r="BI37" s="2">
        <f>_xlfn.XLOOKUP(AB37,'Vic colour ref'!$A$2:$A$5,'Vic colour ref'!$D$2:$D$5,"")</f>
        <v>11</v>
      </c>
      <c r="BJ37" s="2">
        <f>_xlfn.XLOOKUP(AC37,'Vic colour ref'!$A$2:$A$5,'Vic colour ref'!$D$2:$D$5,"")</f>
        <v>10</v>
      </c>
      <c r="BK37" s="2">
        <f>_xlfn.XLOOKUP(AD37,'Vic colour ref'!$A$2:$A$5,'Vic colour ref'!$D$2:$D$5,"")</f>
        <v>10</v>
      </c>
      <c r="BL37" s="2">
        <f>_xlfn.XLOOKUP(AE37,'Vic colour ref'!$A$2:$A$5,'Vic colour ref'!$D$2:$D$5,"")</f>
        <v>11</v>
      </c>
      <c r="BM37" s="2">
        <f>_xlfn.XLOOKUP(AF37,'Vic colour ref'!$A$2:$A$5,'Vic colour ref'!$D$2:$D$5,"")</f>
        <v>11</v>
      </c>
      <c r="BO37" s="18" t="str">
        <f t="shared" si="1"/>
        <v>00000010</v>
      </c>
      <c r="BP37" s="18" t="str">
        <f t="shared" si="2"/>
        <v>10100101</v>
      </c>
      <c r="BQ37" s="18" t="str">
        <f t="shared" si="3"/>
        <v>01010101</v>
      </c>
      <c r="BR37" s="18" t="str">
        <f t="shared" si="4"/>
        <v>10101000</v>
      </c>
      <c r="BS37" s="18" t="str">
        <f t="shared" si="5"/>
        <v>00001111</v>
      </c>
      <c r="BT37" s="18" t="str">
        <f t="shared" si="6"/>
        <v>10101111</v>
      </c>
      <c r="BU37" s="18" t="str">
        <f t="shared" si="7"/>
        <v>11111111</v>
      </c>
      <c r="BV37" s="18" t="str">
        <f t="shared" si="8"/>
        <v>10101111</v>
      </c>
      <c r="BX37" s="21" t="str">
        <f t="shared" si="9"/>
        <v>02</v>
      </c>
      <c r="BY37" s="21" t="str">
        <f t="shared" si="10"/>
        <v>A5</v>
      </c>
      <c r="BZ37" s="21" t="str">
        <f t="shared" si="11"/>
        <v>55</v>
      </c>
      <c r="CA37" s="21" t="str">
        <f t="shared" si="11"/>
        <v>A8</v>
      </c>
      <c r="CB37" s="21" t="str">
        <f t="shared" si="11"/>
        <v>0F</v>
      </c>
      <c r="CC37" s="21" t="str">
        <f t="shared" si="11"/>
        <v>AF</v>
      </c>
      <c r="CD37" s="21" t="str">
        <f t="shared" si="14"/>
        <v>FF</v>
      </c>
      <c r="CE37" s="21" t="str">
        <f t="shared" si="12"/>
        <v>AF</v>
      </c>
      <c r="CG37" s="2" t="str" cm="1">
        <f t="array" ref="CG37:CN37">TRANSPOSE(CB33:CB40)</f>
        <v>0F</v>
      </c>
      <c r="CH37" s="2" t="str">
        <v>0F</v>
      </c>
      <c r="CI37" s="2" t="str">
        <v>0A</v>
      </c>
      <c r="CJ37" s="2" t="str">
        <v>0A</v>
      </c>
      <c r="CK37" s="2" t="str">
        <v>0F</v>
      </c>
      <c r="CL37" s="2" t="str">
        <v>0F</v>
      </c>
      <c r="CM37" s="2" t="str">
        <v>0F</v>
      </c>
      <c r="CN37" s="2" t="str">
        <v>0F</v>
      </c>
      <c r="CP37" s="4" t="str">
        <f t="shared" si="13"/>
        <v>!byte $0f, $0f, $0a, $0a, $0f, $0f, $0f, $0f</v>
      </c>
    </row>
    <row r="38" spans="1:94" x14ac:dyDescent="0.3">
      <c r="A38" s="2">
        <v>0</v>
      </c>
      <c r="B38" s="2">
        <v>0</v>
      </c>
      <c r="C38" s="2">
        <v>0</v>
      </c>
      <c r="D38" s="2">
        <v>2</v>
      </c>
      <c r="E38" s="2">
        <v>2</v>
      </c>
      <c r="F38" s="2">
        <v>2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2</v>
      </c>
      <c r="N38" s="2">
        <v>2</v>
      </c>
      <c r="O38" s="2">
        <v>2</v>
      </c>
      <c r="P38" s="2">
        <v>0</v>
      </c>
      <c r="Q38" s="2">
        <v>0</v>
      </c>
      <c r="R38" s="2">
        <v>0</v>
      </c>
      <c r="S38" s="2">
        <v>3</v>
      </c>
      <c r="T38" s="2">
        <v>3</v>
      </c>
      <c r="U38" s="2">
        <v>2</v>
      </c>
      <c r="V38" s="2">
        <v>2</v>
      </c>
      <c r="W38" s="2">
        <v>3</v>
      </c>
      <c r="X38" s="2">
        <v>3</v>
      </c>
      <c r="Y38" s="2">
        <v>3</v>
      </c>
      <c r="Z38" s="2">
        <v>3</v>
      </c>
      <c r="AA38" s="2">
        <v>3</v>
      </c>
      <c r="AB38" s="2">
        <v>3</v>
      </c>
      <c r="AC38" s="2">
        <v>2</v>
      </c>
      <c r="AD38" s="2">
        <v>2</v>
      </c>
      <c r="AE38" s="2">
        <v>3</v>
      </c>
      <c r="AF38" s="2">
        <v>3</v>
      </c>
      <c r="AH38" s="2" t="str">
        <f>_xlfn.XLOOKUP(A38,'Vic colour ref'!$A$2:$A$5,'Vic colour ref'!$D$2:$D$5,"")</f>
        <v>00</v>
      </c>
      <c r="AI38" s="2" t="str">
        <f>_xlfn.XLOOKUP(B38,'Vic colour ref'!$A$2:$A$5,'Vic colour ref'!$D$2:$D$5,"")</f>
        <v>00</v>
      </c>
      <c r="AJ38" s="2" t="str">
        <f>_xlfn.XLOOKUP(C38,'Vic colour ref'!$A$2:$A$5,'Vic colour ref'!$D$2:$D$5,"")</f>
        <v>00</v>
      </c>
      <c r="AK38" s="2">
        <f>_xlfn.XLOOKUP(D38,'Vic colour ref'!$A$2:$A$5,'Vic colour ref'!$D$2:$D$5,"")</f>
        <v>10</v>
      </c>
      <c r="AL38" s="2">
        <f>_xlfn.XLOOKUP(E38,'Vic colour ref'!$A$2:$A$5,'Vic colour ref'!$D$2:$D$5,"")</f>
        <v>10</v>
      </c>
      <c r="AM38" s="2">
        <f>_xlfn.XLOOKUP(F38,'Vic colour ref'!$A$2:$A$5,'Vic colour ref'!$D$2:$D$5,"")</f>
        <v>10</v>
      </c>
      <c r="AN38" s="2" t="str">
        <f>_xlfn.XLOOKUP(G38,'Vic colour ref'!$A$2:$A$5,'Vic colour ref'!$D$2:$D$5,"")</f>
        <v>01</v>
      </c>
      <c r="AO38" s="2" t="str">
        <f>_xlfn.XLOOKUP(H38,'Vic colour ref'!$A$2:$A$5,'Vic colour ref'!$D$2:$D$5,"")</f>
        <v>01</v>
      </c>
      <c r="AP38" s="2" t="str">
        <f>_xlfn.XLOOKUP(I38,'Vic colour ref'!$A$2:$A$5,'Vic colour ref'!$D$2:$D$5,"")</f>
        <v>01</v>
      </c>
      <c r="AQ38" s="2" t="str">
        <f>_xlfn.XLOOKUP(J38,'Vic colour ref'!$A$2:$A$5,'Vic colour ref'!$D$2:$D$5,"")</f>
        <v>01</v>
      </c>
      <c r="AR38" s="2" t="str">
        <f>_xlfn.XLOOKUP(K38,'Vic colour ref'!$A$2:$A$5,'Vic colour ref'!$D$2:$D$5,"")</f>
        <v>01</v>
      </c>
      <c r="AS38" s="2" t="str">
        <f>_xlfn.XLOOKUP(L38,'Vic colour ref'!$A$2:$A$5,'Vic colour ref'!$D$2:$D$5,"")</f>
        <v>01</v>
      </c>
      <c r="AT38" s="2">
        <f>_xlfn.XLOOKUP(M38,'Vic colour ref'!$A$2:$A$5,'Vic colour ref'!$D$2:$D$5,"")</f>
        <v>10</v>
      </c>
      <c r="AU38" s="2">
        <f>_xlfn.XLOOKUP(N38,'Vic colour ref'!$A$2:$A$5,'Vic colour ref'!$D$2:$D$5,"")</f>
        <v>10</v>
      </c>
      <c r="AV38" s="2">
        <f>_xlfn.XLOOKUP(O38,'Vic colour ref'!$A$2:$A$5,'Vic colour ref'!$D$2:$D$5,"")</f>
        <v>10</v>
      </c>
      <c r="AW38" s="2" t="str">
        <f>_xlfn.XLOOKUP(P38,'Vic colour ref'!$A$2:$A$5,'Vic colour ref'!$D$2:$D$5,"")</f>
        <v>00</v>
      </c>
      <c r="AX38" s="2" t="str">
        <f>_xlfn.XLOOKUP(Q38,'Vic colour ref'!$A$2:$A$5,'Vic colour ref'!$D$2:$D$5,"")</f>
        <v>00</v>
      </c>
      <c r="AY38" s="2" t="str">
        <f>_xlfn.XLOOKUP(R38,'Vic colour ref'!$A$2:$A$5,'Vic colour ref'!$D$2:$D$5,"")</f>
        <v>00</v>
      </c>
      <c r="AZ38" s="2">
        <f>_xlfn.XLOOKUP(S38,'Vic colour ref'!$A$2:$A$5,'Vic colour ref'!$D$2:$D$5,"")</f>
        <v>11</v>
      </c>
      <c r="BA38" s="2">
        <f>_xlfn.XLOOKUP(T38,'Vic colour ref'!$A$2:$A$5,'Vic colour ref'!$D$2:$D$5,"")</f>
        <v>11</v>
      </c>
      <c r="BB38" s="2">
        <f>_xlfn.XLOOKUP(U38,'Vic colour ref'!$A$2:$A$5,'Vic colour ref'!$D$2:$D$5,"")</f>
        <v>10</v>
      </c>
      <c r="BC38" s="2">
        <f>_xlfn.XLOOKUP(V38,'Vic colour ref'!$A$2:$A$5,'Vic colour ref'!$D$2:$D$5,"")</f>
        <v>10</v>
      </c>
      <c r="BD38" s="2">
        <f>_xlfn.XLOOKUP(W38,'Vic colour ref'!$A$2:$A$5,'Vic colour ref'!$D$2:$D$5,"")</f>
        <v>11</v>
      </c>
      <c r="BE38" s="2">
        <f>_xlfn.XLOOKUP(X38,'Vic colour ref'!$A$2:$A$5,'Vic colour ref'!$D$2:$D$5,"")</f>
        <v>11</v>
      </c>
      <c r="BF38" s="2">
        <f>_xlfn.XLOOKUP(Y38,'Vic colour ref'!$A$2:$A$5,'Vic colour ref'!$D$2:$D$5,"")</f>
        <v>11</v>
      </c>
      <c r="BG38" s="2">
        <f>_xlfn.XLOOKUP(Z38,'Vic colour ref'!$A$2:$A$5,'Vic colour ref'!$D$2:$D$5,"")</f>
        <v>11</v>
      </c>
      <c r="BH38" s="2">
        <f>_xlfn.XLOOKUP(AA38,'Vic colour ref'!$A$2:$A$5,'Vic colour ref'!$D$2:$D$5,"")</f>
        <v>11</v>
      </c>
      <c r="BI38" s="2">
        <f>_xlfn.XLOOKUP(AB38,'Vic colour ref'!$A$2:$A$5,'Vic colour ref'!$D$2:$D$5,"")</f>
        <v>11</v>
      </c>
      <c r="BJ38" s="2">
        <f>_xlfn.XLOOKUP(AC38,'Vic colour ref'!$A$2:$A$5,'Vic colour ref'!$D$2:$D$5,"")</f>
        <v>10</v>
      </c>
      <c r="BK38" s="2">
        <f>_xlfn.XLOOKUP(AD38,'Vic colour ref'!$A$2:$A$5,'Vic colour ref'!$D$2:$D$5,"")</f>
        <v>10</v>
      </c>
      <c r="BL38" s="2">
        <f>_xlfn.XLOOKUP(AE38,'Vic colour ref'!$A$2:$A$5,'Vic colour ref'!$D$2:$D$5,"")</f>
        <v>11</v>
      </c>
      <c r="BM38" s="2">
        <f>_xlfn.XLOOKUP(AF38,'Vic colour ref'!$A$2:$A$5,'Vic colour ref'!$D$2:$D$5,"")</f>
        <v>11</v>
      </c>
      <c r="BO38" s="18" t="str">
        <f t="shared" si="1"/>
        <v>00000010</v>
      </c>
      <c r="BP38" s="18" t="str">
        <f t="shared" si="2"/>
        <v>10100101</v>
      </c>
      <c r="BQ38" s="18" t="str">
        <f t="shared" si="3"/>
        <v>01010101</v>
      </c>
      <c r="BR38" s="18" t="str">
        <f t="shared" si="4"/>
        <v>10101000</v>
      </c>
      <c r="BS38" s="18" t="str">
        <f t="shared" si="5"/>
        <v>00001111</v>
      </c>
      <c r="BT38" s="18" t="str">
        <f t="shared" si="6"/>
        <v>10101111</v>
      </c>
      <c r="BU38" s="18" t="str">
        <f t="shared" si="7"/>
        <v>11111111</v>
      </c>
      <c r="BV38" s="18" t="str">
        <f t="shared" si="8"/>
        <v>10101111</v>
      </c>
      <c r="BX38" s="21" t="str">
        <f t="shared" si="9"/>
        <v>02</v>
      </c>
      <c r="BY38" s="21" t="str">
        <f t="shared" si="10"/>
        <v>A5</v>
      </c>
      <c r="BZ38" s="21" t="str">
        <f t="shared" si="11"/>
        <v>55</v>
      </c>
      <c r="CA38" s="21" t="str">
        <f t="shared" si="11"/>
        <v>A8</v>
      </c>
      <c r="CB38" s="21" t="str">
        <f t="shared" si="11"/>
        <v>0F</v>
      </c>
      <c r="CC38" s="21" t="str">
        <f t="shared" si="11"/>
        <v>AF</v>
      </c>
      <c r="CD38" s="21" t="str">
        <f t="shared" si="14"/>
        <v>FF</v>
      </c>
      <c r="CE38" s="21" t="str">
        <f t="shared" si="12"/>
        <v>AF</v>
      </c>
      <c r="CG38" s="2" t="str" cm="1">
        <f t="array" ref="CG38:CN38">TRANSPOSE(CC33:CC40)</f>
        <v>FF</v>
      </c>
      <c r="CH38" s="2" t="str">
        <v>FF</v>
      </c>
      <c r="CI38" s="2" t="str">
        <v>FF</v>
      </c>
      <c r="CJ38" s="2" t="str">
        <v>FF</v>
      </c>
      <c r="CK38" s="2" t="str">
        <v>AF</v>
      </c>
      <c r="CL38" s="2" t="str">
        <v>AF</v>
      </c>
      <c r="CM38" s="2" t="str">
        <v>FA</v>
      </c>
      <c r="CN38" s="2" t="str">
        <v>FA</v>
      </c>
      <c r="CP38" s="4" t="str">
        <f t="shared" si="13"/>
        <v>!byte $ff, $ff, $ff, $ff, $af, $af, $fa, $fa</v>
      </c>
    </row>
    <row r="39" spans="1:94" x14ac:dyDescent="0.3">
      <c r="A39" s="2">
        <v>0</v>
      </c>
      <c r="B39" s="2">
        <v>0</v>
      </c>
      <c r="C39" s="2">
        <v>0</v>
      </c>
      <c r="D39" s="2">
        <v>3</v>
      </c>
      <c r="E39" s="2">
        <v>3</v>
      </c>
      <c r="F39" s="2">
        <v>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  <c r="N39" s="2">
        <v>3</v>
      </c>
      <c r="O39" s="2">
        <v>3</v>
      </c>
      <c r="P39" s="2">
        <v>0</v>
      </c>
      <c r="Q39" s="2">
        <v>0</v>
      </c>
      <c r="R39" s="2">
        <v>0</v>
      </c>
      <c r="S39" s="2">
        <v>3</v>
      </c>
      <c r="T39" s="2">
        <v>3</v>
      </c>
      <c r="U39" s="2">
        <v>3</v>
      </c>
      <c r="V39" s="2">
        <v>3</v>
      </c>
      <c r="W39" s="2">
        <v>2</v>
      </c>
      <c r="X39" s="2">
        <v>2</v>
      </c>
      <c r="Y39" s="2">
        <v>3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2</v>
      </c>
      <c r="AF39" s="2">
        <v>2</v>
      </c>
      <c r="AH39" s="2" t="str">
        <f>_xlfn.XLOOKUP(A39,'Vic colour ref'!$A$2:$A$5,'Vic colour ref'!$D$2:$D$5,"")</f>
        <v>00</v>
      </c>
      <c r="AI39" s="2" t="str">
        <f>_xlfn.XLOOKUP(B39,'Vic colour ref'!$A$2:$A$5,'Vic colour ref'!$D$2:$D$5,"")</f>
        <v>00</v>
      </c>
      <c r="AJ39" s="2" t="str">
        <f>_xlfn.XLOOKUP(C39,'Vic colour ref'!$A$2:$A$5,'Vic colour ref'!$D$2:$D$5,"")</f>
        <v>00</v>
      </c>
      <c r="AK39" s="2">
        <f>_xlfn.XLOOKUP(D39,'Vic colour ref'!$A$2:$A$5,'Vic colour ref'!$D$2:$D$5,"")</f>
        <v>11</v>
      </c>
      <c r="AL39" s="2">
        <f>_xlfn.XLOOKUP(E39,'Vic colour ref'!$A$2:$A$5,'Vic colour ref'!$D$2:$D$5,"")</f>
        <v>11</v>
      </c>
      <c r="AM39" s="2">
        <f>_xlfn.XLOOKUP(F39,'Vic colour ref'!$A$2:$A$5,'Vic colour ref'!$D$2:$D$5,"")</f>
        <v>11</v>
      </c>
      <c r="AN39" s="2" t="str">
        <f>_xlfn.XLOOKUP(G39,'Vic colour ref'!$A$2:$A$5,'Vic colour ref'!$D$2:$D$5,"")</f>
        <v>00</v>
      </c>
      <c r="AO39" s="2" t="str">
        <f>_xlfn.XLOOKUP(H39,'Vic colour ref'!$A$2:$A$5,'Vic colour ref'!$D$2:$D$5,"")</f>
        <v>00</v>
      </c>
      <c r="AP39" s="2" t="str">
        <f>_xlfn.XLOOKUP(I39,'Vic colour ref'!$A$2:$A$5,'Vic colour ref'!$D$2:$D$5,"")</f>
        <v>00</v>
      </c>
      <c r="AQ39" s="2" t="str">
        <f>_xlfn.XLOOKUP(J39,'Vic colour ref'!$A$2:$A$5,'Vic colour ref'!$D$2:$D$5,"")</f>
        <v>00</v>
      </c>
      <c r="AR39" s="2" t="str">
        <f>_xlfn.XLOOKUP(K39,'Vic colour ref'!$A$2:$A$5,'Vic colour ref'!$D$2:$D$5,"")</f>
        <v>00</v>
      </c>
      <c r="AS39" s="2" t="str">
        <f>_xlfn.XLOOKUP(L39,'Vic colour ref'!$A$2:$A$5,'Vic colour ref'!$D$2:$D$5,"")</f>
        <v>00</v>
      </c>
      <c r="AT39" s="2">
        <f>_xlfn.XLOOKUP(M39,'Vic colour ref'!$A$2:$A$5,'Vic colour ref'!$D$2:$D$5,"")</f>
        <v>11</v>
      </c>
      <c r="AU39" s="2">
        <f>_xlfn.XLOOKUP(N39,'Vic colour ref'!$A$2:$A$5,'Vic colour ref'!$D$2:$D$5,"")</f>
        <v>11</v>
      </c>
      <c r="AV39" s="2">
        <f>_xlfn.XLOOKUP(O39,'Vic colour ref'!$A$2:$A$5,'Vic colour ref'!$D$2:$D$5,"")</f>
        <v>11</v>
      </c>
      <c r="AW39" s="2" t="str">
        <f>_xlfn.XLOOKUP(P39,'Vic colour ref'!$A$2:$A$5,'Vic colour ref'!$D$2:$D$5,"")</f>
        <v>00</v>
      </c>
      <c r="AX39" s="2" t="str">
        <f>_xlfn.XLOOKUP(Q39,'Vic colour ref'!$A$2:$A$5,'Vic colour ref'!$D$2:$D$5,"")</f>
        <v>00</v>
      </c>
      <c r="AY39" s="2" t="str">
        <f>_xlfn.XLOOKUP(R39,'Vic colour ref'!$A$2:$A$5,'Vic colour ref'!$D$2:$D$5,"")</f>
        <v>00</v>
      </c>
      <c r="AZ39" s="2">
        <f>_xlfn.XLOOKUP(S39,'Vic colour ref'!$A$2:$A$5,'Vic colour ref'!$D$2:$D$5,"")</f>
        <v>11</v>
      </c>
      <c r="BA39" s="2">
        <f>_xlfn.XLOOKUP(T39,'Vic colour ref'!$A$2:$A$5,'Vic colour ref'!$D$2:$D$5,"")</f>
        <v>11</v>
      </c>
      <c r="BB39" s="2">
        <f>_xlfn.XLOOKUP(U39,'Vic colour ref'!$A$2:$A$5,'Vic colour ref'!$D$2:$D$5,"")</f>
        <v>11</v>
      </c>
      <c r="BC39" s="2">
        <f>_xlfn.XLOOKUP(V39,'Vic colour ref'!$A$2:$A$5,'Vic colour ref'!$D$2:$D$5,"")</f>
        <v>11</v>
      </c>
      <c r="BD39" s="2">
        <f>_xlfn.XLOOKUP(W39,'Vic colour ref'!$A$2:$A$5,'Vic colour ref'!$D$2:$D$5,"")</f>
        <v>10</v>
      </c>
      <c r="BE39" s="2">
        <f>_xlfn.XLOOKUP(X39,'Vic colour ref'!$A$2:$A$5,'Vic colour ref'!$D$2:$D$5,"")</f>
        <v>10</v>
      </c>
      <c r="BF39" s="2">
        <f>_xlfn.XLOOKUP(Y39,'Vic colour ref'!$A$2:$A$5,'Vic colour ref'!$D$2:$D$5,"")</f>
        <v>11</v>
      </c>
      <c r="BG39" s="2">
        <f>_xlfn.XLOOKUP(Z39,'Vic colour ref'!$A$2:$A$5,'Vic colour ref'!$D$2:$D$5,"")</f>
        <v>11</v>
      </c>
      <c r="BH39" s="2">
        <f>_xlfn.XLOOKUP(AA39,'Vic colour ref'!$A$2:$A$5,'Vic colour ref'!$D$2:$D$5,"")</f>
        <v>11</v>
      </c>
      <c r="BI39" s="2">
        <f>_xlfn.XLOOKUP(AB39,'Vic colour ref'!$A$2:$A$5,'Vic colour ref'!$D$2:$D$5,"")</f>
        <v>11</v>
      </c>
      <c r="BJ39" s="2">
        <f>_xlfn.XLOOKUP(AC39,'Vic colour ref'!$A$2:$A$5,'Vic colour ref'!$D$2:$D$5,"")</f>
        <v>11</v>
      </c>
      <c r="BK39" s="2">
        <f>_xlfn.XLOOKUP(AD39,'Vic colour ref'!$A$2:$A$5,'Vic colour ref'!$D$2:$D$5,"")</f>
        <v>11</v>
      </c>
      <c r="BL39" s="2">
        <f>_xlfn.XLOOKUP(AE39,'Vic colour ref'!$A$2:$A$5,'Vic colour ref'!$D$2:$D$5,"")</f>
        <v>10</v>
      </c>
      <c r="BM39" s="2">
        <f>_xlfn.XLOOKUP(AF39,'Vic colour ref'!$A$2:$A$5,'Vic colour ref'!$D$2:$D$5,"")</f>
        <v>10</v>
      </c>
      <c r="BO39" s="18" t="str">
        <f t="shared" si="1"/>
        <v>00000011</v>
      </c>
      <c r="BP39" s="18" t="str">
        <f t="shared" si="2"/>
        <v>11110000</v>
      </c>
      <c r="BQ39" s="18" t="str">
        <f t="shared" si="3"/>
        <v>00000000</v>
      </c>
      <c r="BR39" s="18" t="str">
        <f t="shared" si="4"/>
        <v>11111100</v>
      </c>
      <c r="BS39" s="18" t="str">
        <f t="shared" si="5"/>
        <v>00001111</v>
      </c>
      <c r="BT39" s="18" t="str">
        <f t="shared" si="6"/>
        <v>11111010</v>
      </c>
      <c r="BU39" s="18" t="str">
        <f t="shared" si="7"/>
        <v>11111111</v>
      </c>
      <c r="BV39" s="18" t="str">
        <f t="shared" si="8"/>
        <v>11111010</v>
      </c>
      <c r="BX39" s="21" t="str">
        <f t="shared" si="9"/>
        <v>03</v>
      </c>
      <c r="BY39" s="21" t="str">
        <f t="shared" si="10"/>
        <v>F0</v>
      </c>
      <c r="BZ39" s="21" t="str">
        <f t="shared" si="11"/>
        <v>00</v>
      </c>
      <c r="CA39" s="21" t="str">
        <f t="shared" si="11"/>
        <v>FC</v>
      </c>
      <c r="CB39" s="21" t="str">
        <f t="shared" si="11"/>
        <v>0F</v>
      </c>
      <c r="CC39" s="21" t="str">
        <f t="shared" si="11"/>
        <v>FA</v>
      </c>
      <c r="CD39" s="21" t="str">
        <f t="shared" si="14"/>
        <v>FF</v>
      </c>
      <c r="CE39" s="21" t="str">
        <f t="shared" si="12"/>
        <v>FA</v>
      </c>
      <c r="CG39" s="2" t="str" cm="1">
        <f t="array" ref="CG39:CN39">TRANSPOSE(CD33:CD40)</f>
        <v>AF</v>
      </c>
      <c r="CH39" s="2" t="str">
        <v>AF</v>
      </c>
      <c r="CI39" s="2" t="str">
        <v>FA</v>
      </c>
      <c r="CJ39" s="2" t="str">
        <v>FA</v>
      </c>
      <c r="CK39" s="2" t="str">
        <v>FF</v>
      </c>
      <c r="CL39" s="2" t="str">
        <v>FF</v>
      </c>
      <c r="CM39" s="2" t="str">
        <v>FF</v>
      </c>
      <c r="CN39" s="2" t="str">
        <v>FF</v>
      </c>
      <c r="CP39" s="4" t="str">
        <f t="shared" si="13"/>
        <v>!byte $af, $af, $fa, $fa, $ff, $ff, $ff, $ff</v>
      </c>
    </row>
    <row r="40" spans="1:94" x14ac:dyDescent="0.3">
      <c r="A40" s="2">
        <v>0</v>
      </c>
      <c r="B40" s="2">
        <v>0</v>
      </c>
      <c r="C40" s="2">
        <v>0</v>
      </c>
      <c r="D40" s="2">
        <v>3</v>
      </c>
      <c r="E40" s="2">
        <v>3</v>
      </c>
      <c r="F40" s="2">
        <v>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</v>
      </c>
      <c r="N40" s="2">
        <v>3</v>
      </c>
      <c r="O40" s="2">
        <v>3</v>
      </c>
      <c r="P40" s="2">
        <v>0</v>
      </c>
      <c r="Q40" s="2">
        <v>0</v>
      </c>
      <c r="R40" s="2">
        <v>0</v>
      </c>
      <c r="S40" s="2">
        <v>3</v>
      </c>
      <c r="T40" s="2">
        <v>3</v>
      </c>
      <c r="U40" s="2">
        <v>3</v>
      </c>
      <c r="V40" s="2">
        <v>3</v>
      </c>
      <c r="W40" s="2">
        <v>2</v>
      </c>
      <c r="X40" s="2">
        <v>2</v>
      </c>
      <c r="Y40" s="2">
        <v>3</v>
      </c>
      <c r="Z40" s="2">
        <v>3</v>
      </c>
      <c r="AA40" s="2">
        <v>3</v>
      </c>
      <c r="AB40" s="2">
        <v>3</v>
      </c>
      <c r="AC40" s="2">
        <v>3</v>
      </c>
      <c r="AD40" s="2">
        <v>3</v>
      </c>
      <c r="AE40" s="2">
        <v>2</v>
      </c>
      <c r="AF40" s="2">
        <v>2</v>
      </c>
      <c r="AH40" s="2" t="str">
        <f>_xlfn.XLOOKUP(A40,'Vic colour ref'!$A$2:$A$5,'Vic colour ref'!$D$2:$D$5,"")</f>
        <v>00</v>
      </c>
      <c r="AI40" s="2" t="str">
        <f>_xlfn.XLOOKUP(B40,'Vic colour ref'!$A$2:$A$5,'Vic colour ref'!$D$2:$D$5,"")</f>
        <v>00</v>
      </c>
      <c r="AJ40" s="2" t="str">
        <f>_xlfn.XLOOKUP(C40,'Vic colour ref'!$A$2:$A$5,'Vic colour ref'!$D$2:$D$5,"")</f>
        <v>00</v>
      </c>
      <c r="AK40" s="2">
        <f>_xlfn.XLOOKUP(D40,'Vic colour ref'!$A$2:$A$5,'Vic colour ref'!$D$2:$D$5,"")</f>
        <v>11</v>
      </c>
      <c r="AL40" s="2">
        <f>_xlfn.XLOOKUP(E40,'Vic colour ref'!$A$2:$A$5,'Vic colour ref'!$D$2:$D$5,"")</f>
        <v>11</v>
      </c>
      <c r="AM40" s="2">
        <f>_xlfn.XLOOKUP(F40,'Vic colour ref'!$A$2:$A$5,'Vic colour ref'!$D$2:$D$5,"")</f>
        <v>11</v>
      </c>
      <c r="AN40" s="2" t="str">
        <f>_xlfn.XLOOKUP(G40,'Vic colour ref'!$A$2:$A$5,'Vic colour ref'!$D$2:$D$5,"")</f>
        <v>00</v>
      </c>
      <c r="AO40" s="2" t="str">
        <f>_xlfn.XLOOKUP(H40,'Vic colour ref'!$A$2:$A$5,'Vic colour ref'!$D$2:$D$5,"")</f>
        <v>00</v>
      </c>
      <c r="AP40" s="2" t="str">
        <f>_xlfn.XLOOKUP(I40,'Vic colour ref'!$A$2:$A$5,'Vic colour ref'!$D$2:$D$5,"")</f>
        <v>00</v>
      </c>
      <c r="AQ40" s="2" t="str">
        <f>_xlfn.XLOOKUP(J40,'Vic colour ref'!$A$2:$A$5,'Vic colour ref'!$D$2:$D$5,"")</f>
        <v>00</v>
      </c>
      <c r="AR40" s="2" t="str">
        <f>_xlfn.XLOOKUP(K40,'Vic colour ref'!$A$2:$A$5,'Vic colour ref'!$D$2:$D$5,"")</f>
        <v>00</v>
      </c>
      <c r="AS40" s="2" t="str">
        <f>_xlfn.XLOOKUP(L40,'Vic colour ref'!$A$2:$A$5,'Vic colour ref'!$D$2:$D$5,"")</f>
        <v>00</v>
      </c>
      <c r="AT40" s="2">
        <f>_xlfn.XLOOKUP(M40,'Vic colour ref'!$A$2:$A$5,'Vic colour ref'!$D$2:$D$5,"")</f>
        <v>11</v>
      </c>
      <c r="AU40" s="2">
        <f>_xlfn.XLOOKUP(N40,'Vic colour ref'!$A$2:$A$5,'Vic colour ref'!$D$2:$D$5,"")</f>
        <v>11</v>
      </c>
      <c r="AV40" s="2">
        <f>_xlfn.XLOOKUP(O40,'Vic colour ref'!$A$2:$A$5,'Vic colour ref'!$D$2:$D$5,"")</f>
        <v>11</v>
      </c>
      <c r="AW40" s="2" t="str">
        <f>_xlfn.XLOOKUP(P40,'Vic colour ref'!$A$2:$A$5,'Vic colour ref'!$D$2:$D$5,"")</f>
        <v>00</v>
      </c>
      <c r="AX40" s="2" t="str">
        <f>_xlfn.XLOOKUP(Q40,'Vic colour ref'!$A$2:$A$5,'Vic colour ref'!$D$2:$D$5,"")</f>
        <v>00</v>
      </c>
      <c r="AY40" s="2" t="str">
        <f>_xlfn.XLOOKUP(R40,'Vic colour ref'!$A$2:$A$5,'Vic colour ref'!$D$2:$D$5,"")</f>
        <v>00</v>
      </c>
      <c r="AZ40" s="2">
        <f>_xlfn.XLOOKUP(S40,'Vic colour ref'!$A$2:$A$5,'Vic colour ref'!$D$2:$D$5,"")</f>
        <v>11</v>
      </c>
      <c r="BA40" s="2">
        <f>_xlfn.XLOOKUP(T40,'Vic colour ref'!$A$2:$A$5,'Vic colour ref'!$D$2:$D$5,"")</f>
        <v>11</v>
      </c>
      <c r="BB40" s="2">
        <f>_xlfn.XLOOKUP(U40,'Vic colour ref'!$A$2:$A$5,'Vic colour ref'!$D$2:$D$5,"")</f>
        <v>11</v>
      </c>
      <c r="BC40" s="2">
        <f>_xlfn.XLOOKUP(V40,'Vic colour ref'!$A$2:$A$5,'Vic colour ref'!$D$2:$D$5,"")</f>
        <v>11</v>
      </c>
      <c r="BD40" s="2">
        <f>_xlfn.XLOOKUP(W40,'Vic colour ref'!$A$2:$A$5,'Vic colour ref'!$D$2:$D$5,"")</f>
        <v>10</v>
      </c>
      <c r="BE40" s="2">
        <f>_xlfn.XLOOKUP(X40,'Vic colour ref'!$A$2:$A$5,'Vic colour ref'!$D$2:$D$5,"")</f>
        <v>10</v>
      </c>
      <c r="BF40" s="2">
        <f>_xlfn.XLOOKUP(Y40,'Vic colour ref'!$A$2:$A$5,'Vic colour ref'!$D$2:$D$5,"")</f>
        <v>11</v>
      </c>
      <c r="BG40" s="2">
        <f>_xlfn.XLOOKUP(Z40,'Vic colour ref'!$A$2:$A$5,'Vic colour ref'!$D$2:$D$5,"")</f>
        <v>11</v>
      </c>
      <c r="BH40" s="2">
        <f>_xlfn.XLOOKUP(AA40,'Vic colour ref'!$A$2:$A$5,'Vic colour ref'!$D$2:$D$5,"")</f>
        <v>11</v>
      </c>
      <c r="BI40" s="2">
        <f>_xlfn.XLOOKUP(AB40,'Vic colour ref'!$A$2:$A$5,'Vic colour ref'!$D$2:$D$5,"")</f>
        <v>11</v>
      </c>
      <c r="BJ40" s="2">
        <f>_xlfn.XLOOKUP(AC40,'Vic colour ref'!$A$2:$A$5,'Vic colour ref'!$D$2:$D$5,"")</f>
        <v>11</v>
      </c>
      <c r="BK40" s="2">
        <f>_xlfn.XLOOKUP(AD40,'Vic colour ref'!$A$2:$A$5,'Vic colour ref'!$D$2:$D$5,"")</f>
        <v>11</v>
      </c>
      <c r="BL40" s="2">
        <f>_xlfn.XLOOKUP(AE40,'Vic colour ref'!$A$2:$A$5,'Vic colour ref'!$D$2:$D$5,"")</f>
        <v>10</v>
      </c>
      <c r="BM40" s="2">
        <f>_xlfn.XLOOKUP(AF40,'Vic colour ref'!$A$2:$A$5,'Vic colour ref'!$D$2:$D$5,"")</f>
        <v>10</v>
      </c>
      <c r="BO40" s="19" t="str">
        <f t="shared" si="1"/>
        <v>00000011</v>
      </c>
      <c r="BP40" s="19" t="str">
        <f t="shared" si="2"/>
        <v>11110000</v>
      </c>
      <c r="BQ40" s="19" t="str">
        <f t="shared" si="3"/>
        <v>00000000</v>
      </c>
      <c r="BR40" s="19" t="str">
        <f t="shared" si="4"/>
        <v>11111100</v>
      </c>
      <c r="BS40" s="19" t="str">
        <f t="shared" si="5"/>
        <v>00001111</v>
      </c>
      <c r="BT40" s="19" t="str">
        <f t="shared" si="6"/>
        <v>11111010</v>
      </c>
      <c r="BU40" s="19" t="str">
        <f t="shared" si="7"/>
        <v>11111111</v>
      </c>
      <c r="BV40" s="19" t="str">
        <f t="shared" si="8"/>
        <v>11111010</v>
      </c>
      <c r="BX40" s="22" t="str">
        <f t="shared" si="9"/>
        <v>03</v>
      </c>
      <c r="BY40" s="22" t="str">
        <f t="shared" si="10"/>
        <v>F0</v>
      </c>
      <c r="BZ40" s="22" t="str">
        <f t="shared" si="11"/>
        <v>00</v>
      </c>
      <c r="CA40" s="22" t="str">
        <f t="shared" si="11"/>
        <v>FC</v>
      </c>
      <c r="CB40" s="22" t="str">
        <f t="shared" si="11"/>
        <v>0F</v>
      </c>
      <c r="CC40" s="22" t="str">
        <f t="shared" si="11"/>
        <v>FA</v>
      </c>
      <c r="CD40" s="22" t="str">
        <f t="shared" si="14"/>
        <v>FF</v>
      </c>
      <c r="CE40" s="22" t="str">
        <f t="shared" si="12"/>
        <v>FA</v>
      </c>
      <c r="CG40" s="2" t="str" cm="1">
        <f t="array" ref="CG40:CN40">TRANSPOSE(CE33:CE40)</f>
        <v>FF</v>
      </c>
      <c r="CH40" s="2" t="str">
        <v>FF</v>
      </c>
      <c r="CI40" s="2" t="str">
        <v>FF</v>
      </c>
      <c r="CJ40" s="2" t="str">
        <v>FF</v>
      </c>
      <c r="CK40" s="2" t="str">
        <v>AF</v>
      </c>
      <c r="CL40" s="2" t="str">
        <v>AF</v>
      </c>
      <c r="CM40" s="2" t="str">
        <v>FA</v>
      </c>
      <c r="CN40" s="2" t="str">
        <v>FA</v>
      </c>
      <c r="CP40" s="4" t="str">
        <f t="shared" si="13"/>
        <v>!byte $ff, $ff, $ff, $ff, $af, $af, $fa, $fa</v>
      </c>
    </row>
    <row r="41" spans="1:94" x14ac:dyDescent="0.3">
      <c r="A41" s="2">
        <v>0</v>
      </c>
      <c r="B41" s="2">
        <v>0</v>
      </c>
      <c r="C41" s="2">
        <v>0</v>
      </c>
      <c r="D41" s="2">
        <v>3</v>
      </c>
      <c r="E41" s="2">
        <v>3</v>
      </c>
      <c r="F41" s="2">
        <v>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  <c r="N41" s="2">
        <v>3</v>
      </c>
      <c r="O41" s="2">
        <v>3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3</v>
      </c>
      <c r="V41" s="2">
        <v>3</v>
      </c>
      <c r="W41" s="2">
        <v>3</v>
      </c>
      <c r="X41" s="2">
        <v>3</v>
      </c>
      <c r="Y41" s="2">
        <v>2</v>
      </c>
      <c r="Z41" s="2">
        <v>2</v>
      </c>
      <c r="AA41" s="2">
        <v>3</v>
      </c>
      <c r="AB41" s="2">
        <v>3</v>
      </c>
      <c r="AC41" s="2">
        <v>3</v>
      </c>
      <c r="AD41" s="2">
        <v>3</v>
      </c>
      <c r="AE41" s="2">
        <v>0</v>
      </c>
      <c r="AF41" s="2">
        <v>0</v>
      </c>
      <c r="AH41" s="2" t="str">
        <f>_xlfn.XLOOKUP(A41,'Vic colour ref'!$A$2:$A$5,'Vic colour ref'!$D$2:$D$5,"")</f>
        <v>00</v>
      </c>
      <c r="AI41" s="2" t="str">
        <f>_xlfn.XLOOKUP(B41,'Vic colour ref'!$A$2:$A$5,'Vic colour ref'!$D$2:$D$5,"")</f>
        <v>00</v>
      </c>
      <c r="AJ41" s="2" t="str">
        <f>_xlfn.XLOOKUP(C41,'Vic colour ref'!$A$2:$A$5,'Vic colour ref'!$D$2:$D$5,"")</f>
        <v>00</v>
      </c>
      <c r="AK41" s="2">
        <f>_xlfn.XLOOKUP(D41,'Vic colour ref'!$A$2:$A$5,'Vic colour ref'!$D$2:$D$5,"")</f>
        <v>11</v>
      </c>
      <c r="AL41" s="2">
        <f>_xlfn.XLOOKUP(E41,'Vic colour ref'!$A$2:$A$5,'Vic colour ref'!$D$2:$D$5,"")</f>
        <v>11</v>
      </c>
      <c r="AM41" s="2">
        <f>_xlfn.XLOOKUP(F41,'Vic colour ref'!$A$2:$A$5,'Vic colour ref'!$D$2:$D$5,"")</f>
        <v>11</v>
      </c>
      <c r="AN41" s="2" t="str">
        <f>_xlfn.XLOOKUP(G41,'Vic colour ref'!$A$2:$A$5,'Vic colour ref'!$D$2:$D$5,"")</f>
        <v>00</v>
      </c>
      <c r="AO41" s="2" t="str">
        <f>_xlfn.XLOOKUP(H41,'Vic colour ref'!$A$2:$A$5,'Vic colour ref'!$D$2:$D$5,"")</f>
        <v>00</v>
      </c>
      <c r="AP41" s="2" t="str">
        <f>_xlfn.XLOOKUP(I41,'Vic colour ref'!$A$2:$A$5,'Vic colour ref'!$D$2:$D$5,"")</f>
        <v>00</v>
      </c>
      <c r="AQ41" s="2" t="str">
        <f>_xlfn.XLOOKUP(J41,'Vic colour ref'!$A$2:$A$5,'Vic colour ref'!$D$2:$D$5,"")</f>
        <v>00</v>
      </c>
      <c r="AR41" s="2" t="str">
        <f>_xlfn.XLOOKUP(K41,'Vic colour ref'!$A$2:$A$5,'Vic colour ref'!$D$2:$D$5,"")</f>
        <v>00</v>
      </c>
      <c r="AS41" s="2" t="str">
        <f>_xlfn.XLOOKUP(L41,'Vic colour ref'!$A$2:$A$5,'Vic colour ref'!$D$2:$D$5,"")</f>
        <v>00</v>
      </c>
      <c r="AT41" s="2">
        <f>_xlfn.XLOOKUP(M41,'Vic colour ref'!$A$2:$A$5,'Vic colour ref'!$D$2:$D$5,"")</f>
        <v>11</v>
      </c>
      <c r="AU41" s="2">
        <f>_xlfn.XLOOKUP(N41,'Vic colour ref'!$A$2:$A$5,'Vic colour ref'!$D$2:$D$5,"")</f>
        <v>11</v>
      </c>
      <c r="AV41" s="2">
        <f>_xlfn.XLOOKUP(O41,'Vic colour ref'!$A$2:$A$5,'Vic colour ref'!$D$2:$D$5,"")</f>
        <v>11</v>
      </c>
      <c r="AW41" s="2" t="str">
        <f>_xlfn.XLOOKUP(P41,'Vic colour ref'!$A$2:$A$5,'Vic colour ref'!$D$2:$D$5,"")</f>
        <v>00</v>
      </c>
      <c r="AX41" s="2" t="str">
        <f>_xlfn.XLOOKUP(Q41,'Vic colour ref'!$A$2:$A$5,'Vic colour ref'!$D$2:$D$5,"")</f>
        <v>00</v>
      </c>
      <c r="AY41" s="2" t="str">
        <f>_xlfn.XLOOKUP(R41,'Vic colour ref'!$A$2:$A$5,'Vic colour ref'!$D$2:$D$5,"")</f>
        <v>00</v>
      </c>
      <c r="AZ41" s="2" t="str">
        <f>_xlfn.XLOOKUP(S41,'Vic colour ref'!$A$2:$A$5,'Vic colour ref'!$D$2:$D$5,"")</f>
        <v>00</v>
      </c>
      <c r="BA41" s="2" t="str">
        <f>_xlfn.XLOOKUP(T41,'Vic colour ref'!$A$2:$A$5,'Vic colour ref'!$D$2:$D$5,"")</f>
        <v>00</v>
      </c>
      <c r="BB41" s="2">
        <f>_xlfn.XLOOKUP(U41,'Vic colour ref'!$A$2:$A$5,'Vic colour ref'!$D$2:$D$5,"")</f>
        <v>11</v>
      </c>
      <c r="BC41" s="2">
        <f>_xlfn.XLOOKUP(V41,'Vic colour ref'!$A$2:$A$5,'Vic colour ref'!$D$2:$D$5,"")</f>
        <v>11</v>
      </c>
      <c r="BD41" s="2">
        <f>_xlfn.XLOOKUP(W41,'Vic colour ref'!$A$2:$A$5,'Vic colour ref'!$D$2:$D$5,"")</f>
        <v>11</v>
      </c>
      <c r="BE41" s="2">
        <f>_xlfn.XLOOKUP(X41,'Vic colour ref'!$A$2:$A$5,'Vic colour ref'!$D$2:$D$5,"")</f>
        <v>11</v>
      </c>
      <c r="BF41" s="2">
        <f>_xlfn.XLOOKUP(Y41,'Vic colour ref'!$A$2:$A$5,'Vic colour ref'!$D$2:$D$5,"")</f>
        <v>10</v>
      </c>
      <c r="BG41" s="2">
        <f>_xlfn.XLOOKUP(Z41,'Vic colour ref'!$A$2:$A$5,'Vic colour ref'!$D$2:$D$5,"")</f>
        <v>10</v>
      </c>
      <c r="BH41" s="2">
        <f>_xlfn.XLOOKUP(AA41,'Vic colour ref'!$A$2:$A$5,'Vic colour ref'!$D$2:$D$5,"")</f>
        <v>11</v>
      </c>
      <c r="BI41" s="2">
        <f>_xlfn.XLOOKUP(AB41,'Vic colour ref'!$A$2:$A$5,'Vic colour ref'!$D$2:$D$5,"")</f>
        <v>11</v>
      </c>
      <c r="BJ41" s="2">
        <f>_xlfn.XLOOKUP(AC41,'Vic colour ref'!$A$2:$A$5,'Vic colour ref'!$D$2:$D$5,"")</f>
        <v>11</v>
      </c>
      <c r="BK41" s="2">
        <f>_xlfn.XLOOKUP(AD41,'Vic colour ref'!$A$2:$A$5,'Vic colour ref'!$D$2:$D$5,"")</f>
        <v>11</v>
      </c>
      <c r="BL41" s="2" t="str">
        <f>_xlfn.XLOOKUP(AE41,'Vic colour ref'!$A$2:$A$5,'Vic colour ref'!$D$2:$D$5,"")</f>
        <v>00</v>
      </c>
      <c r="BM41" s="2" t="str">
        <f>_xlfn.XLOOKUP(AF41,'Vic colour ref'!$A$2:$A$5,'Vic colour ref'!$D$2:$D$5,"")</f>
        <v>00</v>
      </c>
      <c r="BO41" s="17" t="str">
        <f t="shared" si="1"/>
        <v>00000011</v>
      </c>
      <c r="BP41" s="17" t="str">
        <f t="shared" si="2"/>
        <v>11110000</v>
      </c>
      <c r="BQ41" s="17" t="str">
        <f t="shared" si="3"/>
        <v>00000000</v>
      </c>
      <c r="BR41" s="17" t="str">
        <f t="shared" si="4"/>
        <v>11111100</v>
      </c>
      <c r="BS41" s="17" t="str">
        <f t="shared" si="5"/>
        <v>00000000</v>
      </c>
      <c r="BT41" s="17" t="str">
        <f t="shared" si="6"/>
        <v>11111111</v>
      </c>
      <c r="BU41" s="17" t="str">
        <f t="shared" si="7"/>
        <v>10101111</v>
      </c>
      <c r="BV41" s="17" t="str">
        <f t="shared" si="8"/>
        <v>11110000</v>
      </c>
      <c r="BX41" s="20" t="str">
        <f t="shared" si="9"/>
        <v>03</v>
      </c>
      <c r="BY41" s="20" t="str">
        <f t="shared" si="10"/>
        <v>F0</v>
      </c>
      <c r="BZ41" s="23" t="str">
        <f t="shared" si="11"/>
        <v>00</v>
      </c>
      <c r="CA41" s="20" t="str">
        <f t="shared" si="11"/>
        <v>FC</v>
      </c>
      <c r="CB41" s="20" t="str">
        <f t="shared" si="11"/>
        <v>00</v>
      </c>
      <c r="CC41" s="20" t="str">
        <f t="shared" si="11"/>
        <v>FF</v>
      </c>
      <c r="CD41" s="20" t="str">
        <f t="shared" si="14"/>
        <v>AF</v>
      </c>
      <c r="CE41" s="20" t="str">
        <f t="shared" si="12"/>
        <v>F0</v>
      </c>
      <c r="CG41" s="2" t="str" cm="1">
        <f t="array" ref="CG41:CN41">TRANSPOSE(BX41:BX48)</f>
        <v>03</v>
      </c>
      <c r="CH41" s="2" t="str">
        <v>03</v>
      </c>
      <c r="CI41" s="2" t="str">
        <v>03</v>
      </c>
      <c r="CJ41" s="2" t="str">
        <v>03</v>
      </c>
      <c r="CK41" s="2" t="str">
        <v>55</v>
      </c>
      <c r="CL41" s="2" t="str">
        <v>55</v>
      </c>
      <c r="CM41" s="2" t="str">
        <v>55</v>
      </c>
      <c r="CN41" s="2" t="str">
        <v>00</v>
      </c>
      <c r="CP41" s="4" t="str">
        <f t="shared" si="13"/>
        <v>!byte $03, $03, $03, $03, $55, $55, $55, $00</v>
      </c>
    </row>
    <row r="42" spans="1:94" x14ac:dyDescent="0.3">
      <c r="A42" s="2">
        <v>0</v>
      </c>
      <c r="B42" s="2">
        <v>0</v>
      </c>
      <c r="C42" s="2">
        <v>0</v>
      </c>
      <c r="D42" s="2">
        <v>3</v>
      </c>
      <c r="E42" s="2">
        <v>3</v>
      </c>
      <c r="F42" s="2">
        <v>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  <c r="N42" s="2">
        <v>3</v>
      </c>
      <c r="O42" s="2">
        <v>3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3</v>
      </c>
      <c r="V42" s="2">
        <v>3</v>
      </c>
      <c r="W42" s="2">
        <v>3</v>
      </c>
      <c r="X42" s="2">
        <v>3</v>
      </c>
      <c r="Y42" s="2">
        <v>2</v>
      </c>
      <c r="Z42" s="2">
        <v>2</v>
      </c>
      <c r="AA42" s="2">
        <v>3</v>
      </c>
      <c r="AB42" s="2">
        <v>3</v>
      </c>
      <c r="AC42" s="2">
        <v>3</v>
      </c>
      <c r="AD42" s="2">
        <v>3</v>
      </c>
      <c r="AE42" s="2">
        <v>0</v>
      </c>
      <c r="AF42" s="2">
        <v>0</v>
      </c>
      <c r="AH42" s="2" t="str">
        <f>_xlfn.XLOOKUP(A42,'Vic colour ref'!$A$2:$A$5,'Vic colour ref'!$D$2:$D$5,"")</f>
        <v>00</v>
      </c>
      <c r="AI42" s="2" t="str">
        <f>_xlfn.XLOOKUP(B42,'Vic colour ref'!$A$2:$A$5,'Vic colour ref'!$D$2:$D$5,"")</f>
        <v>00</v>
      </c>
      <c r="AJ42" s="2" t="str">
        <f>_xlfn.XLOOKUP(C42,'Vic colour ref'!$A$2:$A$5,'Vic colour ref'!$D$2:$D$5,"")</f>
        <v>00</v>
      </c>
      <c r="AK42" s="2">
        <f>_xlfn.XLOOKUP(D42,'Vic colour ref'!$A$2:$A$5,'Vic colour ref'!$D$2:$D$5,"")</f>
        <v>11</v>
      </c>
      <c r="AL42" s="2">
        <f>_xlfn.XLOOKUP(E42,'Vic colour ref'!$A$2:$A$5,'Vic colour ref'!$D$2:$D$5,"")</f>
        <v>11</v>
      </c>
      <c r="AM42" s="2">
        <f>_xlfn.XLOOKUP(F42,'Vic colour ref'!$A$2:$A$5,'Vic colour ref'!$D$2:$D$5,"")</f>
        <v>11</v>
      </c>
      <c r="AN42" s="2" t="str">
        <f>_xlfn.XLOOKUP(G42,'Vic colour ref'!$A$2:$A$5,'Vic colour ref'!$D$2:$D$5,"")</f>
        <v>00</v>
      </c>
      <c r="AO42" s="2" t="str">
        <f>_xlfn.XLOOKUP(H42,'Vic colour ref'!$A$2:$A$5,'Vic colour ref'!$D$2:$D$5,"")</f>
        <v>00</v>
      </c>
      <c r="AP42" s="2" t="str">
        <f>_xlfn.XLOOKUP(I42,'Vic colour ref'!$A$2:$A$5,'Vic colour ref'!$D$2:$D$5,"")</f>
        <v>00</v>
      </c>
      <c r="AQ42" s="2" t="str">
        <f>_xlfn.XLOOKUP(J42,'Vic colour ref'!$A$2:$A$5,'Vic colour ref'!$D$2:$D$5,"")</f>
        <v>00</v>
      </c>
      <c r="AR42" s="2" t="str">
        <f>_xlfn.XLOOKUP(K42,'Vic colour ref'!$A$2:$A$5,'Vic colour ref'!$D$2:$D$5,"")</f>
        <v>00</v>
      </c>
      <c r="AS42" s="2" t="str">
        <f>_xlfn.XLOOKUP(L42,'Vic colour ref'!$A$2:$A$5,'Vic colour ref'!$D$2:$D$5,"")</f>
        <v>00</v>
      </c>
      <c r="AT42" s="2">
        <f>_xlfn.XLOOKUP(M42,'Vic colour ref'!$A$2:$A$5,'Vic colour ref'!$D$2:$D$5,"")</f>
        <v>11</v>
      </c>
      <c r="AU42" s="2">
        <f>_xlfn.XLOOKUP(N42,'Vic colour ref'!$A$2:$A$5,'Vic colour ref'!$D$2:$D$5,"")</f>
        <v>11</v>
      </c>
      <c r="AV42" s="2">
        <f>_xlfn.XLOOKUP(O42,'Vic colour ref'!$A$2:$A$5,'Vic colour ref'!$D$2:$D$5,"")</f>
        <v>11</v>
      </c>
      <c r="AW42" s="2" t="str">
        <f>_xlfn.XLOOKUP(P42,'Vic colour ref'!$A$2:$A$5,'Vic colour ref'!$D$2:$D$5,"")</f>
        <v>00</v>
      </c>
      <c r="AX42" s="2" t="str">
        <f>_xlfn.XLOOKUP(Q42,'Vic colour ref'!$A$2:$A$5,'Vic colour ref'!$D$2:$D$5,"")</f>
        <v>00</v>
      </c>
      <c r="AY42" s="2" t="str">
        <f>_xlfn.XLOOKUP(R42,'Vic colour ref'!$A$2:$A$5,'Vic colour ref'!$D$2:$D$5,"")</f>
        <v>00</v>
      </c>
      <c r="AZ42" s="2" t="str">
        <f>_xlfn.XLOOKUP(S42,'Vic colour ref'!$A$2:$A$5,'Vic colour ref'!$D$2:$D$5,"")</f>
        <v>00</v>
      </c>
      <c r="BA42" s="2" t="str">
        <f>_xlfn.XLOOKUP(T42,'Vic colour ref'!$A$2:$A$5,'Vic colour ref'!$D$2:$D$5,"")</f>
        <v>00</v>
      </c>
      <c r="BB42" s="2">
        <f>_xlfn.XLOOKUP(U42,'Vic colour ref'!$A$2:$A$5,'Vic colour ref'!$D$2:$D$5,"")</f>
        <v>11</v>
      </c>
      <c r="BC42" s="2">
        <f>_xlfn.XLOOKUP(V42,'Vic colour ref'!$A$2:$A$5,'Vic colour ref'!$D$2:$D$5,"")</f>
        <v>11</v>
      </c>
      <c r="BD42" s="2">
        <f>_xlfn.XLOOKUP(W42,'Vic colour ref'!$A$2:$A$5,'Vic colour ref'!$D$2:$D$5,"")</f>
        <v>11</v>
      </c>
      <c r="BE42" s="2">
        <f>_xlfn.XLOOKUP(X42,'Vic colour ref'!$A$2:$A$5,'Vic colour ref'!$D$2:$D$5,"")</f>
        <v>11</v>
      </c>
      <c r="BF42" s="2">
        <f>_xlfn.XLOOKUP(Y42,'Vic colour ref'!$A$2:$A$5,'Vic colour ref'!$D$2:$D$5,"")</f>
        <v>10</v>
      </c>
      <c r="BG42" s="2">
        <f>_xlfn.XLOOKUP(Z42,'Vic colour ref'!$A$2:$A$5,'Vic colour ref'!$D$2:$D$5,"")</f>
        <v>10</v>
      </c>
      <c r="BH42" s="2">
        <f>_xlfn.XLOOKUP(AA42,'Vic colour ref'!$A$2:$A$5,'Vic colour ref'!$D$2:$D$5,"")</f>
        <v>11</v>
      </c>
      <c r="BI42" s="2">
        <f>_xlfn.XLOOKUP(AB42,'Vic colour ref'!$A$2:$A$5,'Vic colour ref'!$D$2:$D$5,"")</f>
        <v>11</v>
      </c>
      <c r="BJ42" s="2">
        <f>_xlfn.XLOOKUP(AC42,'Vic colour ref'!$A$2:$A$5,'Vic colour ref'!$D$2:$D$5,"")</f>
        <v>11</v>
      </c>
      <c r="BK42" s="2">
        <f>_xlfn.XLOOKUP(AD42,'Vic colour ref'!$A$2:$A$5,'Vic colour ref'!$D$2:$D$5,"")</f>
        <v>11</v>
      </c>
      <c r="BL42" s="2" t="str">
        <f>_xlfn.XLOOKUP(AE42,'Vic colour ref'!$A$2:$A$5,'Vic colour ref'!$D$2:$D$5,"")</f>
        <v>00</v>
      </c>
      <c r="BM42" s="2" t="str">
        <f>_xlfn.XLOOKUP(AF42,'Vic colour ref'!$A$2:$A$5,'Vic colour ref'!$D$2:$D$5,"")</f>
        <v>00</v>
      </c>
      <c r="BO42" s="18" t="str">
        <f t="shared" si="1"/>
        <v>00000011</v>
      </c>
      <c r="BP42" s="18" t="str">
        <f t="shared" si="2"/>
        <v>11110000</v>
      </c>
      <c r="BQ42" s="18" t="str">
        <f t="shared" si="3"/>
        <v>00000000</v>
      </c>
      <c r="BR42" s="18" t="str">
        <f t="shared" si="4"/>
        <v>11111100</v>
      </c>
      <c r="BS42" s="18" t="str">
        <f t="shared" si="5"/>
        <v>00000000</v>
      </c>
      <c r="BT42" s="18" t="str">
        <f t="shared" si="6"/>
        <v>11111111</v>
      </c>
      <c r="BU42" s="18" t="str">
        <f t="shared" si="7"/>
        <v>10101111</v>
      </c>
      <c r="BV42" s="18" t="str">
        <f t="shared" si="8"/>
        <v>11110000</v>
      </c>
      <c r="BX42" s="21" t="str">
        <f t="shared" si="9"/>
        <v>03</v>
      </c>
      <c r="BY42" s="21" t="str">
        <f t="shared" si="10"/>
        <v>F0</v>
      </c>
      <c r="BZ42" s="24" t="str">
        <f t="shared" si="11"/>
        <v>00</v>
      </c>
      <c r="CA42" s="21" t="str">
        <f t="shared" si="11"/>
        <v>FC</v>
      </c>
      <c r="CB42" s="21" t="str">
        <f t="shared" si="11"/>
        <v>00</v>
      </c>
      <c r="CC42" s="21" t="str">
        <f t="shared" si="11"/>
        <v>FF</v>
      </c>
      <c r="CD42" s="21" t="str">
        <f t="shared" si="14"/>
        <v>AF</v>
      </c>
      <c r="CE42" s="21" t="str">
        <f t="shared" si="12"/>
        <v>F0</v>
      </c>
      <c r="CG42" s="2" t="str" cm="1">
        <f t="array" ref="CG42:CN42">TRANSPOSE(BY41:BY48)</f>
        <v>F0</v>
      </c>
      <c r="CH42" s="2" t="str">
        <v>F0</v>
      </c>
      <c r="CI42" s="2" t="str">
        <v>F0</v>
      </c>
      <c r="CJ42" s="2" t="str">
        <v>F0</v>
      </c>
      <c r="CK42" s="2" t="str">
        <v>50</v>
      </c>
      <c r="CL42" s="2" t="str">
        <v>50</v>
      </c>
      <c r="CM42" s="2" t="str">
        <v>50</v>
      </c>
      <c r="CN42" s="2" t="str">
        <v>00</v>
      </c>
      <c r="CP42" s="4" t="str">
        <f t="shared" si="13"/>
        <v>!byte $f0, $f0, $f0, $f0, $50, $50, $50, $00</v>
      </c>
    </row>
    <row r="43" spans="1:94" x14ac:dyDescent="0.3">
      <c r="A43" s="2">
        <v>0</v>
      </c>
      <c r="B43" s="2">
        <v>0</v>
      </c>
      <c r="C43" s="2">
        <v>0</v>
      </c>
      <c r="D43" s="2">
        <v>3</v>
      </c>
      <c r="E43" s="2">
        <v>3</v>
      </c>
      <c r="F43" s="2">
        <v>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  <c r="N43" s="2">
        <v>3</v>
      </c>
      <c r="O43" s="2">
        <v>3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3</v>
      </c>
      <c r="V43" s="2">
        <v>3</v>
      </c>
      <c r="W43" s="2">
        <v>3</v>
      </c>
      <c r="X43" s="2">
        <v>3</v>
      </c>
      <c r="Y43" s="2">
        <v>3</v>
      </c>
      <c r="Z43" s="2">
        <v>3</v>
      </c>
      <c r="AA43" s="2">
        <v>2</v>
      </c>
      <c r="AB43" s="2">
        <v>2</v>
      </c>
      <c r="AC43" s="2">
        <v>3</v>
      </c>
      <c r="AD43" s="2">
        <v>3</v>
      </c>
      <c r="AE43" s="2">
        <v>0</v>
      </c>
      <c r="AF43" s="2">
        <v>0</v>
      </c>
      <c r="AH43" s="2" t="str">
        <f>_xlfn.XLOOKUP(A43,'Vic colour ref'!$A$2:$A$5,'Vic colour ref'!$D$2:$D$5,"")</f>
        <v>00</v>
      </c>
      <c r="AI43" s="2" t="str">
        <f>_xlfn.XLOOKUP(B43,'Vic colour ref'!$A$2:$A$5,'Vic colour ref'!$D$2:$D$5,"")</f>
        <v>00</v>
      </c>
      <c r="AJ43" s="2" t="str">
        <f>_xlfn.XLOOKUP(C43,'Vic colour ref'!$A$2:$A$5,'Vic colour ref'!$D$2:$D$5,"")</f>
        <v>00</v>
      </c>
      <c r="AK43" s="2">
        <f>_xlfn.XLOOKUP(D43,'Vic colour ref'!$A$2:$A$5,'Vic colour ref'!$D$2:$D$5,"")</f>
        <v>11</v>
      </c>
      <c r="AL43" s="2">
        <f>_xlfn.XLOOKUP(E43,'Vic colour ref'!$A$2:$A$5,'Vic colour ref'!$D$2:$D$5,"")</f>
        <v>11</v>
      </c>
      <c r="AM43" s="2">
        <f>_xlfn.XLOOKUP(F43,'Vic colour ref'!$A$2:$A$5,'Vic colour ref'!$D$2:$D$5,"")</f>
        <v>11</v>
      </c>
      <c r="AN43" s="2" t="str">
        <f>_xlfn.XLOOKUP(G43,'Vic colour ref'!$A$2:$A$5,'Vic colour ref'!$D$2:$D$5,"")</f>
        <v>00</v>
      </c>
      <c r="AO43" s="2" t="str">
        <f>_xlfn.XLOOKUP(H43,'Vic colour ref'!$A$2:$A$5,'Vic colour ref'!$D$2:$D$5,"")</f>
        <v>00</v>
      </c>
      <c r="AP43" s="2" t="str">
        <f>_xlfn.XLOOKUP(I43,'Vic colour ref'!$A$2:$A$5,'Vic colour ref'!$D$2:$D$5,"")</f>
        <v>00</v>
      </c>
      <c r="AQ43" s="2" t="str">
        <f>_xlfn.XLOOKUP(J43,'Vic colour ref'!$A$2:$A$5,'Vic colour ref'!$D$2:$D$5,"")</f>
        <v>00</v>
      </c>
      <c r="AR43" s="2" t="str">
        <f>_xlfn.XLOOKUP(K43,'Vic colour ref'!$A$2:$A$5,'Vic colour ref'!$D$2:$D$5,"")</f>
        <v>00</v>
      </c>
      <c r="AS43" s="2" t="str">
        <f>_xlfn.XLOOKUP(L43,'Vic colour ref'!$A$2:$A$5,'Vic colour ref'!$D$2:$D$5,"")</f>
        <v>00</v>
      </c>
      <c r="AT43" s="2">
        <f>_xlfn.XLOOKUP(M43,'Vic colour ref'!$A$2:$A$5,'Vic colour ref'!$D$2:$D$5,"")</f>
        <v>11</v>
      </c>
      <c r="AU43" s="2">
        <f>_xlfn.XLOOKUP(N43,'Vic colour ref'!$A$2:$A$5,'Vic colour ref'!$D$2:$D$5,"")</f>
        <v>11</v>
      </c>
      <c r="AV43" s="2">
        <f>_xlfn.XLOOKUP(O43,'Vic colour ref'!$A$2:$A$5,'Vic colour ref'!$D$2:$D$5,"")</f>
        <v>11</v>
      </c>
      <c r="AW43" s="2" t="str">
        <f>_xlfn.XLOOKUP(P43,'Vic colour ref'!$A$2:$A$5,'Vic colour ref'!$D$2:$D$5,"")</f>
        <v>00</v>
      </c>
      <c r="AX43" s="2" t="str">
        <f>_xlfn.XLOOKUP(Q43,'Vic colour ref'!$A$2:$A$5,'Vic colour ref'!$D$2:$D$5,"")</f>
        <v>00</v>
      </c>
      <c r="AY43" s="2" t="str">
        <f>_xlfn.XLOOKUP(R43,'Vic colour ref'!$A$2:$A$5,'Vic colour ref'!$D$2:$D$5,"")</f>
        <v>00</v>
      </c>
      <c r="AZ43" s="2" t="str">
        <f>_xlfn.XLOOKUP(S43,'Vic colour ref'!$A$2:$A$5,'Vic colour ref'!$D$2:$D$5,"")</f>
        <v>00</v>
      </c>
      <c r="BA43" s="2" t="str">
        <f>_xlfn.XLOOKUP(T43,'Vic colour ref'!$A$2:$A$5,'Vic colour ref'!$D$2:$D$5,"")</f>
        <v>00</v>
      </c>
      <c r="BB43" s="2">
        <f>_xlfn.XLOOKUP(U43,'Vic colour ref'!$A$2:$A$5,'Vic colour ref'!$D$2:$D$5,"")</f>
        <v>11</v>
      </c>
      <c r="BC43" s="2">
        <f>_xlfn.XLOOKUP(V43,'Vic colour ref'!$A$2:$A$5,'Vic colour ref'!$D$2:$D$5,"")</f>
        <v>11</v>
      </c>
      <c r="BD43" s="2">
        <f>_xlfn.XLOOKUP(W43,'Vic colour ref'!$A$2:$A$5,'Vic colour ref'!$D$2:$D$5,"")</f>
        <v>11</v>
      </c>
      <c r="BE43" s="2">
        <f>_xlfn.XLOOKUP(X43,'Vic colour ref'!$A$2:$A$5,'Vic colour ref'!$D$2:$D$5,"")</f>
        <v>11</v>
      </c>
      <c r="BF43" s="2">
        <f>_xlfn.XLOOKUP(Y43,'Vic colour ref'!$A$2:$A$5,'Vic colour ref'!$D$2:$D$5,"")</f>
        <v>11</v>
      </c>
      <c r="BG43" s="2">
        <f>_xlfn.XLOOKUP(Z43,'Vic colour ref'!$A$2:$A$5,'Vic colour ref'!$D$2:$D$5,"")</f>
        <v>11</v>
      </c>
      <c r="BH43" s="2">
        <f>_xlfn.XLOOKUP(AA43,'Vic colour ref'!$A$2:$A$5,'Vic colour ref'!$D$2:$D$5,"")</f>
        <v>10</v>
      </c>
      <c r="BI43" s="2">
        <f>_xlfn.XLOOKUP(AB43,'Vic colour ref'!$A$2:$A$5,'Vic colour ref'!$D$2:$D$5,"")</f>
        <v>10</v>
      </c>
      <c r="BJ43" s="2">
        <f>_xlfn.XLOOKUP(AC43,'Vic colour ref'!$A$2:$A$5,'Vic colour ref'!$D$2:$D$5,"")</f>
        <v>11</v>
      </c>
      <c r="BK43" s="2">
        <f>_xlfn.XLOOKUP(AD43,'Vic colour ref'!$A$2:$A$5,'Vic colour ref'!$D$2:$D$5,"")</f>
        <v>11</v>
      </c>
      <c r="BL43" s="2" t="str">
        <f>_xlfn.XLOOKUP(AE43,'Vic colour ref'!$A$2:$A$5,'Vic colour ref'!$D$2:$D$5,"")</f>
        <v>00</v>
      </c>
      <c r="BM43" s="2" t="str">
        <f>_xlfn.XLOOKUP(AF43,'Vic colour ref'!$A$2:$A$5,'Vic colour ref'!$D$2:$D$5,"")</f>
        <v>00</v>
      </c>
      <c r="BO43" s="18" t="str">
        <f t="shared" si="1"/>
        <v>00000011</v>
      </c>
      <c r="BP43" s="18" t="str">
        <f t="shared" si="2"/>
        <v>11110000</v>
      </c>
      <c r="BQ43" s="18" t="str">
        <f t="shared" si="3"/>
        <v>00000000</v>
      </c>
      <c r="BR43" s="18" t="str">
        <f t="shared" si="4"/>
        <v>11111100</v>
      </c>
      <c r="BS43" s="18" t="str">
        <f t="shared" si="5"/>
        <v>00000000</v>
      </c>
      <c r="BT43" s="18" t="str">
        <f t="shared" si="6"/>
        <v>11111111</v>
      </c>
      <c r="BU43" s="18" t="str">
        <f t="shared" si="7"/>
        <v>11111010</v>
      </c>
      <c r="BV43" s="18" t="str">
        <f t="shared" si="8"/>
        <v>11110000</v>
      </c>
      <c r="BX43" s="21" t="str">
        <f t="shared" si="9"/>
        <v>03</v>
      </c>
      <c r="BY43" s="21" t="str">
        <f t="shared" si="10"/>
        <v>F0</v>
      </c>
      <c r="BZ43" s="24" t="str">
        <f t="shared" si="11"/>
        <v>00</v>
      </c>
      <c r="CA43" s="21" t="str">
        <f t="shared" si="11"/>
        <v>FC</v>
      </c>
      <c r="CB43" s="21" t="str">
        <f t="shared" si="11"/>
        <v>00</v>
      </c>
      <c r="CC43" s="21" t="str">
        <f t="shared" si="11"/>
        <v>FF</v>
      </c>
      <c r="CD43" s="21" t="str">
        <f t="shared" si="14"/>
        <v>FA</v>
      </c>
      <c r="CE43" s="21" t="str">
        <f t="shared" si="12"/>
        <v>F0</v>
      </c>
      <c r="CG43" s="2" t="str" cm="1">
        <f t="array" ref="CG43:CN43">TRANSPOSE(BZ41:BZ48)</f>
        <v>00</v>
      </c>
      <c r="CH43" s="2" t="str">
        <v>00</v>
      </c>
      <c r="CI43" s="2" t="str">
        <v>00</v>
      </c>
      <c r="CJ43" s="2" t="str">
        <v>00</v>
      </c>
      <c r="CK43" s="2" t="str">
        <v>00</v>
      </c>
      <c r="CL43" s="2" t="str">
        <v>00</v>
      </c>
      <c r="CM43" s="2" t="str">
        <v>00</v>
      </c>
      <c r="CN43" s="2" t="str">
        <v>00</v>
      </c>
      <c r="CP43" s="4" t="str">
        <f t="shared" si="13"/>
        <v>!byte $00, $00, $00, $00, $00, $00, $00, $00</v>
      </c>
    </row>
    <row r="44" spans="1:94" x14ac:dyDescent="0.3">
      <c r="A44" s="2">
        <v>0</v>
      </c>
      <c r="B44" s="2">
        <v>0</v>
      </c>
      <c r="C44" s="2">
        <v>0</v>
      </c>
      <c r="D44" s="2">
        <v>3</v>
      </c>
      <c r="E44" s="2">
        <v>3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  <c r="N44" s="2">
        <v>3</v>
      </c>
      <c r="O44" s="2">
        <v>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3</v>
      </c>
      <c r="V44" s="2">
        <v>3</v>
      </c>
      <c r="W44" s="2">
        <v>3</v>
      </c>
      <c r="X44" s="2">
        <v>3</v>
      </c>
      <c r="Y44" s="2">
        <v>3</v>
      </c>
      <c r="Z44" s="2">
        <v>3</v>
      </c>
      <c r="AA44" s="2">
        <v>2</v>
      </c>
      <c r="AB44" s="2">
        <v>2</v>
      </c>
      <c r="AC44" s="2">
        <v>3</v>
      </c>
      <c r="AD44" s="2">
        <v>3</v>
      </c>
      <c r="AE44" s="2">
        <v>0</v>
      </c>
      <c r="AF44" s="2">
        <v>0</v>
      </c>
      <c r="AH44" s="2" t="str">
        <f>_xlfn.XLOOKUP(A44,'Vic colour ref'!$A$2:$A$5,'Vic colour ref'!$D$2:$D$5,"")</f>
        <v>00</v>
      </c>
      <c r="AI44" s="2" t="str">
        <f>_xlfn.XLOOKUP(B44,'Vic colour ref'!$A$2:$A$5,'Vic colour ref'!$D$2:$D$5,"")</f>
        <v>00</v>
      </c>
      <c r="AJ44" s="2" t="str">
        <f>_xlfn.XLOOKUP(C44,'Vic colour ref'!$A$2:$A$5,'Vic colour ref'!$D$2:$D$5,"")</f>
        <v>00</v>
      </c>
      <c r="AK44" s="2">
        <f>_xlfn.XLOOKUP(D44,'Vic colour ref'!$A$2:$A$5,'Vic colour ref'!$D$2:$D$5,"")</f>
        <v>11</v>
      </c>
      <c r="AL44" s="2">
        <f>_xlfn.XLOOKUP(E44,'Vic colour ref'!$A$2:$A$5,'Vic colour ref'!$D$2:$D$5,"")</f>
        <v>11</v>
      </c>
      <c r="AM44" s="2">
        <f>_xlfn.XLOOKUP(F44,'Vic colour ref'!$A$2:$A$5,'Vic colour ref'!$D$2:$D$5,"")</f>
        <v>11</v>
      </c>
      <c r="AN44" s="2" t="str">
        <f>_xlfn.XLOOKUP(G44,'Vic colour ref'!$A$2:$A$5,'Vic colour ref'!$D$2:$D$5,"")</f>
        <v>00</v>
      </c>
      <c r="AO44" s="2" t="str">
        <f>_xlfn.XLOOKUP(H44,'Vic colour ref'!$A$2:$A$5,'Vic colour ref'!$D$2:$D$5,"")</f>
        <v>00</v>
      </c>
      <c r="AP44" s="2" t="str">
        <f>_xlfn.XLOOKUP(I44,'Vic colour ref'!$A$2:$A$5,'Vic colour ref'!$D$2:$D$5,"")</f>
        <v>00</v>
      </c>
      <c r="AQ44" s="2" t="str">
        <f>_xlfn.XLOOKUP(J44,'Vic colour ref'!$A$2:$A$5,'Vic colour ref'!$D$2:$D$5,"")</f>
        <v>00</v>
      </c>
      <c r="AR44" s="2" t="str">
        <f>_xlfn.XLOOKUP(K44,'Vic colour ref'!$A$2:$A$5,'Vic colour ref'!$D$2:$D$5,"")</f>
        <v>00</v>
      </c>
      <c r="AS44" s="2" t="str">
        <f>_xlfn.XLOOKUP(L44,'Vic colour ref'!$A$2:$A$5,'Vic colour ref'!$D$2:$D$5,"")</f>
        <v>00</v>
      </c>
      <c r="AT44" s="2">
        <f>_xlfn.XLOOKUP(M44,'Vic colour ref'!$A$2:$A$5,'Vic colour ref'!$D$2:$D$5,"")</f>
        <v>11</v>
      </c>
      <c r="AU44" s="2">
        <f>_xlfn.XLOOKUP(N44,'Vic colour ref'!$A$2:$A$5,'Vic colour ref'!$D$2:$D$5,"")</f>
        <v>11</v>
      </c>
      <c r="AV44" s="2">
        <f>_xlfn.XLOOKUP(O44,'Vic colour ref'!$A$2:$A$5,'Vic colour ref'!$D$2:$D$5,"")</f>
        <v>11</v>
      </c>
      <c r="AW44" s="2" t="str">
        <f>_xlfn.XLOOKUP(P44,'Vic colour ref'!$A$2:$A$5,'Vic colour ref'!$D$2:$D$5,"")</f>
        <v>00</v>
      </c>
      <c r="AX44" s="2" t="str">
        <f>_xlfn.XLOOKUP(Q44,'Vic colour ref'!$A$2:$A$5,'Vic colour ref'!$D$2:$D$5,"")</f>
        <v>00</v>
      </c>
      <c r="AY44" s="2" t="str">
        <f>_xlfn.XLOOKUP(R44,'Vic colour ref'!$A$2:$A$5,'Vic colour ref'!$D$2:$D$5,"")</f>
        <v>00</v>
      </c>
      <c r="AZ44" s="2" t="str">
        <f>_xlfn.XLOOKUP(S44,'Vic colour ref'!$A$2:$A$5,'Vic colour ref'!$D$2:$D$5,"")</f>
        <v>00</v>
      </c>
      <c r="BA44" s="2" t="str">
        <f>_xlfn.XLOOKUP(T44,'Vic colour ref'!$A$2:$A$5,'Vic colour ref'!$D$2:$D$5,"")</f>
        <v>00</v>
      </c>
      <c r="BB44" s="2">
        <f>_xlfn.XLOOKUP(U44,'Vic colour ref'!$A$2:$A$5,'Vic colour ref'!$D$2:$D$5,"")</f>
        <v>11</v>
      </c>
      <c r="BC44" s="2">
        <f>_xlfn.XLOOKUP(V44,'Vic colour ref'!$A$2:$A$5,'Vic colour ref'!$D$2:$D$5,"")</f>
        <v>11</v>
      </c>
      <c r="BD44" s="2">
        <f>_xlfn.XLOOKUP(W44,'Vic colour ref'!$A$2:$A$5,'Vic colour ref'!$D$2:$D$5,"")</f>
        <v>11</v>
      </c>
      <c r="BE44" s="2">
        <f>_xlfn.XLOOKUP(X44,'Vic colour ref'!$A$2:$A$5,'Vic colour ref'!$D$2:$D$5,"")</f>
        <v>11</v>
      </c>
      <c r="BF44" s="2">
        <f>_xlfn.XLOOKUP(Y44,'Vic colour ref'!$A$2:$A$5,'Vic colour ref'!$D$2:$D$5,"")</f>
        <v>11</v>
      </c>
      <c r="BG44" s="2">
        <f>_xlfn.XLOOKUP(Z44,'Vic colour ref'!$A$2:$A$5,'Vic colour ref'!$D$2:$D$5,"")</f>
        <v>11</v>
      </c>
      <c r="BH44" s="2">
        <f>_xlfn.XLOOKUP(AA44,'Vic colour ref'!$A$2:$A$5,'Vic colour ref'!$D$2:$D$5,"")</f>
        <v>10</v>
      </c>
      <c r="BI44" s="2">
        <f>_xlfn.XLOOKUP(AB44,'Vic colour ref'!$A$2:$A$5,'Vic colour ref'!$D$2:$D$5,"")</f>
        <v>10</v>
      </c>
      <c r="BJ44" s="2">
        <f>_xlfn.XLOOKUP(AC44,'Vic colour ref'!$A$2:$A$5,'Vic colour ref'!$D$2:$D$5,"")</f>
        <v>11</v>
      </c>
      <c r="BK44" s="2">
        <f>_xlfn.XLOOKUP(AD44,'Vic colour ref'!$A$2:$A$5,'Vic colour ref'!$D$2:$D$5,"")</f>
        <v>11</v>
      </c>
      <c r="BL44" s="2" t="str">
        <f>_xlfn.XLOOKUP(AE44,'Vic colour ref'!$A$2:$A$5,'Vic colour ref'!$D$2:$D$5,"")</f>
        <v>00</v>
      </c>
      <c r="BM44" s="2" t="str">
        <f>_xlfn.XLOOKUP(AF44,'Vic colour ref'!$A$2:$A$5,'Vic colour ref'!$D$2:$D$5,"")</f>
        <v>00</v>
      </c>
      <c r="BO44" s="18" t="str">
        <f t="shared" si="1"/>
        <v>00000011</v>
      </c>
      <c r="BP44" s="18" t="str">
        <f t="shared" si="2"/>
        <v>11110000</v>
      </c>
      <c r="BQ44" s="18" t="str">
        <f t="shared" si="3"/>
        <v>00000000</v>
      </c>
      <c r="BR44" s="18" t="str">
        <f t="shared" si="4"/>
        <v>11111100</v>
      </c>
      <c r="BS44" s="18" t="str">
        <f t="shared" si="5"/>
        <v>00000000</v>
      </c>
      <c r="BT44" s="18" t="str">
        <f t="shared" si="6"/>
        <v>11111111</v>
      </c>
      <c r="BU44" s="18" t="str">
        <f t="shared" si="7"/>
        <v>11111010</v>
      </c>
      <c r="BV44" s="18" t="str">
        <f t="shared" si="8"/>
        <v>11110000</v>
      </c>
      <c r="BX44" s="21" t="str">
        <f t="shared" si="9"/>
        <v>03</v>
      </c>
      <c r="BY44" s="21" t="str">
        <f t="shared" si="10"/>
        <v>F0</v>
      </c>
      <c r="BZ44" s="24" t="str">
        <f t="shared" si="11"/>
        <v>00</v>
      </c>
      <c r="CA44" s="21" t="str">
        <f t="shared" si="11"/>
        <v>FC</v>
      </c>
      <c r="CB44" s="21" t="str">
        <f t="shared" si="11"/>
        <v>00</v>
      </c>
      <c r="CC44" s="21" t="str">
        <f t="shared" si="11"/>
        <v>FF</v>
      </c>
      <c r="CD44" s="21" t="str">
        <f t="shared" si="14"/>
        <v>FA</v>
      </c>
      <c r="CE44" s="21" t="str">
        <f t="shared" si="12"/>
        <v>F0</v>
      </c>
      <c r="CG44" s="2" t="str" cm="1">
        <f t="array" ref="CG44:CN44">TRANSPOSE(CA41:CA48)</f>
        <v>FC</v>
      </c>
      <c r="CH44" s="2" t="str">
        <v>FC</v>
      </c>
      <c r="CI44" s="2" t="str">
        <v>FC</v>
      </c>
      <c r="CJ44" s="2" t="str">
        <v>FC</v>
      </c>
      <c r="CK44" s="2" t="str">
        <v>55</v>
      </c>
      <c r="CL44" s="2" t="str">
        <v>55</v>
      </c>
      <c r="CM44" s="2" t="str">
        <v>55</v>
      </c>
      <c r="CN44" s="2" t="str">
        <v>00</v>
      </c>
      <c r="CP44" s="4" t="str">
        <f t="shared" si="13"/>
        <v>!byte $fc, $fc, $fc, $fc, $55, $55, $55, $00</v>
      </c>
    </row>
    <row r="45" spans="1:94" x14ac:dyDescent="0.3">
      <c r="A45" s="2">
        <v>1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3</v>
      </c>
      <c r="X45" s="2">
        <v>3</v>
      </c>
      <c r="Y45" s="2">
        <v>3</v>
      </c>
      <c r="Z45" s="2">
        <v>3</v>
      </c>
      <c r="AA45" s="2">
        <v>3</v>
      </c>
      <c r="AB45" s="2">
        <v>3</v>
      </c>
      <c r="AC45" s="2">
        <v>0</v>
      </c>
      <c r="AD45" s="2">
        <v>0</v>
      </c>
      <c r="AE45" s="2">
        <v>0</v>
      </c>
      <c r="AF45" s="2">
        <v>0</v>
      </c>
      <c r="AH45" s="2" t="str">
        <f>_xlfn.XLOOKUP(A45,'Vic colour ref'!$A$2:$A$5,'Vic colour ref'!$D$2:$D$5,"")</f>
        <v>01</v>
      </c>
      <c r="AI45" s="2" t="str">
        <f>_xlfn.XLOOKUP(B45,'Vic colour ref'!$A$2:$A$5,'Vic colour ref'!$D$2:$D$5,"")</f>
        <v>01</v>
      </c>
      <c r="AJ45" s="2" t="str">
        <f>_xlfn.XLOOKUP(C45,'Vic colour ref'!$A$2:$A$5,'Vic colour ref'!$D$2:$D$5,"")</f>
        <v>01</v>
      </c>
      <c r="AK45" s="2" t="str">
        <f>_xlfn.XLOOKUP(D45,'Vic colour ref'!$A$2:$A$5,'Vic colour ref'!$D$2:$D$5,"")</f>
        <v>01</v>
      </c>
      <c r="AL45" s="2" t="str">
        <f>_xlfn.XLOOKUP(E45,'Vic colour ref'!$A$2:$A$5,'Vic colour ref'!$D$2:$D$5,"")</f>
        <v>01</v>
      </c>
      <c r="AM45" s="2" t="str">
        <f>_xlfn.XLOOKUP(F45,'Vic colour ref'!$A$2:$A$5,'Vic colour ref'!$D$2:$D$5,"")</f>
        <v>01</v>
      </c>
      <c r="AN45" s="2" t="str">
        <f>_xlfn.XLOOKUP(G45,'Vic colour ref'!$A$2:$A$5,'Vic colour ref'!$D$2:$D$5,"")</f>
        <v>00</v>
      </c>
      <c r="AO45" s="2" t="str">
        <f>_xlfn.XLOOKUP(H45,'Vic colour ref'!$A$2:$A$5,'Vic colour ref'!$D$2:$D$5,"")</f>
        <v>00</v>
      </c>
      <c r="AP45" s="2" t="str">
        <f>_xlfn.XLOOKUP(I45,'Vic colour ref'!$A$2:$A$5,'Vic colour ref'!$D$2:$D$5,"")</f>
        <v>00</v>
      </c>
      <c r="AQ45" s="2" t="str">
        <f>_xlfn.XLOOKUP(J45,'Vic colour ref'!$A$2:$A$5,'Vic colour ref'!$D$2:$D$5,"")</f>
        <v>00</v>
      </c>
      <c r="AR45" s="2" t="str">
        <f>_xlfn.XLOOKUP(K45,'Vic colour ref'!$A$2:$A$5,'Vic colour ref'!$D$2:$D$5,"")</f>
        <v>00</v>
      </c>
      <c r="AS45" s="2" t="str">
        <f>_xlfn.XLOOKUP(L45,'Vic colour ref'!$A$2:$A$5,'Vic colour ref'!$D$2:$D$5,"")</f>
        <v>00</v>
      </c>
      <c r="AT45" s="2" t="str">
        <f>_xlfn.XLOOKUP(M45,'Vic colour ref'!$A$2:$A$5,'Vic colour ref'!$D$2:$D$5,"")</f>
        <v>01</v>
      </c>
      <c r="AU45" s="2" t="str">
        <f>_xlfn.XLOOKUP(N45,'Vic colour ref'!$A$2:$A$5,'Vic colour ref'!$D$2:$D$5,"")</f>
        <v>01</v>
      </c>
      <c r="AV45" s="2" t="str">
        <f>_xlfn.XLOOKUP(O45,'Vic colour ref'!$A$2:$A$5,'Vic colour ref'!$D$2:$D$5,"")</f>
        <v>01</v>
      </c>
      <c r="AW45" s="2" t="str">
        <f>_xlfn.XLOOKUP(P45,'Vic colour ref'!$A$2:$A$5,'Vic colour ref'!$D$2:$D$5,"")</f>
        <v>01</v>
      </c>
      <c r="AX45" s="2" t="str">
        <f>_xlfn.XLOOKUP(Q45,'Vic colour ref'!$A$2:$A$5,'Vic colour ref'!$D$2:$D$5,"")</f>
        <v>01</v>
      </c>
      <c r="AY45" s="2" t="str">
        <f>_xlfn.XLOOKUP(R45,'Vic colour ref'!$A$2:$A$5,'Vic colour ref'!$D$2:$D$5,"")</f>
        <v>01</v>
      </c>
      <c r="AZ45" s="2" t="str">
        <f>_xlfn.XLOOKUP(S45,'Vic colour ref'!$A$2:$A$5,'Vic colour ref'!$D$2:$D$5,"")</f>
        <v>00</v>
      </c>
      <c r="BA45" s="2" t="str">
        <f>_xlfn.XLOOKUP(T45,'Vic colour ref'!$A$2:$A$5,'Vic colour ref'!$D$2:$D$5,"")</f>
        <v>00</v>
      </c>
      <c r="BB45" s="2" t="str">
        <f>_xlfn.XLOOKUP(U45,'Vic colour ref'!$A$2:$A$5,'Vic colour ref'!$D$2:$D$5,"")</f>
        <v>00</v>
      </c>
      <c r="BC45" s="2" t="str">
        <f>_xlfn.XLOOKUP(V45,'Vic colour ref'!$A$2:$A$5,'Vic colour ref'!$D$2:$D$5,"")</f>
        <v>00</v>
      </c>
      <c r="BD45" s="2">
        <f>_xlfn.XLOOKUP(W45,'Vic colour ref'!$A$2:$A$5,'Vic colour ref'!$D$2:$D$5,"")</f>
        <v>11</v>
      </c>
      <c r="BE45" s="2">
        <f>_xlfn.XLOOKUP(X45,'Vic colour ref'!$A$2:$A$5,'Vic colour ref'!$D$2:$D$5,"")</f>
        <v>11</v>
      </c>
      <c r="BF45" s="2">
        <f>_xlfn.XLOOKUP(Y45,'Vic colour ref'!$A$2:$A$5,'Vic colour ref'!$D$2:$D$5,"")</f>
        <v>11</v>
      </c>
      <c r="BG45" s="2">
        <f>_xlfn.XLOOKUP(Z45,'Vic colour ref'!$A$2:$A$5,'Vic colour ref'!$D$2:$D$5,"")</f>
        <v>11</v>
      </c>
      <c r="BH45" s="2">
        <f>_xlfn.XLOOKUP(AA45,'Vic colour ref'!$A$2:$A$5,'Vic colour ref'!$D$2:$D$5,"")</f>
        <v>11</v>
      </c>
      <c r="BI45" s="2">
        <f>_xlfn.XLOOKUP(AB45,'Vic colour ref'!$A$2:$A$5,'Vic colour ref'!$D$2:$D$5,"")</f>
        <v>11</v>
      </c>
      <c r="BJ45" s="2" t="str">
        <f>_xlfn.XLOOKUP(AC45,'Vic colour ref'!$A$2:$A$5,'Vic colour ref'!$D$2:$D$5,"")</f>
        <v>00</v>
      </c>
      <c r="BK45" s="2" t="str">
        <f>_xlfn.XLOOKUP(AD45,'Vic colour ref'!$A$2:$A$5,'Vic colour ref'!$D$2:$D$5,"")</f>
        <v>00</v>
      </c>
      <c r="BL45" s="2" t="str">
        <f>_xlfn.XLOOKUP(AE45,'Vic colour ref'!$A$2:$A$5,'Vic colour ref'!$D$2:$D$5,"")</f>
        <v>00</v>
      </c>
      <c r="BM45" s="2" t="str">
        <f>_xlfn.XLOOKUP(AF45,'Vic colour ref'!$A$2:$A$5,'Vic colour ref'!$D$2:$D$5,"")</f>
        <v>00</v>
      </c>
      <c r="BO45" s="18" t="str">
        <f t="shared" si="1"/>
        <v>01010101</v>
      </c>
      <c r="BP45" s="18" t="str">
        <f t="shared" si="2"/>
        <v>01010000</v>
      </c>
      <c r="BQ45" s="18" t="str">
        <f t="shared" si="3"/>
        <v>00000000</v>
      </c>
      <c r="BR45" s="18" t="str">
        <f t="shared" si="4"/>
        <v>01010101</v>
      </c>
      <c r="BS45" s="18" t="str">
        <f t="shared" si="5"/>
        <v>01010000</v>
      </c>
      <c r="BT45" s="18" t="str">
        <f t="shared" si="6"/>
        <v>00001111</v>
      </c>
      <c r="BU45" s="18" t="str">
        <f t="shared" si="7"/>
        <v>11111111</v>
      </c>
      <c r="BV45" s="18" t="str">
        <f t="shared" si="8"/>
        <v>00000000</v>
      </c>
      <c r="BX45" s="21" t="str">
        <f t="shared" si="9"/>
        <v>55</v>
      </c>
      <c r="BY45" s="21" t="str">
        <f t="shared" si="10"/>
        <v>50</v>
      </c>
      <c r="BZ45" s="24" t="str">
        <f t="shared" si="11"/>
        <v>00</v>
      </c>
      <c r="CA45" s="21" t="str">
        <f t="shared" si="11"/>
        <v>55</v>
      </c>
      <c r="CB45" s="21" t="str">
        <f t="shared" si="11"/>
        <v>50</v>
      </c>
      <c r="CC45" s="21" t="str">
        <f t="shared" si="11"/>
        <v>0F</v>
      </c>
      <c r="CD45" s="21" t="str">
        <f t="shared" si="14"/>
        <v>FF</v>
      </c>
      <c r="CE45" s="21" t="str">
        <f t="shared" si="12"/>
        <v>00</v>
      </c>
      <c r="CG45" s="2" t="str" cm="1">
        <f t="array" ref="CG45:CN45">TRANSPOSE(CB41:CB48)</f>
        <v>00</v>
      </c>
      <c r="CH45" s="2" t="str">
        <v>00</v>
      </c>
      <c r="CI45" s="2" t="str">
        <v>00</v>
      </c>
      <c r="CJ45" s="2" t="str">
        <v>00</v>
      </c>
      <c r="CK45" s="2" t="str">
        <v>50</v>
      </c>
      <c r="CL45" s="2" t="str">
        <v>50</v>
      </c>
      <c r="CM45" s="2" t="str">
        <v>50</v>
      </c>
      <c r="CN45" s="2" t="str">
        <v>00</v>
      </c>
      <c r="CP45" s="4" t="str">
        <f t="shared" si="13"/>
        <v>!byte $00, $00, $00, $00, $50, $50, $50, $00</v>
      </c>
    </row>
    <row r="46" spans="1:94" x14ac:dyDescent="0.3">
      <c r="A46" s="2">
        <v>1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3</v>
      </c>
      <c r="X46" s="2">
        <v>3</v>
      </c>
      <c r="Y46" s="2">
        <v>3</v>
      </c>
      <c r="Z46" s="2">
        <v>3</v>
      </c>
      <c r="AA46" s="2">
        <v>3</v>
      </c>
      <c r="AB46" s="2">
        <v>3</v>
      </c>
      <c r="AC46" s="2">
        <v>0</v>
      </c>
      <c r="AD46" s="2">
        <v>0</v>
      </c>
      <c r="AE46" s="2">
        <v>0</v>
      </c>
      <c r="AF46" s="2">
        <v>0</v>
      </c>
      <c r="AH46" s="2" t="str">
        <f>_xlfn.XLOOKUP(A46,'Vic colour ref'!$A$2:$A$5,'Vic colour ref'!$D$2:$D$5,"")</f>
        <v>01</v>
      </c>
      <c r="AI46" s="2" t="str">
        <f>_xlfn.XLOOKUP(B46,'Vic colour ref'!$A$2:$A$5,'Vic colour ref'!$D$2:$D$5,"")</f>
        <v>01</v>
      </c>
      <c r="AJ46" s="2" t="str">
        <f>_xlfn.XLOOKUP(C46,'Vic colour ref'!$A$2:$A$5,'Vic colour ref'!$D$2:$D$5,"")</f>
        <v>01</v>
      </c>
      <c r="AK46" s="2" t="str">
        <f>_xlfn.XLOOKUP(D46,'Vic colour ref'!$A$2:$A$5,'Vic colour ref'!$D$2:$D$5,"")</f>
        <v>01</v>
      </c>
      <c r="AL46" s="2" t="str">
        <f>_xlfn.XLOOKUP(E46,'Vic colour ref'!$A$2:$A$5,'Vic colour ref'!$D$2:$D$5,"")</f>
        <v>01</v>
      </c>
      <c r="AM46" s="2" t="str">
        <f>_xlfn.XLOOKUP(F46,'Vic colour ref'!$A$2:$A$5,'Vic colour ref'!$D$2:$D$5,"")</f>
        <v>01</v>
      </c>
      <c r="AN46" s="2" t="str">
        <f>_xlfn.XLOOKUP(G46,'Vic colour ref'!$A$2:$A$5,'Vic colour ref'!$D$2:$D$5,"")</f>
        <v>00</v>
      </c>
      <c r="AO46" s="2" t="str">
        <f>_xlfn.XLOOKUP(H46,'Vic colour ref'!$A$2:$A$5,'Vic colour ref'!$D$2:$D$5,"")</f>
        <v>00</v>
      </c>
      <c r="AP46" s="2" t="str">
        <f>_xlfn.XLOOKUP(I46,'Vic colour ref'!$A$2:$A$5,'Vic colour ref'!$D$2:$D$5,"")</f>
        <v>00</v>
      </c>
      <c r="AQ46" s="2" t="str">
        <f>_xlfn.XLOOKUP(J46,'Vic colour ref'!$A$2:$A$5,'Vic colour ref'!$D$2:$D$5,"")</f>
        <v>00</v>
      </c>
      <c r="AR46" s="2" t="str">
        <f>_xlfn.XLOOKUP(K46,'Vic colour ref'!$A$2:$A$5,'Vic colour ref'!$D$2:$D$5,"")</f>
        <v>00</v>
      </c>
      <c r="AS46" s="2" t="str">
        <f>_xlfn.XLOOKUP(L46,'Vic colour ref'!$A$2:$A$5,'Vic colour ref'!$D$2:$D$5,"")</f>
        <v>00</v>
      </c>
      <c r="AT46" s="2" t="str">
        <f>_xlfn.XLOOKUP(M46,'Vic colour ref'!$A$2:$A$5,'Vic colour ref'!$D$2:$D$5,"")</f>
        <v>01</v>
      </c>
      <c r="AU46" s="2" t="str">
        <f>_xlfn.XLOOKUP(N46,'Vic colour ref'!$A$2:$A$5,'Vic colour ref'!$D$2:$D$5,"")</f>
        <v>01</v>
      </c>
      <c r="AV46" s="2" t="str">
        <f>_xlfn.XLOOKUP(O46,'Vic colour ref'!$A$2:$A$5,'Vic colour ref'!$D$2:$D$5,"")</f>
        <v>01</v>
      </c>
      <c r="AW46" s="2" t="str">
        <f>_xlfn.XLOOKUP(P46,'Vic colour ref'!$A$2:$A$5,'Vic colour ref'!$D$2:$D$5,"")</f>
        <v>01</v>
      </c>
      <c r="AX46" s="2" t="str">
        <f>_xlfn.XLOOKUP(Q46,'Vic colour ref'!$A$2:$A$5,'Vic colour ref'!$D$2:$D$5,"")</f>
        <v>01</v>
      </c>
      <c r="AY46" s="2" t="str">
        <f>_xlfn.XLOOKUP(R46,'Vic colour ref'!$A$2:$A$5,'Vic colour ref'!$D$2:$D$5,"")</f>
        <v>01</v>
      </c>
      <c r="AZ46" s="2" t="str">
        <f>_xlfn.XLOOKUP(S46,'Vic colour ref'!$A$2:$A$5,'Vic colour ref'!$D$2:$D$5,"")</f>
        <v>00</v>
      </c>
      <c r="BA46" s="2" t="str">
        <f>_xlfn.XLOOKUP(T46,'Vic colour ref'!$A$2:$A$5,'Vic colour ref'!$D$2:$D$5,"")</f>
        <v>00</v>
      </c>
      <c r="BB46" s="2" t="str">
        <f>_xlfn.XLOOKUP(U46,'Vic colour ref'!$A$2:$A$5,'Vic colour ref'!$D$2:$D$5,"")</f>
        <v>00</v>
      </c>
      <c r="BC46" s="2" t="str">
        <f>_xlfn.XLOOKUP(V46,'Vic colour ref'!$A$2:$A$5,'Vic colour ref'!$D$2:$D$5,"")</f>
        <v>00</v>
      </c>
      <c r="BD46" s="2">
        <f>_xlfn.XLOOKUP(W46,'Vic colour ref'!$A$2:$A$5,'Vic colour ref'!$D$2:$D$5,"")</f>
        <v>11</v>
      </c>
      <c r="BE46" s="2">
        <f>_xlfn.XLOOKUP(X46,'Vic colour ref'!$A$2:$A$5,'Vic colour ref'!$D$2:$D$5,"")</f>
        <v>11</v>
      </c>
      <c r="BF46" s="2">
        <f>_xlfn.XLOOKUP(Y46,'Vic colour ref'!$A$2:$A$5,'Vic colour ref'!$D$2:$D$5,"")</f>
        <v>11</v>
      </c>
      <c r="BG46" s="2">
        <f>_xlfn.XLOOKUP(Z46,'Vic colour ref'!$A$2:$A$5,'Vic colour ref'!$D$2:$D$5,"")</f>
        <v>11</v>
      </c>
      <c r="BH46" s="2">
        <f>_xlfn.XLOOKUP(AA46,'Vic colour ref'!$A$2:$A$5,'Vic colour ref'!$D$2:$D$5,"")</f>
        <v>11</v>
      </c>
      <c r="BI46" s="2">
        <f>_xlfn.XLOOKUP(AB46,'Vic colour ref'!$A$2:$A$5,'Vic colour ref'!$D$2:$D$5,"")</f>
        <v>11</v>
      </c>
      <c r="BJ46" s="2" t="str">
        <f>_xlfn.XLOOKUP(AC46,'Vic colour ref'!$A$2:$A$5,'Vic colour ref'!$D$2:$D$5,"")</f>
        <v>00</v>
      </c>
      <c r="BK46" s="2" t="str">
        <f>_xlfn.XLOOKUP(AD46,'Vic colour ref'!$A$2:$A$5,'Vic colour ref'!$D$2:$D$5,"")</f>
        <v>00</v>
      </c>
      <c r="BL46" s="2" t="str">
        <f>_xlfn.XLOOKUP(AE46,'Vic colour ref'!$A$2:$A$5,'Vic colour ref'!$D$2:$D$5,"")</f>
        <v>00</v>
      </c>
      <c r="BM46" s="2" t="str">
        <f>_xlfn.XLOOKUP(AF46,'Vic colour ref'!$A$2:$A$5,'Vic colour ref'!$D$2:$D$5,"")</f>
        <v>00</v>
      </c>
      <c r="BO46" s="18" t="str">
        <f t="shared" si="1"/>
        <v>01010101</v>
      </c>
      <c r="BP46" s="18" t="str">
        <f t="shared" si="2"/>
        <v>01010000</v>
      </c>
      <c r="BQ46" s="18" t="str">
        <f t="shared" si="3"/>
        <v>00000000</v>
      </c>
      <c r="BR46" s="18" t="str">
        <f t="shared" si="4"/>
        <v>01010101</v>
      </c>
      <c r="BS46" s="18" t="str">
        <f t="shared" si="5"/>
        <v>01010000</v>
      </c>
      <c r="BT46" s="18" t="str">
        <f t="shared" si="6"/>
        <v>00001111</v>
      </c>
      <c r="BU46" s="18" t="str">
        <f t="shared" si="7"/>
        <v>11111111</v>
      </c>
      <c r="BV46" s="18" t="str">
        <f t="shared" si="8"/>
        <v>00000000</v>
      </c>
      <c r="BX46" s="21" t="str">
        <f t="shared" si="9"/>
        <v>55</v>
      </c>
      <c r="BY46" s="21" t="str">
        <f t="shared" si="10"/>
        <v>50</v>
      </c>
      <c r="BZ46" s="24" t="str">
        <f t="shared" si="11"/>
        <v>00</v>
      </c>
      <c r="CA46" s="21" t="str">
        <f t="shared" si="11"/>
        <v>55</v>
      </c>
      <c r="CB46" s="21" t="str">
        <f t="shared" si="11"/>
        <v>50</v>
      </c>
      <c r="CC46" s="21" t="str">
        <f t="shared" si="11"/>
        <v>0F</v>
      </c>
      <c r="CD46" s="21" t="str">
        <f t="shared" si="14"/>
        <v>FF</v>
      </c>
      <c r="CE46" s="21" t="str">
        <f t="shared" si="12"/>
        <v>00</v>
      </c>
      <c r="CG46" s="2" t="str" cm="1">
        <f t="array" ref="CG46:CN46">TRANSPOSE(CC41:CC48)</f>
        <v>FF</v>
      </c>
      <c r="CH46" s="2" t="str">
        <v>FF</v>
      </c>
      <c r="CI46" s="2" t="str">
        <v>FF</v>
      </c>
      <c r="CJ46" s="2" t="str">
        <v>FF</v>
      </c>
      <c r="CK46" s="2" t="str">
        <v>0F</v>
      </c>
      <c r="CL46" s="2" t="str">
        <v>0F</v>
      </c>
      <c r="CM46" s="2" t="str">
        <v>0A</v>
      </c>
      <c r="CN46" s="2" t="str">
        <v>0A</v>
      </c>
      <c r="CP46" s="4" t="str">
        <f t="shared" si="13"/>
        <v>!byte $ff, $ff, $ff, $ff, $0f, $0f, $0a, $0a</v>
      </c>
    </row>
    <row r="47" spans="1:94" x14ac:dyDescent="0.3">
      <c r="A47" s="2">
        <v>1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2</v>
      </c>
      <c r="X47" s="2">
        <v>2</v>
      </c>
      <c r="Y47" s="2">
        <v>3</v>
      </c>
      <c r="Z47" s="2">
        <v>3</v>
      </c>
      <c r="AA47" s="2">
        <v>3</v>
      </c>
      <c r="AB47" s="2">
        <v>3</v>
      </c>
      <c r="AC47" s="2">
        <v>0</v>
      </c>
      <c r="AD47" s="2">
        <v>0</v>
      </c>
      <c r="AE47" s="2">
        <v>0</v>
      </c>
      <c r="AF47" s="2">
        <v>0</v>
      </c>
      <c r="AH47" s="2" t="str">
        <f>_xlfn.XLOOKUP(A47,'Vic colour ref'!$A$2:$A$5,'Vic colour ref'!$D$2:$D$5,"")</f>
        <v>01</v>
      </c>
      <c r="AI47" s="2" t="str">
        <f>_xlfn.XLOOKUP(B47,'Vic colour ref'!$A$2:$A$5,'Vic colour ref'!$D$2:$D$5,"")</f>
        <v>01</v>
      </c>
      <c r="AJ47" s="2" t="str">
        <f>_xlfn.XLOOKUP(C47,'Vic colour ref'!$A$2:$A$5,'Vic colour ref'!$D$2:$D$5,"")</f>
        <v>01</v>
      </c>
      <c r="AK47" s="2" t="str">
        <f>_xlfn.XLOOKUP(D47,'Vic colour ref'!$A$2:$A$5,'Vic colour ref'!$D$2:$D$5,"")</f>
        <v>01</v>
      </c>
      <c r="AL47" s="2" t="str">
        <f>_xlfn.XLOOKUP(E47,'Vic colour ref'!$A$2:$A$5,'Vic colour ref'!$D$2:$D$5,"")</f>
        <v>01</v>
      </c>
      <c r="AM47" s="2" t="str">
        <f>_xlfn.XLOOKUP(F47,'Vic colour ref'!$A$2:$A$5,'Vic colour ref'!$D$2:$D$5,"")</f>
        <v>01</v>
      </c>
      <c r="AN47" s="2" t="str">
        <f>_xlfn.XLOOKUP(G47,'Vic colour ref'!$A$2:$A$5,'Vic colour ref'!$D$2:$D$5,"")</f>
        <v>00</v>
      </c>
      <c r="AO47" s="2" t="str">
        <f>_xlfn.XLOOKUP(H47,'Vic colour ref'!$A$2:$A$5,'Vic colour ref'!$D$2:$D$5,"")</f>
        <v>00</v>
      </c>
      <c r="AP47" s="2" t="str">
        <f>_xlfn.XLOOKUP(I47,'Vic colour ref'!$A$2:$A$5,'Vic colour ref'!$D$2:$D$5,"")</f>
        <v>00</v>
      </c>
      <c r="AQ47" s="2" t="str">
        <f>_xlfn.XLOOKUP(J47,'Vic colour ref'!$A$2:$A$5,'Vic colour ref'!$D$2:$D$5,"")</f>
        <v>00</v>
      </c>
      <c r="AR47" s="2" t="str">
        <f>_xlfn.XLOOKUP(K47,'Vic colour ref'!$A$2:$A$5,'Vic colour ref'!$D$2:$D$5,"")</f>
        <v>00</v>
      </c>
      <c r="AS47" s="2" t="str">
        <f>_xlfn.XLOOKUP(L47,'Vic colour ref'!$A$2:$A$5,'Vic colour ref'!$D$2:$D$5,"")</f>
        <v>00</v>
      </c>
      <c r="AT47" s="2" t="str">
        <f>_xlfn.XLOOKUP(M47,'Vic colour ref'!$A$2:$A$5,'Vic colour ref'!$D$2:$D$5,"")</f>
        <v>01</v>
      </c>
      <c r="AU47" s="2" t="str">
        <f>_xlfn.XLOOKUP(N47,'Vic colour ref'!$A$2:$A$5,'Vic colour ref'!$D$2:$D$5,"")</f>
        <v>01</v>
      </c>
      <c r="AV47" s="2" t="str">
        <f>_xlfn.XLOOKUP(O47,'Vic colour ref'!$A$2:$A$5,'Vic colour ref'!$D$2:$D$5,"")</f>
        <v>01</v>
      </c>
      <c r="AW47" s="2" t="str">
        <f>_xlfn.XLOOKUP(P47,'Vic colour ref'!$A$2:$A$5,'Vic colour ref'!$D$2:$D$5,"")</f>
        <v>01</v>
      </c>
      <c r="AX47" s="2" t="str">
        <f>_xlfn.XLOOKUP(Q47,'Vic colour ref'!$A$2:$A$5,'Vic colour ref'!$D$2:$D$5,"")</f>
        <v>01</v>
      </c>
      <c r="AY47" s="2" t="str">
        <f>_xlfn.XLOOKUP(R47,'Vic colour ref'!$A$2:$A$5,'Vic colour ref'!$D$2:$D$5,"")</f>
        <v>01</v>
      </c>
      <c r="AZ47" s="2" t="str">
        <f>_xlfn.XLOOKUP(S47,'Vic colour ref'!$A$2:$A$5,'Vic colour ref'!$D$2:$D$5,"")</f>
        <v>00</v>
      </c>
      <c r="BA47" s="2" t="str">
        <f>_xlfn.XLOOKUP(T47,'Vic colour ref'!$A$2:$A$5,'Vic colour ref'!$D$2:$D$5,"")</f>
        <v>00</v>
      </c>
      <c r="BB47" s="2" t="str">
        <f>_xlfn.XLOOKUP(U47,'Vic colour ref'!$A$2:$A$5,'Vic colour ref'!$D$2:$D$5,"")</f>
        <v>00</v>
      </c>
      <c r="BC47" s="2" t="str">
        <f>_xlfn.XLOOKUP(V47,'Vic colour ref'!$A$2:$A$5,'Vic colour ref'!$D$2:$D$5,"")</f>
        <v>00</v>
      </c>
      <c r="BD47" s="2">
        <f>_xlfn.XLOOKUP(W47,'Vic colour ref'!$A$2:$A$5,'Vic colour ref'!$D$2:$D$5,"")</f>
        <v>10</v>
      </c>
      <c r="BE47" s="2">
        <f>_xlfn.XLOOKUP(X47,'Vic colour ref'!$A$2:$A$5,'Vic colour ref'!$D$2:$D$5,"")</f>
        <v>10</v>
      </c>
      <c r="BF47" s="2">
        <f>_xlfn.XLOOKUP(Y47,'Vic colour ref'!$A$2:$A$5,'Vic colour ref'!$D$2:$D$5,"")</f>
        <v>11</v>
      </c>
      <c r="BG47" s="2">
        <f>_xlfn.XLOOKUP(Z47,'Vic colour ref'!$A$2:$A$5,'Vic colour ref'!$D$2:$D$5,"")</f>
        <v>11</v>
      </c>
      <c r="BH47" s="2">
        <f>_xlfn.XLOOKUP(AA47,'Vic colour ref'!$A$2:$A$5,'Vic colour ref'!$D$2:$D$5,"")</f>
        <v>11</v>
      </c>
      <c r="BI47" s="2">
        <f>_xlfn.XLOOKUP(AB47,'Vic colour ref'!$A$2:$A$5,'Vic colour ref'!$D$2:$D$5,"")</f>
        <v>11</v>
      </c>
      <c r="BJ47" s="2" t="str">
        <f>_xlfn.XLOOKUP(AC47,'Vic colour ref'!$A$2:$A$5,'Vic colour ref'!$D$2:$D$5,"")</f>
        <v>00</v>
      </c>
      <c r="BK47" s="2" t="str">
        <f>_xlfn.XLOOKUP(AD47,'Vic colour ref'!$A$2:$A$5,'Vic colour ref'!$D$2:$D$5,"")</f>
        <v>00</v>
      </c>
      <c r="BL47" s="2" t="str">
        <f>_xlfn.XLOOKUP(AE47,'Vic colour ref'!$A$2:$A$5,'Vic colour ref'!$D$2:$D$5,"")</f>
        <v>00</v>
      </c>
      <c r="BM47" s="2" t="str">
        <f>_xlfn.XLOOKUP(AF47,'Vic colour ref'!$A$2:$A$5,'Vic colour ref'!$D$2:$D$5,"")</f>
        <v>00</v>
      </c>
      <c r="BO47" s="18" t="str">
        <f t="shared" si="1"/>
        <v>01010101</v>
      </c>
      <c r="BP47" s="18" t="str">
        <f t="shared" si="2"/>
        <v>01010000</v>
      </c>
      <c r="BQ47" s="18" t="str">
        <f t="shared" si="3"/>
        <v>00000000</v>
      </c>
      <c r="BR47" s="18" t="str">
        <f t="shared" si="4"/>
        <v>01010101</v>
      </c>
      <c r="BS47" s="18" t="str">
        <f t="shared" si="5"/>
        <v>01010000</v>
      </c>
      <c r="BT47" s="18" t="str">
        <f t="shared" si="6"/>
        <v>00001010</v>
      </c>
      <c r="BU47" s="18" t="str">
        <f t="shared" si="7"/>
        <v>11111111</v>
      </c>
      <c r="BV47" s="18" t="str">
        <f t="shared" si="8"/>
        <v>00000000</v>
      </c>
      <c r="BX47" s="21" t="str">
        <f t="shared" si="9"/>
        <v>55</v>
      </c>
      <c r="BY47" s="21" t="str">
        <f t="shared" si="10"/>
        <v>50</v>
      </c>
      <c r="BZ47" s="24" t="str">
        <f t="shared" si="11"/>
        <v>00</v>
      </c>
      <c r="CA47" s="21" t="str">
        <f t="shared" si="11"/>
        <v>55</v>
      </c>
      <c r="CB47" s="21" t="str">
        <f t="shared" si="11"/>
        <v>50</v>
      </c>
      <c r="CC47" s="21" t="str">
        <f t="shared" si="11"/>
        <v>0A</v>
      </c>
      <c r="CD47" s="21" t="str">
        <f t="shared" si="14"/>
        <v>FF</v>
      </c>
      <c r="CE47" s="21" t="str">
        <f t="shared" si="12"/>
        <v>00</v>
      </c>
      <c r="CG47" s="2" t="str" cm="1">
        <f t="array" ref="CG47:CN47">TRANSPOSE(CD41:CD48)</f>
        <v>AF</v>
      </c>
      <c r="CH47" s="2" t="str">
        <v>AF</v>
      </c>
      <c r="CI47" s="2" t="str">
        <v>FA</v>
      </c>
      <c r="CJ47" s="2" t="str">
        <v>FA</v>
      </c>
      <c r="CK47" s="2" t="str">
        <v>FF</v>
      </c>
      <c r="CL47" s="2" t="str">
        <v>FF</v>
      </c>
      <c r="CM47" s="2" t="str">
        <v>FF</v>
      </c>
      <c r="CN47" s="2" t="str">
        <v>FF</v>
      </c>
      <c r="CP47" s="4" t="str">
        <f t="shared" si="13"/>
        <v>!byte $af, $af, $fa, $fa, $ff, $ff, $ff, $ff</v>
      </c>
    </row>
    <row r="48" spans="1:94" x14ac:dyDescent="0.3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2</v>
      </c>
      <c r="X48" s="2">
        <v>2</v>
      </c>
      <c r="Y48" s="2">
        <v>3</v>
      </c>
      <c r="Z48" s="2">
        <v>3</v>
      </c>
      <c r="AA48" s="2">
        <v>3</v>
      </c>
      <c r="AB48" s="2">
        <v>3</v>
      </c>
      <c r="AC48" s="2">
        <v>0</v>
      </c>
      <c r="AD48" s="2">
        <v>0</v>
      </c>
      <c r="AE48" s="2">
        <v>0</v>
      </c>
      <c r="AF48" s="2">
        <v>0</v>
      </c>
      <c r="AH48" s="2" t="str">
        <f>_xlfn.XLOOKUP(A48,'Vic colour ref'!$A$2:$A$5,'Vic colour ref'!$D$2:$D$5,"")</f>
        <v>00</v>
      </c>
      <c r="AI48" s="2" t="str">
        <f>_xlfn.XLOOKUP(B48,'Vic colour ref'!$A$2:$A$5,'Vic colour ref'!$D$2:$D$5,"")</f>
        <v>00</v>
      </c>
      <c r="AJ48" s="2" t="str">
        <f>_xlfn.XLOOKUP(C48,'Vic colour ref'!$A$2:$A$5,'Vic colour ref'!$D$2:$D$5,"")</f>
        <v>00</v>
      </c>
      <c r="AK48" s="2" t="str">
        <f>_xlfn.XLOOKUP(D48,'Vic colour ref'!$A$2:$A$5,'Vic colour ref'!$D$2:$D$5,"")</f>
        <v>00</v>
      </c>
      <c r="AL48" s="2" t="str">
        <f>_xlfn.XLOOKUP(E48,'Vic colour ref'!$A$2:$A$5,'Vic colour ref'!$D$2:$D$5,"")</f>
        <v>00</v>
      </c>
      <c r="AM48" s="2" t="str">
        <f>_xlfn.XLOOKUP(F48,'Vic colour ref'!$A$2:$A$5,'Vic colour ref'!$D$2:$D$5,"")</f>
        <v>00</v>
      </c>
      <c r="AN48" s="2" t="str">
        <f>_xlfn.XLOOKUP(G48,'Vic colour ref'!$A$2:$A$5,'Vic colour ref'!$D$2:$D$5,"")</f>
        <v>00</v>
      </c>
      <c r="AO48" s="2" t="str">
        <f>_xlfn.XLOOKUP(H48,'Vic colour ref'!$A$2:$A$5,'Vic colour ref'!$D$2:$D$5,"")</f>
        <v>00</v>
      </c>
      <c r="AP48" s="2" t="str">
        <f>_xlfn.XLOOKUP(I48,'Vic colour ref'!$A$2:$A$5,'Vic colour ref'!$D$2:$D$5,"")</f>
        <v>00</v>
      </c>
      <c r="AQ48" s="2" t="str">
        <f>_xlfn.XLOOKUP(J48,'Vic colour ref'!$A$2:$A$5,'Vic colour ref'!$D$2:$D$5,"")</f>
        <v>00</v>
      </c>
      <c r="AR48" s="2" t="str">
        <f>_xlfn.XLOOKUP(K48,'Vic colour ref'!$A$2:$A$5,'Vic colour ref'!$D$2:$D$5,"")</f>
        <v>00</v>
      </c>
      <c r="AS48" s="2" t="str">
        <f>_xlfn.XLOOKUP(L48,'Vic colour ref'!$A$2:$A$5,'Vic colour ref'!$D$2:$D$5,"")</f>
        <v>00</v>
      </c>
      <c r="AT48" s="2" t="str">
        <f>_xlfn.XLOOKUP(M48,'Vic colour ref'!$A$2:$A$5,'Vic colour ref'!$D$2:$D$5,"")</f>
        <v>00</v>
      </c>
      <c r="AU48" s="2" t="str">
        <f>_xlfn.XLOOKUP(N48,'Vic colour ref'!$A$2:$A$5,'Vic colour ref'!$D$2:$D$5,"")</f>
        <v>00</v>
      </c>
      <c r="AV48" s="2" t="str">
        <f>_xlfn.XLOOKUP(O48,'Vic colour ref'!$A$2:$A$5,'Vic colour ref'!$D$2:$D$5,"")</f>
        <v>00</v>
      </c>
      <c r="AW48" s="2" t="str">
        <f>_xlfn.XLOOKUP(P48,'Vic colour ref'!$A$2:$A$5,'Vic colour ref'!$D$2:$D$5,"")</f>
        <v>00</v>
      </c>
      <c r="AX48" s="2" t="str">
        <f>_xlfn.XLOOKUP(Q48,'Vic colour ref'!$A$2:$A$5,'Vic colour ref'!$D$2:$D$5,"")</f>
        <v>00</v>
      </c>
      <c r="AY48" s="2" t="str">
        <f>_xlfn.XLOOKUP(R48,'Vic colour ref'!$A$2:$A$5,'Vic colour ref'!$D$2:$D$5,"")</f>
        <v>00</v>
      </c>
      <c r="AZ48" s="2" t="str">
        <f>_xlfn.XLOOKUP(S48,'Vic colour ref'!$A$2:$A$5,'Vic colour ref'!$D$2:$D$5,"")</f>
        <v>00</v>
      </c>
      <c r="BA48" s="2" t="str">
        <f>_xlfn.XLOOKUP(T48,'Vic colour ref'!$A$2:$A$5,'Vic colour ref'!$D$2:$D$5,"")</f>
        <v>00</v>
      </c>
      <c r="BB48" s="2" t="str">
        <f>_xlfn.XLOOKUP(U48,'Vic colour ref'!$A$2:$A$5,'Vic colour ref'!$D$2:$D$5,"")</f>
        <v>00</v>
      </c>
      <c r="BC48" s="2" t="str">
        <f>_xlfn.XLOOKUP(V48,'Vic colour ref'!$A$2:$A$5,'Vic colour ref'!$D$2:$D$5,"")</f>
        <v>00</v>
      </c>
      <c r="BD48" s="2">
        <f>_xlfn.XLOOKUP(W48,'Vic colour ref'!$A$2:$A$5,'Vic colour ref'!$D$2:$D$5,"")</f>
        <v>10</v>
      </c>
      <c r="BE48" s="2">
        <f>_xlfn.XLOOKUP(X48,'Vic colour ref'!$A$2:$A$5,'Vic colour ref'!$D$2:$D$5,"")</f>
        <v>10</v>
      </c>
      <c r="BF48" s="2">
        <f>_xlfn.XLOOKUP(Y48,'Vic colour ref'!$A$2:$A$5,'Vic colour ref'!$D$2:$D$5,"")</f>
        <v>11</v>
      </c>
      <c r="BG48" s="2">
        <f>_xlfn.XLOOKUP(Z48,'Vic colour ref'!$A$2:$A$5,'Vic colour ref'!$D$2:$D$5,"")</f>
        <v>11</v>
      </c>
      <c r="BH48" s="2">
        <f>_xlfn.XLOOKUP(AA48,'Vic colour ref'!$A$2:$A$5,'Vic colour ref'!$D$2:$D$5,"")</f>
        <v>11</v>
      </c>
      <c r="BI48" s="2">
        <f>_xlfn.XLOOKUP(AB48,'Vic colour ref'!$A$2:$A$5,'Vic colour ref'!$D$2:$D$5,"")</f>
        <v>11</v>
      </c>
      <c r="BJ48" s="2" t="str">
        <f>_xlfn.XLOOKUP(AC48,'Vic colour ref'!$A$2:$A$5,'Vic colour ref'!$D$2:$D$5,"")</f>
        <v>00</v>
      </c>
      <c r="BK48" s="2" t="str">
        <f>_xlfn.XLOOKUP(AD48,'Vic colour ref'!$A$2:$A$5,'Vic colour ref'!$D$2:$D$5,"")</f>
        <v>00</v>
      </c>
      <c r="BL48" s="2" t="str">
        <f>_xlfn.XLOOKUP(AE48,'Vic colour ref'!$A$2:$A$5,'Vic colour ref'!$D$2:$D$5,"")</f>
        <v>00</v>
      </c>
      <c r="BM48" s="2" t="str">
        <f>_xlfn.XLOOKUP(AF48,'Vic colour ref'!$A$2:$A$5,'Vic colour ref'!$D$2:$D$5,"")</f>
        <v>00</v>
      </c>
      <c r="BO48" s="19" t="str">
        <f t="shared" si="1"/>
        <v>00000000</v>
      </c>
      <c r="BP48" s="19" t="str">
        <f t="shared" si="2"/>
        <v>00000000</v>
      </c>
      <c r="BQ48" s="19" t="str">
        <f t="shared" si="3"/>
        <v>00000000</v>
      </c>
      <c r="BR48" s="19" t="str">
        <f t="shared" si="4"/>
        <v>00000000</v>
      </c>
      <c r="BS48" s="19" t="str">
        <f t="shared" si="5"/>
        <v>00000000</v>
      </c>
      <c r="BT48" s="19" t="str">
        <f t="shared" si="6"/>
        <v>00001010</v>
      </c>
      <c r="BU48" s="19" t="str">
        <f t="shared" si="7"/>
        <v>11111111</v>
      </c>
      <c r="BV48" s="19" t="str">
        <f t="shared" si="8"/>
        <v>00000000</v>
      </c>
      <c r="BX48" s="22" t="str">
        <f t="shared" si="9"/>
        <v>00</v>
      </c>
      <c r="BY48" s="22" t="str">
        <f t="shared" si="10"/>
        <v>00</v>
      </c>
      <c r="BZ48" s="25" t="str">
        <f t="shared" si="11"/>
        <v>00</v>
      </c>
      <c r="CA48" s="22" t="str">
        <f t="shared" si="11"/>
        <v>00</v>
      </c>
      <c r="CB48" s="22" t="str">
        <f t="shared" si="11"/>
        <v>00</v>
      </c>
      <c r="CC48" s="22" t="str">
        <f t="shared" si="11"/>
        <v>0A</v>
      </c>
      <c r="CD48" s="22" t="str">
        <f t="shared" si="14"/>
        <v>FF</v>
      </c>
      <c r="CE48" s="22" t="str">
        <f t="shared" si="12"/>
        <v>00</v>
      </c>
      <c r="CG48" s="2" t="str" cm="1">
        <f t="array" ref="CG48:CN48">TRANSPOSE(CE41:CE48)</f>
        <v>F0</v>
      </c>
      <c r="CH48" s="2" t="str">
        <v>F0</v>
      </c>
      <c r="CI48" s="2" t="str">
        <v>F0</v>
      </c>
      <c r="CJ48" s="2" t="str">
        <v>F0</v>
      </c>
      <c r="CK48" s="2" t="str">
        <v>00</v>
      </c>
      <c r="CL48" s="2" t="str">
        <v>00</v>
      </c>
      <c r="CM48" s="2" t="str">
        <v>00</v>
      </c>
      <c r="CN48" s="2" t="str">
        <v>00</v>
      </c>
      <c r="CP48" s="4" t="str">
        <f t="shared" si="13"/>
        <v>!byte $f0, $f0, $f0, $f0, $00, $00, $00, $00</v>
      </c>
    </row>
    <row r="49" spans="1:94" x14ac:dyDescent="0.3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2</v>
      </c>
      <c r="Z49" s="2">
        <v>2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H49" s="2" t="str">
        <f>_xlfn.XLOOKUP(A49,'Vic colour ref'!$A$2:$A$5,'Vic colour ref'!$D$2:$D$5,"")</f>
        <v>00</v>
      </c>
      <c r="AI49" s="2" t="str">
        <f>_xlfn.XLOOKUP(B49,'Vic colour ref'!$A$2:$A$5,'Vic colour ref'!$D$2:$D$5,"")</f>
        <v>00</v>
      </c>
      <c r="AJ49" s="2" t="str">
        <f>_xlfn.XLOOKUP(C49,'Vic colour ref'!$A$2:$A$5,'Vic colour ref'!$D$2:$D$5,"")</f>
        <v>00</v>
      </c>
      <c r="AK49" s="2" t="str">
        <f>_xlfn.XLOOKUP(D49,'Vic colour ref'!$A$2:$A$5,'Vic colour ref'!$D$2:$D$5,"")</f>
        <v>00</v>
      </c>
      <c r="AL49" s="2" t="str">
        <f>_xlfn.XLOOKUP(E49,'Vic colour ref'!$A$2:$A$5,'Vic colour ref'!$D$2:$D$5,"")</f>
        <v>00</v>
      </c>
      <c r="AM49" s="2" t="str">
        <f>_xlfn.XLOOKUP(F49,'Vic colour ref'!$A$2:$A$5,'Vic colour ref'!$D$2:$D$5,"")</f>
        <v>00</v>
      </c>
      <c r="AN49" s="2" t="str">
        <f>_xlfn.XLOOKUP(G49,'Vic colour ref'!$A$2:$A$5,'Vic colour ref'!$D$2:$D$5,"")</f>
        <v>00</v>
      </c>
      <c r="AO49" s="2" t="str">
        <f>_xlfn.XLOOKUP(H49,'Vic colour ref'!$A$2:$A$5,'Vic colour ref'!$D$2:$D$5,"")</f>
        <v>00</v>
      </c>
      <c r="AP49" s="2" t="str">
        <f>_xlfn.XLOOKUP(I49,'Vic colour ref'!$A$2:$A$5,'Vic colour ref'!$D$2:$D$5,"")</f>
        <v>00</v>
      </c>
      <c r="AQ49" s="2" t="str">
        <f>_xlfn.XLOOKUP(J49,'Vic colour ref'!$A$2:$A$5,'Vic colour ref'!$D$2:$D$5,"")</f>
        <v>00</v>
      </c>
      <c r="AR49" s="2" t="str">
        <f>_xlfn.XLOOKUP(K49,'Vic colour ref'!$A$2:$A$5,'Vic colour ref'!$D$2:$D$5,"")</f>
        <v>00</v>
      </c>
      <c r="AS49" s="2" t="str">
        <f>_xlfn.XLOOKUP(L49,'Vic colour ref'!$A$2:$A$5,'Vic colour ref'!$D$2:$D$5,"")</f>
        <v>00</v>
      </c>
      <c r="AT49" s="2" t="str">
        <f>_xlfn.XLOOKUP(M49,'Vic colour ref'!$A$2:$A$5,'Vic colour ref'!$D$2:$D$5,"")</f>
        <v>00</v>
      </c>
      <c r="AU49" s="2" t="str">
        <f>_xlfn.XLOOKUP(N49,'Vic colour ref'!$A$2:$A$5,'Vic colour ref'!$D$2:$D$5,"")</f>
        <v>00</v>
      </c>
      <c r="AV49" s="2" t="str">
        <f>_xlfn.XLOOKUP(O49,'Vic colour ref'!$A$2:$A$5,'Vic colour ref'!$D$2:$D$5,"")</f>
        <v>00</v>
      </c>
      <c r="AW49" s="2" t="str">
        <f>_xlfn.XLOOKUP(P49,'Vic colour ref'!$A$2:$A$5,'Vic colour ref'!$D$2:$D$5,"")</f>
        <v>00</v>
      </c>
      <c r="AX49" s="2" t="str">
        <f>_xlfn.XLOOKUP(Q49,'Vic colour ref'!$A$2:$A$5,'Vic colour ref'!$D$2:$D$5,"")</f>
        <v>00</v>
      </c>
      <c r="AY49" s="2" t="str">
        <f>_xlfn.XLOOKUP(R49,'Vic colour ref'!$A$2:$A$5,'Vic colour ref'!$D$2:$D$5,"")</f>
        <v>00</v>
      </c>
      <c r="AZ49" s="2" t="str">
        <f>_xlfn.XLOOKUP(S49,'Vic colour ref'!$A$2:$A$5,'Vic colour ref'!$D$2:$D$5,"")</f>
        <v>00</v>
      </c>
      <c r="BA49" s="2" t="str">
        <f>_xlfn.XLOOKUP(T49,'Vic colour ref'!$A$2:$A$5,'Vic colour ref'!$D$2:$D$5,"")</f>
        <v>00</v>
      </c>
      <c r="BB49" s="2" t="str">
        <f>_xlfn.XLOOKUP(U49,'Vic colour ref'!$A$2:$A$5,'Vic colour ref'!$D$2:$D$5,"")</f>
        <v>00</v>
      </c>
      <c r="BC49" s="2" t="str">
        <f>_xlfn.XLOOKUP(V49,'Vic colour ref'!$A$2:$A$5,'Vic colour ref'!$D$2:$D$5,"")</f>
        <v>00</v>
      </c>
      <c r="BD49" s="2" t="str">
        <f>_xlfn.XLOOKUP(W49,'Vic colour ref'!$A$2:$A$5,'Vic colour ref'!$D$2:$D$5,"")</f>
        <v>00</v>
      </c>
      <c r="BE49" s="2" t="str">
        <f>_xlfn.XLOOKUP(X49,'Vic colour ref'!$A$2:$A$5,'Vic colour ref'!$D$2:$D$5,"")</f>
        <v>00</v>
      </c>
      <c r="BF49" s="2">
        <f>_xlfn.XLOOKUP(Y49,'Vic colour ref'!$A$2:$A$5,'Vic colour ref'!$D$2:$D$5,"")</f>
        <v>10</v>
      </c>
      <c r="BG49" s="2">
        <f>_xlfn.XLOOKUP(Z49,'Vic colour ref'!$A$2:$A$5,'Vic colour ref'!$D$2:$D$5,"")</f>
        <v>10</v>
      </c>
      <c r="BH49" s="2" t="str">
        <f>_xlfn.XLOOKUP(AA49,'Vic colour ref'!$A$2:$A$5,'Vic colour ref'!$D$2:$D$5,"")</f>
        <v>00</v>
      </c>
      <c r="BI49" s="2" t="str">
        <f>_xlfn.XLOOKUP(AB49,'Vic colour ref'!$A$2:$A$5,'Vic colour ref'!$D$2:$D$5,"")</f>
        <v>00</v>
      </c>
      <c r="BJ49" s="2" t="str">
        <f>_xlfn.XLOOKUP(AC49,'Vic colour ref'!$A$2:$A$5,'Vic colour ref'!$D$2:$D$5,"")</f>
        <v>00</v>
      </c>
      <c r="BK49" s="2" t="str">
        <f>_xlfn.XLOOKUP(AD49,'Vic colour ref'!$A$2:$A$5,'Vic colour ref'!$D$2:$D$5,"")</f>
        <v>00</v>
      </c>
      <c r="BL49" s="2" t="str">
        <f>_xlfn.XLOOKUP(AE49,'Vic colour ref'!$A$2:$A$5,'Vic colour ref'!$D$2:$D$5,"")</f>
        <v>00</v>
      </c>
      <c r="BM49" s="2" t="str">
        <f>_xlfn.XLOOKUP(AF49,'Vic colour ref'!$A$2:$A$5,'Vic colour ref'!$D$2:$D$5,"")</f>
        <v>00</v>
      </c>
      <c r="BO49" s="17" t="str">
        <f t="shared" si="1"/>
        <v>00000000</v>
      </c>
      <c r="BP49" s="17" t="str">
        <f t="shared" si="2"/>
        <v>00000000</v>
      </c>
      <c r="BQ49" s="17" t="str">
        <f t="shared" si="3"/>
        <v>00000000</v>
      </c>
      <c r="BR49" s="17" t="str">
        <f t="shared" si="4"/>
        <v>00000000</v>
      </c>
      <c r="BS49" s="17" t="str">
        <f t="shared" si="5"/>
        <v>00000000</v>
      </c>
      <c r="BT49" s="17" t="str">
        <f t="shared" si="6"/>
        <v>00000000</v>
      </c>
      <c r="BU49" s="17" t="str">
        <f t="shared" si="7"/>
        <v>10100000</v>
      </c>
      <c r="BV49" s="17" t="str">
        <f t="shared" si="8"/>
        <v>00000000</v>
      </c>
      <c r="BX49" s="23" t="str">
        <f t="shared" si="9"/>
        <v>00</v>
      </c>
      <c r="BY49" s="23" t="str">
        <f t="shared" si="10"/>
        <v>00</v>
      </c>
      <c r="BZ49" s="23" t="str">
        <f t="shared" si="11"/>
        <v>00</v>
      </c>
      <c r="CA49" s="23" t="str">
        <f t="shared" si="11"/>
        <v>00</v>
      </c>
      <c r="CB49" s="23" t="str">
        <f t="shared" si="11"/>
        <v>00</v>
      </c>
      <c r="CC49" s="23" t="str">
        <f t="shared" si="11"/>
        <v>00</v>
      </c>
      <c r="CD49" s="20" t="str">
        <f t="shared" si="14"/>
        <v>A0</v>
      </c>
      <c r="CE49" s="23" t="str">
        <f t="shared" si="12"/>
        <v>00</v>
      </c>
      <c r="CG49" s="2" t="str" cm="1">
        <f t="array" ref="CG49:CN49">TRANSPOSE(BX49:BX56)</f>
        <v>00</v>
      </c>
      <c r="CH49" s="2" t="str">
        <v>00</v>
      </c>
      <c r="CI49" s="2" t="str">
        <v>00</v>
      </c>
      <c r="CJ49" s="2" t="str">
        <v>00</v>
      </c>
      <c r="CK49" s="2" t="str">
        <v>00</v>
      </c>
      <c r="CL49" s="2" t="str">
        <v>00</v>
      </c>
      <c r="CM49" s="2" t="str">
        <v>00</v>
      </c>
      <c r="CN49" s="2" t="str">
        <v>00</v>
      </c>
      <c r="CP49" s="4" t="str">
        <f t="shared" si="13"/>
        <v>!byte $00, $00, $00, $00, $00, $00, $00, $00</v>
      </c>
    </row>
    <row r="50" spans="1:94" x14ac:dyDescent="0.3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</v>
      </c>
      <c r="Z50" s="2">
        <v>2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H50" s="2" t="str">
        <f>_xlfn.XLOOKUP(A50,'Vic colour ref'!$A$2:$A$5,'Vic colour ref'!$D$2:$D$5,"")</f>
        <v>00</v>
      </c>
      <c r="AI50" s="2" t="str">
        <f>_xlfn.XLOOKUP(B50,'Vic colour ref'!$A$2:$A$5,'Vic colour ref'!$D$2:$D$5,"")</f>
        <v>00</v>
      </c>
      <c r="AJ50" s="2" t="str">
        <f>_xlfn.XLOOKUP(C50,'Vic colour ref'!$A$2:$A$5,'Vic colour ref'!$D$2:$D$5,"")</f>
        <v>00</v>
      </c>
      <c r="AK50" s="2" t="str">
        <f>_xlfn.XLOOKUP(D50,'Vic colour ref'!$A$2:$A$5,'Vic colour ref'!$D$2:$D$5,"")</f>
        <v>00</v>
      </c>
      <c r="AL50" s="2" t="str">
        <f>_xlfn.XLOOKUP(E50,'Vic colour ref'!$A$2:$A$5,'Vic colour ref'!$D$2:$D$5,"")</f>
        <v>00</v>
      </c>
      <c r="AM50" s="2" t="str">
        <f>_xlfn.XLOOKUP(F50,'Vic colour ref'!$A$2:$A$5,'Vic colour ref'!$D$2:$D$5,"")</f>
        <v>00</v>
      </c>
      <c r="AN50" s="2" t="str">
        <f>_xlfn.XLOOKUP(G50,'Vic colour ref'!$A$2:$A$5,'Vic colour ref'!$D$2:$D$5,"")</f>
        <v>00</v>
      </c>
      <c r="AO50" s="2" t="str">
        <f>_xlfn.XLOOKUP(H50,'Vic colour ref'!$A$2:$A$5,'Vic colour ref'!$D$2:$D$5,"")</f>
        <v>00</v>
      </c>
      <c r="AP50" s="2" t="str">
        <f>_xlfn.XLOOKUP(I50,'Vic colour ref'!$A$2:$A$5,'Vic colour ref'!$D$2:$D$5,"")</f>
        <v>00</v>
      </c>
      <c r="AQ50" s="2" t="str">
        <f>_xlfn.XLOOKUP(J50,'Vic colour ref'!$A$2:$A$5,'Vic colour ref'!$D$2:$D$5,"")</f>
        <v>00</v>
      </c>
      <c r="AR50" s="2" t="str">
        <f>_xlfn.XLOOKUP(K50,'Vic colour ref'!$A$2:$A$5,'Vic colour ref'!$D$2:$D$5,"")</f>
        <v>00</v>
      </c>
      <c r="AS50" s="2" t="str">
        <f>_xlfn.XLOOKUP(L50,'Vic colour ref'!$A$2:$A$5,'Vic colour ref'!$D$2:$D$5,"")</f>
        <v>00</v>
      </c>
      <c r="AT50" s="2" t="str">
        <f>_xlfn.XLOOKUP(M50,'Vic colour ref'!$A$2:$A$5,'Vic colour ref'!$D$2:$D$5,"")</f>
        <v>00</v>
      </c>
      <c r="AU50" s="2" t="str">
        <f>_xlfn.XLOOKUP(N50,'Vic colour ref'!$A$2:$A$5,'Vic colour ref'!$D$2:$D$5,"")</f>
        <v>00</v>
      </c>
      <c r="AV50" s="2" t="str">
        <f>_xlfn.XLOOKUP(O50,'Vic colour ref'!$A$2:$A$5,'Vic colour ref'!$D$2:$D$5,"")</f>
        <v>00</v>
      </c>
      <c r="AW50" s="2" t="str">
        <f>_xlfn.XLOOKUP(P50,'Vic colour ref'!$A$2:$A$5,'Vic colour ref'!$D$2:$D$5,"")</f>
        <v>00</v>
      </c>
      <c r="AX50" s="2" t="str">
        <f>_xlfn.XLOOKUP(Q50,'Vic colour ref'!$A$2:$A$5,'Vic colour ref'!$D$2:$D$5,"")</f>
        <v>00</v>
      </c>
      <c r="AY50" s="2" t="str">
        <f>_xlfn.XLOOKUP(R50,'Vic colour ref'!$A$2:$A$5,'Vic colour ref'!$D$2:$D$5,"")</f>
        <v>00</v>
      </c>
      <c r="AZ50" s="2" t="str">
        <f>_xlfn.XLOOKUP(S50,'Vic colour ref'!$A$2:$A$5,'Vic colour ref'!$D$2:$D$5,"")</f>
        <v>00</v>
      </c>
      <c r="BA50" s="2" t="str">
        <f>_xlfn.XLOOKUP(T50,'Vic colour ref'!$A$2:$A$5,'Vic colour ref'!$D$2:$D$5,"")</f>
        <v>00</v>
      </c>
      <c r="BB50" s="2" t="str">
        <f>_xlfn.XLOOKUP(U50,'Vic colour ref'!$A$2:$A$5,'Vic colour ref'!$D$2:$D$5,"")</f>
        <v>00</v>
      </c>
      <c r="BC50" s="2" t="str">
        <f>_xlfn.XLOOKUP(V50,'Vic colour ref'!$A$2:$A$5,'Vic colour ref'!$D$2:$D$5,"")</f>
        <v>00</v>
      </c>
      <c r="BD50" s="2" t="str">
        <f>_xlfn.XLOOKUP(W50,'Vic colour ref'!$A$2:$A$5,'Vic colour ref'!$D$2:$D$5,"")</f>
        <v>00</v>
      </c>
      <c r="BE50" s="2" t="str">
        <f>_xlfn.XLOOKUP(X50,'Vic colour ref'!$A$2:$A$5,'Vic colour ref'!$D$2:$D$5,"")</f>
        <v>00</v>
      </c>
      <c r="BF50" s="2">
        <f>_xlfn.XLOOKUP(Y50,'Vic colour ref'!$A$2:$A$5,'Vic colour ref'!$D$2:$D$5,"")</f>
        <v>10</v>
      </c>
      <c r="BG50" s="2">
        <f>_xlfn.XLOOKUP(Z50,'Vic colour ref'!$A$2:$A$5,'Vic colour ref'!$D$2:$D$5,"")</f>
        <v>10</v>
      </c>
      <c r="BH50" s="2" t="str">
        <f>_xlfn.XLOOKUP(AA50,'Vic colour ref'!$A$2:$A$5,'Vic colour ref'!$D$2:$D$5,"")</f>
        <v>00</v>
      </c>
      <c r="BI50" s="2" t="str">
        <f>_xlfn.XLOOKUP(AB50,'Vic colour ref'!$A$2:$A$5,'Vic colour ref'!$D$2:$D$5,"")</f>
        <v>00</v>
      </c>
      <c r="BJ50" s="2" t="str">
        <f>_xlfn.XLOOKUP(AC50,'Vic colour ref'!$A$2:$A$5,'Vic colour ref'!$D$2:$D$5,"")</f>
        <v>00</v>
      </c>
      <c r="BK50" s="2" t="str">
        <f>_xlfn.XLOOKUP(AD50,'Vic colour ref'!$A$2:$A$5,'Vic colour ref'!$D$2:$D$5,"")</f>
        <v>00</v>
      </c>
      <c r="BL50" s="2" t="str">
        <f>_xlfn.XLOOKUP(AE50,'Vic colour ref'!$A$2:$A$5,'Vic colour ref'!$D$2:$D$5,"")</f>
        <v>00</v>
      </c>
      <c r="BM50" s="2" t="str">
        <f>_xlfn.XLOOKUP(AF50,'Vic colour ref'!$A$2:$A$5,'Vic colour ref'!$D$2:$D$5,"")</f>
        <v>00</v>
      </c>
      <c r="BO50" s="18" t="str">
        <f t="shared" si="1"/>
        <v>00000000</v>
      </c>
      <c r="BP50" s="18" t="str">
        <f t="shared" si="2"/>
        <v>00000000</v>
      </c>
      <c r="BQ50" s="18" t="str">
        <f t="shared" si="3"/>
        <v>00000000</v>
      </c>
      <c r="BR50" s="18" t="str">
        <f t="shared" si="4"/>
        <v>00000000</v>
      </c>
      <c r="BS50" s="18" t="str">
        <f t="shared" si="5"/>
        <v>00000000</v>
      </c>
      <c r="BT50" s="18" t="str">
        <f t="shared" si="6"/>
        <v>00000000</v>
      </c>
      <c r="BU50" s="18" t="str">
        <f t="shared" si="7"/>
        <v>10100000</v>
      </c>
      <c r="BV50" s="18" t="str">
        <f t="shared" si="8"/>
        <v>00000000</v>
      </c>
      <c r="BX50" s="24" t="str">
        <f t="shared" si="9"/>
        <v>00</v>
      </c>
      <c r="BY50" s="24" t="str">
        <f t="shared" si="10"/>
        <v>00</v>
      </c>
      <c r="BZ50" s="24" t="str">
        <f t="shared" si="11"/>
        <v>00</v>
      </c>
      <c r="CA50" s="24" t="str">
        <f t="shared" si="11"/>
        <v>00</v>
      </c>
      <c r="CB50" s="24" t="str">
        <f t="shared" si="11"/>
        <v>00</v>
      </c>
      <c r="CC50" s="24" t="str">
        <f t="shared" si="11"/>
        <v>00</v>
      </c>
      <c r="CD50" s="21" t="str">
        <f t="shared" si="14"/>
        <v>A0</v>
      </c>
      <c r="CE50" s="24" t="str">
        <f t="shared" si="12"/>
        <v>00</v>
      </c>
      <c r="CG50" s="2" t="str" cm="1">
        <f t="array" ref="CG50:CN50">TRANSPOSE(BY49:BY56)</f>
        <v>00</v>
      </c>
      <c r="CH50" s="2" t="str">
        <v>00</v>
      </c>
      <c r="CI50" s="2" t="str">
        <v>00</v>
      </c>
      <c r="CJ50" s="2" t="str">
        <v>00</v>
      </c>
      <c r="CK50" s="2" t="str">
        <v>00</v>
      </c>
      <c r="CL50" s="2" t="str">
        <v>00</v>
      </c>
      <c r="CM50" s="2" t="str">
        <v>00</v>
      </c>
      <c r="CN50" s="2" t="str">
        <v>00</v>
      </c>
      <c r="CP50" s="4" t="str">
        <f t="shared" si="13"/>
        <v>!byte $00, $00, $00, $00, $00, $00, $00, $00</v>
      </c>
    </row>
    <row r="51" spans="1:94" x14ac:dyDescent="0.3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3</v>
      </c>
      <c r="Z51" s="2">
        <v>3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H51" s="2" t="str">
        <f>_xlfn.XLOOKUP(A51,'Vic colour ref'!$A$2:$A$5,'Vic colour ref'!$D$2:$D$5,"")</f>
        <v>00</v>
      </c>
      <c r="AI51" s="2" t="str">
        <f>_xlfn.XLOOKUP(B51,'Vic colour ref'!$A$2:$A$5,'Vic colour ref'!$D$2:$D$5,"")</f>
        <v>00</v>
      </c>
      <c r="AJ51" s="2" t="str">
        <f>_xlfn.XLOOKUP(C51,'Vic colour ref'!$A$2:$A$5,'Vic colour ref'!$D$2:$D$5,"")</f>
        <v>00</v>
      </c>
      <c r="AK51" s="2" t="str">
        <f>_xlfn.XLOOKUP(D51,'Vic colour ref'!$A$2:$A$5,'Vic colour ref'!$D$2:$D$5,"")</f>
        <v>00</v>
      </c>
      <c r="AL51" s="2" t="str">
        <f>_xlfn.XLOOKUP(E51,'Vic colour ref'!$A$2:$A$5,'Vic colour ref'!$D$2:$D$5,"")</f>
        <v>00</v>
      </c>
      <c r="AM51" s="2" t="str">
        <f>_xlfn.XLOOKUP(F51,'Vic colour ref'!$A$2:$A$5,'Vic colour ref'!$D$2:$D$5,"")</f>
        <v>00</v>
      </c>
      <c r="AN51" s="2" t="str">
        <f>_xlfn.XLOOKUP(G51,'Vic colour ref'!$A$2:$A$5,'Vic colour ref'!$D$2:$D$5,"")</f>
        <v>00</v>
      </c>
      <c r="AO51" s="2" t="str">
        <f>_xlfn.XLOOKUP(H51,'Vic colour ref'!$A$2:$A$5,'Vic colour ref'!$D$2:$D$5,"")</f>
        <v>00</v>
      </c>
      <c r="AP51" s="2" t="str">
        <f>_xlfn.XLOOKUP(I51,'Vic colour ref'!$A$2:$A$5,'Vic colour ref'!$D$2:$D$5,"")</f>
        <v>00</v>
      </c>
      <c r="AQ51" s="2" t="str">
        <f>_xlfn.XLOOKUP(J51,'Vic colour ref'!$A$2:$A$5,'Vic colour ref'!$D$2:$D$5,"")</f>
        <v>00</v>
      </c>
      <c r="AR51" s="2" t="str">
        <f>_xlfn.XLOOKUP(K51,'Vic colour ref'!$A$2:$A$5,'Vic colour ref'!$D$2:$D$5,"")</f>
        <v>00</v>
      </c>
      <c r="AS51" s="2" t="str">
        <f>_xlfn.XLOOKUP(L51,'Vic colour ref'!$A$2:$A$5,'Vic colour ref'!$D$2:$D$5,"")</f>
        <v>00</v>
      </c>
      <c r="AT51" s="2" t="str">
        <f>_xlfn.XLOOKUP(M51,'Vic colour ref'!$A$2:$A$5,'Vic colour ref'!$D$2:$D$5,"")</f>
        <v>00</v>
      </c>
      <c r="AU51" s="2" t="str">
        <f>_xlfn.XLOOKUP(N51,'Vic colour ref'!$A$2:$A$5,'Vic colour ref'!$D$2:$D$5,"")</f>
        <v>00</v>
      </c>
      <c r="AV51" s="2" t="str">
        <f>_xlfn.XLOOKUP(O51,'Vic colour ref'!$A$2:$A$5,'Vic colour ref'!$D$2:$D$5,"")</f>
        <v>00</v>
      </c>
      <c r="AW51" s="2" t="str">
        <f>_xlfn.XLOOKUP(P51,'Vic colour ref'!$A$2:$A$5,'Vic colour ref'!$D$2:$D$5,"")</f>
        <v>00</v>
      </c>
      <c r="AX51" s="2" t="str">
        <f>_xlfn.XLOOKUP(Q51,'Vic colour ref'!$A$2:$A$5,'Vic colour ref'!$D$2:$D$5,"")</f>
        <v>00</v>
      </c>
      <c r="AY51" s="2" t="str">
        <f>_xlfn.XLOOKUP(R51,'Vic colour ref'!$A$2:$A$5,'Vic colour ref'!$D$2:$D$5,"")</f>
        <v>00</v>
      </c>
      <c r="AZ51" s="2" t="str">
        <f>_xlfn.XLOOKUP(S51,'Vic colour ref'!$A$2:$A$5,'Vic colour ref'!$D$2:$D$5,"")</f>
        <v>00</v>
      </c>
      <c r="BA51" s="2" t="str">
        <f>_xlfn.XLOOKUP(T51,'Vic colour ref'!$A$2:$A$5,'Vic colour ref'!$D$2:$D$5,"")</f>
        <v>00</v>
      </c>
      <c r="BB51" s="2" t="str">
        <f>_xlfn.XLOOKUP(U51,'Vic colour ref'!$A$2:$A$5,'Vic colour ref'!$D$2:$D$5,"")</f>
        <v>00</v>
      </c>
      <c r="BC51" s="2" t="str">
        <f>_xlfn.XLOOKUP(V51,'Vic colour ref'!$A$2:$A$5,'Vic colour ref'!$D$2:$D$5,"")</f>
        <v>00</v>
      </c>
      <c r="BD51" s="2" t="str">
        <f>_xlfn.XLOOKUP(W51,'Vic colour ref'!$A$2:$A$5,'Vic colour ref'!$D$2:$D$5,"")</f>
        <v>00</v>
      </c>
      <c r="BE51" s="2" t="str">
        <f>_xlfn.XLOOKUP(X51,'Vic colour ref'!$A$2:$A$5,'Vic colour ref'!$D$2:$D$5,"")</f>
        <v>00</v>
      </c>
      <c r="BF51" s="2">
        <f>_xlfn.XLOOKUP(Y51,'Vic colour ref'!$A$2:$A$5,'Vic colour ref'!$D$2:$D$5,"")</f>
        <v>11</v>
      </c>
      <c r="BG51" s="2">
        <f>_xlfn.XLOOKUP(Z51,'Vic colour ref'!$A$2:$A$5,'Vic colour ref'!$D$2:$D$5,"")</f>
        <v>11</v>
      </c>
      <c r="BH51" s="2" t="str">
        <f>_xlfn.XLOOKUP(AA51,'Vic colour ref'!$A$2:$A$5,'Vic colour ref'!$D$2:$D$5,"")</f>
        <v>00</v>
      </c>
      <c r="BI51" s="2" t="str">
        <f>_xlfn.XLOOKUP(AB51,'Vic colour ref'!$A$2:$A$5,'Vic colour ref'!$D$2:$D$5,"")</f>
        <v>00</v>
      </c>
      <c r="BJ51" s="2" t="str">
        <f>_xlfn.XLOOKUP(AC51,'Vic colour ref'!$A$2:$A$5,'Vic colour ref'!$D$2:$D$5,"")</f>
        <v>00</v>
      </c>
      <c r="BK51" s="2" t="str">
        <f>_xlfn.XLOOKUP(AD51,'Vic colour ref'!$A$2:$A$5,'Vic colour ref'!$D$2:$D$5,"")</f>
        <v>00</v>
      </c>
      <c r="BL51" s="2" t="str">
        <f>_xlfn.XLOOKUP(AE51,'Vic colour ref'!$A$2:$A$5,'Vic colour ref'!$D$2:$D$5,"")</f>
        <v>00</v>
      </c>
      <c r="BM51" s="2" t="str">
        <f>_xlfn.XLOOKUP(AF51,'Vic colour ref'!$A$2:$A$5,'Vic colour ref'!$D$2:$D$5,"")</f>
        <v>00</v>
      </c>
      <c r="BO51" s="18" t="str">
        <f t="shared" si="1"/>
        <v>00000000</v>
      </c>
      <c r="BP51" s="18" t="str">
        <f t="shared" si="2"/>
        <v>00000000</v>
      </c>
      <c r="BQ51" s="18" t="str">
        <f t="shared" si="3"/>
        <v>00000000</v>
      </c>
      <c r="BR51" s="18" t="str">
        <f t="shared" si="4"/>
        <v>00000000</v>
      </c>
      <c r="BS51" s="18" t="str">
        <f t="shared" si="5"/>
        <v>00000000</v>
      </c>
      <c r="BT51" s="18" t="str">
        <f t="shared" si="6"/>
        <v>00000000</v>
      </c>
      <c r="BU51" s="18" t="str">
        <f t="shared" si="7"/>
        <v>11110000</v>
      </c>
      <c r="BV51" s="18" t="str">
        <f t="shared" si="8"/>
        <v>00000000</v>
      </c>
      <c r="BX51" s="24" t="str">
        <f t="shared" si="9"/>
        <v>00</v>
      </c>
      <c r="BY51" s="24" t="str">
        <f t="shared" si="10"/>
        <v>00</v>
      </c>
      <c r="BZ51" s="24" t="str">
        <f t="shared" si="11"/>
        <v>00</v>
      </c>
      <c r="CA51" s="24" t="str">
        <f t="shared" si="11"/>
        <v>00</v>
      </c>
      <c r="CB51" s="24" t="str">
        <f t="shared" si="11"/>
        <v>00</v>
      </c>
      <c r="CC51" s="24" t="str">
        <f t="shared" si="11"/>
        <v>00</v>
      </c>
      <c r="CD51" s="21" t="str">
        <f t="shared" si="14"/>
        <v>F0</v>
      </c>
      <c r="CE51" s="24" t="str">
        <f t="shared" si="12"/>
        <v>00</v>
      </c>
      <c r="CG51" s="2" t="str" cm="1">
        <f t="array" ref="CG51:CN51">TRANSPOSE(BZ49:BZ56)</f>
        <v>00</v>
      </c>
      <c r="CH51" s="2" t="str">
        <v>00</v>
      </c>
      <c r="CI51" s="2" t="str">
        <v>00</v>
      </c>
      <c r="CJ51" s="2" t="str">
        <v>00</v>
      </c>
      <c r="CK51" s="2" t="str">
        <v>00</v>
      </c>
      <c r="CL51" s="2" t="str">
        <v>00</v>
      </c>
      <c r="CM51" s="2" t="str">
        <v>00</v>
      </c>
      <c r="CN51" s="2" t="str">
        <v>00</v>
      </c>
      <c r="CP51" s="4" t="str">
        <f t="shared" si="13"/>
        <v>!byte $00, $00, $00, $00, $00, $00, $00, $00</v>
      </c>
    </row>
    <row r="52" spans="1:94" x14ac:dyDescent="0.3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3</v>
      </c>
      <c r="Z52" s="2">
        <v>3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H52" s="2" t="str">
        <f>_xlfn.XLOOKUP(A52,'Vic colour ref'!$A$2:$A$5,'Vic colour ref'!$D$2:$D$5,"")</f>
        <v>00</v>
      </c>
      <c r="AI52" s="2" t="str">
        <f>_xlfn.XLOOKUP(B52,'Vic colour ref'!$A$2:$A$5,'Vic colour ref'!$D$2:$D$5,"")</f>
        <v>00</v>
      </c>
      <c r="AJ52" s="2" t="str">
        <f>_xlfn.XLOOKUP(C52,'Vic colour ref'!$A$2:$A$5,'Vic colour ref'!$D$2:$D$5,"")</f>
        <v>00</v>
      </c>
      <c r="AK52" s="2" t="str">
        <f>_xlfn.XLOOKUP(D52,'Vic colour ref'!$A$2:$A$5,'Vic colour ref'!$D$2:$D$5,"")</f>
        <v>00</v>
      </c>
      <c r="AL52" s="2" t="str">
        <f>_xlfn.XLOOKUP(E52,'Vic colour ref'!$A$2:$A$5,'Vic colour ref'!$D$2:$D$5,"")</f>
        <v>00</v>
      </c>
      <c r="AM52" s="2" t="str">
        <f>_xlfn.XLOOKUP(F52,'Vic colour ref'!$A$2:$A$5,'Vic colour ref'!$D$2:$D$5,"")</f>
        <v>00</v>
      </c>
      <c r="AN52" s="2" t="str">
        <f>_xlfn.XLOOKUP(G52,'Vic colour ref'!$A$2:$A$5,'Vic colour ref'!$D$2:$D$5,"")</f>
        <v>00</v>
      </c>
      <c r="AO52" s="2" t="str">
        <f>_xlfn.XLOOKUP(H52,'Vic colour ref'!$A$2:$A$5,'Vic colour ref'!$D$2:$D$5,"")</f>
        <v>00</v>
      </c>
      <c r="AP52" s="2" t="str">
        <f>_xlfn.XLOOKUP(I52,'Vic colour ref'!$A$2:$A$5,'Vic colour ref'!$D$2:$D$5,"")</f>
        <v>00</v>
      </c>
      <c r="AQ52" s="2" t="str">
        <f>_xlfn.XLOOKUP(J52,'Vic colour ref'!$A$2:$A$5,'Vic colour ref'!$D$2:$D$5,"")</f>
        <v>00</v>
      </c>
      <c r="AR52" s="2" t="str">
        <f>_xlfn.XLOOKUP(K52,'Vic colour ref'!$A$2:$A$5,'Vic colour ref'!$D$2:$D$5,"")</f>
        <v>00</v>
      </c>
      <c r="AS52" s="2" t="str">
        <f>_xlfn.XLOOKUP(L52,'Vic colour ref'!$A$2:$A$5,'Vic colour ref'!$D$2:$D$5,"")</f>
        <v>00</v>
      </c>
      <c r="AT52" s="2" t="str">
        <f>_xlfn.XLOOKUP(M52,'Vic colour ref'!$A$2:$A$5,'Vic colour ref'!$D$2:$D$5,"")</f>
        <v>00</v>
      </c>
      <c r="AU52" s="2" t="str">
        <f>_xlfn.XLOOKUP(N52,'Vic colour ref'!$A$2:$A$5,'Vic colour ref'!$D$2:$D$5,"")</f>
        <v>00</v>
      </c>
      <c r="AV52" s="2" t="str">
        <f>_xlfn.XLOOKUP(O52,'Vic colour ref'!$A$2:$A$5,'Vic colour ref'!$D$2:$D$5,"")</f>
        <v>00</v>
      </c>
      <c r="AW52" s="2" t="str">
        <f>_xlfn.XLOOKUP(P52,'Vic colour ref'!$A$2:$A$5,'Vic colour ref'!$D$2:$D$5,"")</f>
        <v>00</v>
      </c>
      <c r="AX52" s="2" t="str">
        <f>_xlfn.XLOOKUP(Q52,'Vic colour ref'!$A$2:$A$5,'Vic colour ref'!$D$2:$D$5,"")</f>
        <v>00</v>
      </c>
      <c r="AY52" s="2" t="str">
        <f>_xlfn.XLOOKUP(R52,'Vic colour ref'!$A$2:$A$5,'Vic colour ref'!$D$2:$D$5,"")</f>
        <v>00</v>
      </c>
      <c r="AZ52" s="2" t="str">
        <f>_xlfn.XLOOKUP(S52,'Vic colour ref'!$A$2:$A$5,'Vic colour ref'!$D$2:$D$5,"")</f>
        <v>00</v>
      </c>
      <c r="BA52" s="2" t="str">
        <f>_xlfn.XLOOKUP(T52,'Vic colour ref'!$A$2:$A$5,'Vic colour ref'!$D$2:$D$5,"")</f>
        <v>00</v>
      </c>
      <c r="BB52" s="2" t="str">
        <f>_xlfn.XLOOKUP(U52,'Vic colour ref'!$A$2:$A$5,'Vic colour ref'!$D$2:$D$5,"")</f>
        <v>00</v>
      </c>
      <c r="BC52" s="2" t="str">
        <f>_xlfn.XLOOKUP(V52,'Vic colour ref'!$A$2:$A$5,'Vic colour ref'!$D$2:$D$5,"")</f>
        <v>00</v>
      </c>
      <c r="BD52" s="2" t="str">
        <f>_xlfn.XLOOKUP(W52,'Vic colour ref'!$A$2:$A$5,'Vic colour ref'!$D$2:$D$5,"")</f>
        <v>00</v>
      </c>
      <c r="BE52" s="2" t="str">
        <f>_xlfn.XLOOKUP(X52,'Vic colour ref'!$A$2:$A$5,'Vic colour ref'!$D$2:$D$5,"")</f>
        <v>00</v>
      </c>
      <c r="BF52" s="2">
        <f>_xlfn.XLOOKUP(Y52,'Vic colour ref'!$A$2:$A$5,'Vic colour ref'!$D$2:$D$5,"")</f>
        <v>11</v>
      </c>
      <c r="BG52" s="2">
        <f>_xlfn.XLOOKUP(Z52,'Vic colour ref'!$A$2:$A$5,'Vic colour ref'!$D$2:$D$5,"")</f>
        <v>11</v>
      </c>
      <c r="BH52" s="2" t="str">
        <f>_xlfn.XLOOKUP(AA52,'Vic colour ref'!$A$2:$A$5,'Vic colour ref'!$D$2:$D$5,"")</f>
        <v>00</v>
      </c>
      <c r="BI52" s="2" t="str">
        <f>_xlfn.XLOOKUP(AB52,'Vic colour ref'!$A$2:$A$5,'Vic colour ref'!$D$2:$D$5,"")</f>
        <v>00</v>
      </c>
      <c r="BJ52" s="2" t="str">
        <f>_xlfn.XLOOKUP(AC52,'Vic colour ref'!$A$2:$A$5,'Vic colour ref'!$D$2:$D$5,"")</f>
        <v>00</v>
      </c>
      <c r="BK52" s="2" t="str">
        <f>_xlfn.XLOOKUP(AD52,'Vic colour ref'!$A$2:$A$5,'Vic colour ref'!$D$2:$D$5,"")</f>
        <v>00</v>
      </c>
      <c r="BL52" s="2" t="str">
        <f>_xlfn.XLOOKUP(AE52,'Vic colour ref'!$A$2:$A$5,'Vic colour ref'!$D$2:$D$5,"")</f>
        <v>00</v>
      </c>
      <c r="BM52" s="2" t="str">
        <f>_xlfn.XLOOKUP(AF52,'Vic colour ref'!$A$2:$A$5,'Vic colour ref'!$D$2:$D$5,"")</f>
        <v>00</v>
      </c>
      <c r="BO52" s="18" t="str">
        <f t="shared" si="1"/>
        <v>00000000</v>
      </c>
      <c r="BP52" s="18" t="str">
        <f t="shared" si="2"/>
        <v>00000000</v>
      </c>
      <c r="BQ52" s="18" t="str">
        <f t="shared" si="3"/>
        <v>00000000</v>
      </c>
      <c r="BR52" s="18" t="str">
        <f t="shared" si="4"/>
        <v>00000000</v>
      </c>
      <c r="BS52" s="18" t="str">
        <f t="shared" si="5"/>
        <v>00000000</v>
      </c>
      <c r="BT52" s="18" t="str">
        <f t="shared" si="6"/>
        <v>00000000</v>
      </c>
      <c r="BU52" s="18" t="str">
        <f t="shared" si="7"/>
        <v>11110000</v>
      </c>
      <c r="BV52" s="18" t="str">
        <f t="shared" si="8"/>
        <v>00000000</v>
      </c>
      <c r="BX52" s="24" t="str">
        <f t="shared" si="9"/>
        <v>00</v>
      </c>
      <c r="BY52" s="24" t="str">
        <f t="shared" si="10"/>
        <v>00</v>
      </c>
      <c r="BZ52" s="24" t="str">
        <f t="shared" si="11"/>
        <v>00</v>
      </c>
      <c r="CA52" s="24" t="str">
        <f t="shared" si="11"/>
        <v>00</v>
      </c>
      <c r="CB52" s="24" t="str">
        <f t="shared" si="11"/>
        <v>00</v>
      </c>
      <c r="CC52" s="24" t="str">
        <f t="shared" si="11"/>
        <v>00</v>
      </c>
      <c r="CD52" s="21" t="str">
        <f t="shared" si="14"/>
        <v>F0</v>
      </c>
      <c r="CE52" s="24" t="str">
        <f t="shared" si="12"/>
        <v>00</v>
      </c>
      <c r="CG52" s="2" t="str" cm="1">
        <f t="array" ref="CG52:CN52">TRANSPOSE(CA49:CA56)</f>
        <v>00</v>
      </c>
      <c r="CH52" s="2" t="str">
        <v>00</v>
      </c>
      <c r="CI52" s="2" t="str">
        <v>00</v>
      </c>
      <c r="CJ52" s="2" t="str">
        <v>00</v>
      </c>
      <c r="CK52" s="2" t="str">
        <v>00</v>
      </c>
      <c r="CL52" s="2" t="str">
        <v>00</v>
      </c>
      <c r="CM52" s="2" t="str">
        <v>00</v>
      </c>
      <c r="CN52" s="2" t="str">
        <v>00</v>
      </c>
      <c r="CP52" s="4" t="str">
        <f t="shared" si="13"/>
        <v>!byte $00, $00, $00, $00, $00, $00, $00, $00</v>
      </c>
    </row>
    <row r="53" spans="1:94" x14ac:dyDescent="0.3">
      <c r="A53" s="2">
        <v>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H53" s="2" t="str">
        <f>_xlfn.XLOOKUP(A53,'Vic colour ref'!$A$2:$A$5,'Vic colour ref'!$D$2:$D$5,"")</f>
        <v>00</v>
      </c>
      <c r="AI53" s="2" t="str">
        <f>_xlfn.XLOOKUP(B53,'Vic colour ref'!$A$2:$A$5,'Vic colour ref'!$D$2:$D$5,"")</f>
        <v>00</v>
      </c>
      <c r="AJ53" s="2" t="str">
        <f>_xlfn.XLOOKUP(C53,'Vic colour ref'!$A$2:$A$5,'Vic colour ref'!$D$2:$D$5,"")</f>
        <v>00</v>
      </c>
      <c r="AK53" s="2" t="str">
        <f>_xlfn.XLOOKUP(D53,'Vic colour ref'!$A$2:$A$5,'Vic colour ref'!$D$2:$D$5,"")</f>
        <v>00</v>
      </c>
      <c r="AL53" s="2" t="str">
        <f>_xlfn.XLOOKUP(E53,'Vic colour ref'!$A$2:$A$5,'Vic colour ref'!$D$2:$D$5,"")</f>
        <v>00</v>
      </c>
      <c r="AM53" s="2" t="str">
        <f>_xlfn.XLOOKUP(F53,'Vic colour ref'!$A$2:$A$5,'Vic colour ref'!$D$2:$D$5,"")</f>
        <v>00</v>
      </c>
      <c r="AN53" s="2" t="str">
        <f>_xlfn.XLOOKUP(G53,'Vic colour ref'!$A$2:$A$5,'Vic colour ref'!$D$2:$D$5,"")</f>
        <v>00</v>
      </c>
      <c r="AO53" s="2" t="str">
        <f>_xlfn.XLOOKUP(H53,'Vic colour ref'!$A$2:$A$5,'Vic colour ref'!$D$2:$D$5,"")</f>
        <v>00</v>
      </c>
      <c r="AP53" s="2" t="str">
        <f>_xlfn.XLOOKUP(I53,'Vic colour ref'!$A$2:$A$5,'Vic colour ref'!$D$2:$D$5,"")</f>
        <v>00</v>
      </c>
      <c r="AQ53" s="2" t="str">
        <f>_xlfn.XLOOKUP(J53,'Vic colour ref'!$A$2:$A$5,'Vic colour ref'!$D$2:$D$5,"")</f>
        <v>00</v>
      </c>
      <c r="AR53" s="2" t="str">
        <f>_xlfn.XLOOKUP(K53,'Vic colour ref'!$A$2:$A$5,'Vic colour ref'!$D$2:$D$5,"")</f>
        <v>00</v>
      </c>
      <c r="AS53" s="2" t="str">
        <f>_xlfn.XLOOKUP(L53,'Vic colour ref'!$A$2:$A$5,'Vic colour ref'!$D$2:$D$5,"")</f>
        <v>00</v>
      </c>
      <c r="AT53" s="2" t="str">
        <f>_xlfn.XLOOKUP(M53,'Vic colour ref'!$A$2:$A$5,'Vic colour ref'!$D$2:$D$5,"")</f>
        <v>00</v>
      </c>
      <c r="AU53" s="2" t="str">
        <f>_xlfn.XLOOKUP(N53,'Vic colour ref'!$A$2:$A$5,'Vic colour ref'!$D$2:$D$5,"")</f>
        <v>00</v>
      </c>
      <c r="AV53" s="2" t="str">
        <f>_xlfn.XLOOKUP(O53,'Vic colour ref'!$A$2:$A$5,'Vic colour ref'!$D$2:$D$5,"")</f>
        <v>00</v>
      </c>
      <c r="AW53" s="2" t="str">
        <f>_xlfn.XLOOKUP(P53,'Vic colour ref'!$A$2:$A$5,'Vic colour ref'!$D$2:$D$5,"")</f>
        <v>00</v>
      </c>
      <c r="AX53" s="2" t="str">
        <f>_xlfn.XLOOKUP(Q53,'Vic colour ref'!$A$2:$A$5,'Vic colour ref'!$D$2:$D$5,"")</f>
        <v>00</v>
      </c>
      <c r="AY53" s="2" t="str">
        <f>_xlfn.XLOOKUP(R53,'Vic colour ref'!$A$2:$A$5,'Vic colour ref'!$D$2:$D$5,"")</f>
        <v>00</v>
      </c>
      <c r="AZ53" s="2" t="str">
        <f>_xlfn.XLOOKUP(S53,'Vic colour ref'!$A$2:$A$5,'Vic colour ref'!$D$2:$D$5,"")</f>
        <v>00</v>
      </c>
      <c r="BA53" s="2" t="str">
        <f>_xlfn.XLOOKUP(T53,'Vic colour ref'!$A$2:$A$5,'Vic colour ref'!$D$2:$D$5,"")</f>
        <v>00</v>
      </c>
      <c r="BB53" s="2" t="str">
        <f>_xlfn.XLOOKUP(U53,'Vic colour ref'!$A$2:$A$5,'Vic colour ref'!$D$2:$D$5,"")</f>
        <v>00</v>
      </c>
      <c r="BC53" s="2" t="str">
        <f>_xlfn.XLOOKUP(V53,'Vic colour ref'!$A$2:$A$5,'Vic colour ref'!$D$2:$D$5,"")</f>
        <v>00</v>
      </c>
      <c r="BD53" s="2" t="str">
        <f>_xlfn.XLOOKUP(W53,'Vic colour ref'!$A$2:$A$5,'Vic colour ref'!$D$2:$D$5,"")</f>
        <v>00</v>
      </c>
      <c r="BE53" s="2" t="str">
        <f>_xlfn.XLOOKUP(X53,'Vic colour ref'!$A$2:$A$5,'Vic colour ref'!$D$2:$D$5,"")</f>
        <v>00</v>
      </c>
      <c r="BF53" s="2" t="str">
        <f>_xlfn.XLOOKUP(Y53,'Vic colour ref'!$A$2:$A$5,'Vic colour ref'!$D$2:$D$5,"")</f>
        <v>00</v>
      </c>
      <c r="BG53" s="2" t="str">
        <f>_xlfn.XLOOKUP(Z53,'Vic colour ref'!$A$2:$A$5,'Vic colour ref'!$D$2:$D$5,"")</f>
        <v>00</v>
      </c>
      <c r="BH53" s="2" t="str">
        <f>_xlfn.XLOOKUP(AA53,'Vic colour ref'!$A$2:$A$5,'Vic colour ref'!$D$2:$D$5,"")</f>
        <v>00</v>
      </c>
      <c r="BI53" s="2" t="str">
        <f>_xlfn.XLOOKUP(AB53,'Vic colour ref'!$A$2:$A$5,'Vic colour ref'!$D$2:$D$5,"")</f>
        <v>00</v>
      </c>
      <c r="BJ53" s="2" t="str">
        <f>_xlfn.XLOOKUP(AC53,'Vic colour ref'!$A$2:$A$5,'Vic colour ref'!$D$2:$D$5,"")</f>
        <v>00</v>
      </c>
      <c r="BK53" s="2" t="str">
        <f>_xlfn.XLOOKUP(AD53,'Vic colour ref'!$A$2:$A$5,'Vic colour ref'!$D$2:$D$5,"")</f>
        <v>00</v>
      </c>
      <c r="BL53" s="2" t="str">
        <f>_xlfn.XLOOKUP(AE53,'Vic colour ref'!$A$2:$A$5,'Vic colour ref'!$D$2:$D$5,"")</f>
        <v>00</v>
      </c>
      <c r="BM53" s="2" t="str">
        <f>_xlfn.XLOOKUP(AF53,'Vic colour ref'!$A$2:$A$5,'Vic colour ref'!$D$2:$D$5,"")</f>
        <v>00</v>
      </c>
      <c r="BO53" s="18" t="str">
        <f t="shared" si="1"/>
        <v>00000000</v>
      </c>
      <c r="BP53" s="18" t="str">
        <f t="shared" si="2"/>
        <v>00000000</v>
      </c>
      <c r="BQ53" s="18" t="str">
        <f t="shared" si="3"/>
        <v>00000000</v>
      </c>
      <c r="BR53" s="18" t="str">
        <f t="shared" si="4"/>
        <v>00000000</v>
      </c>
      <c r="BS53" s="18" t="str">
        <f t="shared" si="5"/>
        <v>00000000</v>
      </c>
      <c r="BT53" s="18" t="str">
        <f t="shared" si="6"/>
        <v>00000000</v>
      </c>
      <c r="BU53" s="18" t="str">
        <f t="shared" si="7"/>
        <v>00000000</v>
      </c>
      <c r="BV53" s="18" t="str">
        <f t="shared" si="8"/>
        <v>00000000</v>
      </c>
      <c r="BX53" s="24" t="str">
        <f t="shared" si="9"/>
        <v>00</v>
      </c>
      <c r="BY53" s="24" t="str">
        <f t="shared" si="10"/>
        <v>00</v>
      </c>
      <c r="BZ53" s="24" t="str">
        <f t="shared" si="11"/>
        <v>00</v>
      </c>
      <c r="CA53" s="24" t="str">
        <f t="shared" si="11"/>
        <v>00</v>
      </c>
      <c r="CB53" s="24" t="str">
        <f t="shared" si="11"/>
        <v>00</v>
      </c>
      <c r="CC53" s="24" t="str">
        <f t="shared" si="11"/>
        <v>00</v>
      </c>
      <c r="CD53" s="21" t="str">
        <f t="shared" si="14"/>
        <v>00</v>
      </c>
      <c r="CE53" s="24" t="str">
        <f t="shared" si="12"/>
        <v>00</v>
      </c>
      <c r="CG53" s="2" t="str" cm="1">
        <f t="array" ref="CG53:CN53">TRANSPOSE(CB49:CB56)</f>
        <v>00</v>
      </c>
      <c r="CH53" s="2" t="str">
        <v>00</v>
      </c>
      <c r="CI53" s="2" t="str">
        <v>00</v>
      </c>
      <c r="CJ53" s="2" t="str">
        <v>00</v>
      </c>
      <c r="CK53" s="2" t="str">
        <v>00</v>
      </c>
      <c r="CL53" s="2" t="str">
        <v>00</v>
      </c>
      <c r="CM53" s="2" t="str">
        <v>00</v>
      </c>
      <c r="CN53" s="2" t="str">
        <v>00</v>
      </c>
      <c r="CP53" s="4" t="str">
        <f t="shared" si="13"/>
        <v>!byte $00, $00, $00, $00, $00, $00, $00, $00</v>
      </c>
    </row>
    <row r="54" spans="1:94" x14ac:dyDescent="0.3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H54" s="2" t="str">
        <f>_xlfn.XLOOKUP(A54,'Vic colour ref'!$A$2:$A$5,'Vic colour ref'!$D$2:$D$5,"")</f>
        <v>00</v>
      </c>
      <c r="AI54" s="2" t="str">
        <f>_xlfn.XLOOKUP(B54,'Vic colour ref'!$A$2:$A$5,'Vic colour ref'!$D$2:$D$5,"")</f>
        <v>00</v>
      </c>
      <c r="AJ54" s="2" t="str">
        <f>_xlfn.XLOOKUP(C54,'Vic colour ref'!$A$2:$A$5,'Vic colour ref'!$D$2:$D$5,"")</f>
        <v>00</v>
      </c>
      <c r="AK54" s="2" t="str">
        <f>_xlfn.XLOOKUP(D54,'Vic colour ref'!$A$2:$A$5,'Vic colour ref'!$D$2:$D$5,"")</f>
        <v>00</v>
      </c>
      <c r="AL54" s="2" t="str">
        <f>_xlfn.XLOOKUP(E54,'Vic colour ref'!$A$2:$A$5,'Vic colour ref'!$D$2:$D$5,"")</f>
        <v>00</v>
      </c>
      <c r="AM54" s="2" t="str">
        <f>_xlfn.XLOOKUP(F54,'Vic colour ref'!$A$2:$A$5,'Vic colour ref'!$D$2:$D$5,"")</f>
        <v>00</v>
      </c>
      <c r="AN54" s="2" t="str">
        <f>_xlfn.XLOOKUP(G54,'Vic colour ref'!$A$2:$A$5,'Vic colour ref'!$D$2:$D$5,"")</f>
        <v>00</v>
      </c>
      <c r="AO54" s="2" t="str">
        <f>_xlfn.XLOOKUP(H54,'Vic colour ref'!$A$2:$A$5,'Vic colour ref'!$D$2:$D$5,"")</f>
        <v>00</v>
      </c>
      <c r="AP54" s="2" t="str">
        <f>_xlfn.XLOOKUP(I54,'Vic colour ref'!$A$2:$A$5,'Vic colour ref'!$D$2:$D$5,"")</f>
        <v>00</v>
      </c>
      <c r="AQ54" s="2" t="str">
        <f>_xlfn.XLOOKUP(J54,'Vic colour ref'!$A$2:$A$5,'Vic colour ref'!$D$2:$D$5,"")</f>
        <v>00</v>
      </c>
      <c r="AR54" s="2" t="str">
        <f>_xlfn.XLOOKUP(K54,'Vic colour ref'!$A$2:$A$5,'Vic colour ref'!$D$2:$D$5,"")</f>
        <v>00</v>
      </c>
      <c r="AS54" s="2" t="str">
        <f>_xlfn.XLOOKUP(L54,'Vic colour ref'!$A$2:$A$5,'Vic colour ref'!$D$2:$D$5,"")</f>
        <v>00</v>
      </c>
      <c r="AT54" s="2" t="str">
        <f>_xlfn.XLOOKUP(M54,'Vic colour ref'!$A$2:$A$5,'Vic colour ref'!$D$2:$D$5,"")</f>
        <v>00</v>
      </c>
      <c r="AU54" s="2" t="str">
        <f>_xlfn.XLOOKUP(N54,'Vic colour ref'!$A$2:$A$5,'Vic colour ref'!$D$2:$D$5,"")</f>
        <v>00</v>
      </c>
      <c r="AV54" s="2" t="str">
        <f>_xlfn.XLOOKUP(O54,'Vic colour ref'!$A$2:$A$5,'Vic colour ref'!$D$2:$D$5,"")</f>
        <v>00</v>
      </c>
      <c r="AW54" s="2" t="str">
        <f>_xlfn.XLOOKUP(P54,'Vic colour ref'!$A$2:$A$5,'Vic colour ref'!$D$2:$D$5,"")</f>
        <v>00</v>
      </c>
      <c r="AX54" s="2" t="str">
        <f>_xlfn.XLOOKUP(Q54,'Vic colour ref'!$A$2:$A$5,'Vic colour ref'!$D$2:$D$5,"")</f>
        <v>00</v>
      </c>
      <c r="AY54" s="2" t="str">
        <f>_xlfn.XLOOKUP(R54,'Vic colour ref'!$A$2:$A$5,'Vic colour ref'!$D$2:$D$5,"")</f>
        <v>00</v>
      </c>
      <c r="AZ54" s="2" t="str">
        <f>_xlfn.XLOOKUP(S54,'Vic colour ref'!$A$2:$A$5,'Vic colour ref'!$D$2:$D$5,"")</f>
        <v>00</v>
      </c>
      <c r="BA54" s="2" t="str">
        <f>_xlfn.XLOOKUP(T54,'Vic colour ref'!$A$2:$A$5,'Vic colour ref'!$D$2:$D$5,"")</f>
        <v>00</v>
      </c>
      <c r="BB54" s="2" t="str">
        <f>_xlfn.XLOOKUP(U54,'Vic colour ref'!$A$2:$A$5,'Vic colour ref'!$D$2:$D$5,"")</f>
        <v>00</v>
      </c>
      <c r="BC54" s="2" t="str">
        <f>_xlfn.XLOOKUP(V54,'Vic colour ref'!$A$2:$A$5,'Vic colour ref'!$D$2:$D$5,"")</f>
        <v>00</v>
      </c>
      <c r="BD54" s="2" t="str">
        <f>_xlfn.XLOOKUP(W54,'Vic colour ref'!$A$2:$A$5,'Vic colour ref'!$D$2:$D$5,"")</f>
        <v>00</v>
      </c>
      <c r="BE54" s="2" t="str">
        <f>_xlfn.XLOOKUP(X54,'Vic colour ref'!$A$2:$A$5,'Vic colour ref'!$D$2:$D$5,"")</f>
        <v>00</v>
      </c>
      <c r="BF54" s="2" t="str">
        <f>_xlfn.XLOOKUP(Y54,'Vic colour ref'!$A$2:$A$5,'Vic colour ref'!$D$2:$D$5,"")</f>
        <v>00</v>
      </c>
      <c r="BG54" s="2" t="str">
        <f>_xlfn.XLOOKUP(Z54,'Vic colour ref'!$A$2:$A$5,'Vic colour ref'!$D$2:$D$5,"")</f>
        <v>00</v>
      </c>
      <c r="BH54" s="2" t="str">
        <f>_xlfn.XLOOKUP(AA54,'Vic colour ref'!$A$2:$A$5,'Vic colour ref'!$D$2:$D$5,"")</f>
        <v>00</v>
      </c>
      <c r="BI54" s="2" t="str">
        <f>_xlfn.XLOOKUP(AB54,'Vic colour ref'!$A$2:$A$5,'Vic colour ref'!$D$2:$D$5,"")</f>
        <v>00</v>
      </c>
      <c r="BJ54" s="2" t="str">
        <f>_xlfn.XLOOKUP(AC54,'Vic colour ref'!$A$2:$A$5,'Vic colour ref'!$D$2:$D$5,"")</f>
        <v>00</v>
      </c>
      <c r="BK54" s="2" t="str">
        <f>_xlfn.XLOOKUP(AD54,'Vic colour ref'!$A$2:$A$5,'Vic colour ref'!$D$2:$D$5,"")</f>
        <v>00</v>
      </c>
      <c r="BL54" s="2" t="str">
        <f>_xlfn.XLOOKUP(AE54,'Vic colour ref'!$A$2:$A$5,'Vic colour ref'!$D$2:$D$5,"")</f>
        <v>00</v>
      </c>
      <c r="BM54" s="2" t="str">
        <f>_xlfn.XLOOKUP(AF54,'Vic colour ref'!$A$2:$A$5,'Vic colour ref'!$D$2:$D$5,"")</f>
        <v>00</v>
      </c>
      <c r="BO54" s="18" t="str">
        <f t="shared" si="1"/>
        <v>00000000</v>
      </c>
      <c r="BP54" s="18" t="str">
        <f t="shared" si="2"/>
        <v>00000000</v>
      </c>
      <c r="BQ54" s="18" t="str">
        <f t="shared" si="3"/>
        <v>00000000</v>
      </c>
      <c r="BR54" s="18" t="str">
        <f t="shared" si="4"/>
        <v>00000000</v>
      </c>
      <c r="BS54" s="18" t="str">
        <f t="shared" si="5"/>
        <v>00000000</v>
      </c>
      <c r="BT54" s="18" t="str">
        <f t="shared" si="6"/>
        <v>00000000</v>
      </c>
      <c r="BU54" s="18" t="str">
        <f t="shared" si="7"/>
        <v>00000000</v>
      </c>
      <c r="BV54" s="18" t="str">
        <f t="shared" si="8"/>
        <v>00000000</v>
      </c>
      <c r="BX54" s="24" t="str">
        <f t="shared" si="9"/>
        <v>00</v>
      </c>
      <c r="BY54" s="24" t="str">
        <f t="shared" si="10"/>
        <v>00</v>
      </c>
      <c r="BZ54" s="24" t="str">
        <f t="shared" si="11"/>
        <v>00</v>
      </c>
      <c r="CA54" s="24" t="str">
        <f t="shared" si="11"/>
        <v>00</v>
      </c>
      <c r="CB54" s="24" t="str">
        <f t="shared" si="11"/>
        <v>00</v>
      </c>
      <c r="CC54" s="24" t="str">
        <f t="shared" si="11"/>
        <v>00</v>
      </c>
      <c r="CD54" s="21" t="str">
        <f t="shared" si="14"/>
        <v>00</v>
      </c>
      <c r="CE54" s="24" t="str">
        <f t="shared" si="12"/>
        <v>00</v>
      </c>
      <c r="CG54" s="2" t="str" cm="1">
        <f t="array" ref="CG54:CN54">TRANSPOSE(CC49:CC56)</f>
        <v>00</v>
      </c>
      <c r="CH54" s="2" t="str">
        <v>00</v>
      </c>
      <c r="CI54" s="2" t="str">
        <v>00</v>
      </c>
      <c r="CJ54" s="2" t="str">
        <v>00</v>
      </c>
      <c r="CK54" s="2" t="str">
        <v>00</v>
      </c>
      <c r="CL54" s="2" t="str">
        <v>00</v>
      </c>
      <c r="CM54" s="2" t="str">
        <v>00</v>
      </c>
      <c r="CN54" s="2" t="str">
        <v>00</v>
      </c>
      <c r="CP54" s="4" t="str">
        <f t="shared" si="13"/>
        <v>!byte $00, $00, $00, $00, $00, $00, $00, $00</v>
      </c>
    </row>
    <row r="55" spans="1:94" x14ac:dyDescent="0.3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H55" s="2" t="str">
        <f>_xlfn.XLOOKUP(A55,'Vic colour ref'!$A$2:$A$5,'Vic colour ref'!$D$2:$D$5,"")</f>
        <v>00</v>
      </c>
      <c r="AI55" s="2" t="str">
        <f>_xlfn.XLOOKUP(B55,'Vic colour ref'!$A$2:$A$5,'Vic colour ref'!$D$2:$D$5,"")</f>
        <v>00</v>
      </c>
      <c r="AJ55" s="2" t="str">
        <f>_xlfn.XLOOKUP(C55,'Vic colour ref'!$A$2:$A$5,'Vic colour ref'!$D$2:$D$5,"")</f>
        <v>00</v>
      </c>
      <c r="AK55" s="2" t="str">
        <f>_xlfn.XLOOKUP(D55,'Vic colour ref'!$A$2:$A$5,'Vic colour ref'!$D$2:$D$5,"")</f>
        <v>00</v>
      </c>
      <c r="AL55" s="2" t="str">
        <f>_xlfn.XLOOKUP(E55,'Vic colour ref'!$A$2:$A$5,'Vic colour ref'!$D$2:$D$5,"")</f>
        <v>00</v>
      </c>
      <c r="AM55" s="2" t="str">
        <f>_xlfn.XLOOKUP(F55,'Vic colour ref'!$A$2:$A$5,'Vic colour ref'!$D$2:$D$5,"")</f>
        <v>00</v>
      </c>
      <c r="AN55" s="2" t="str">
        <f>_xlfn.XLOOKUP(G55,'Vic colour ref'!$A$2:$A$5,'Vic colour ref'!$D$2:$D$5,"")</f>
        <v>00</v>
      </c>
      <c r="AO55" s="2" t="str">
        <f>_xlfn.XLOOKUP(H55,'Vic colour ref'!$A$2:$A$5,'Vic colour ref'!$D$2:$D$5,"")</f>
        <v>00</v>
      </c>
      <c r="AP55" s="2" t="str">
        <f>_xlfn.XLOOKUP(I55,'Vic colour ref'!$A$2:$A$5,'Vic colour ref'!$D$2:$D$5,"")</f>
        <v>00</v>
      </c>
      <c r="AQ55" s="2" t="str">
        <f>_xlfn.XLOOKUP(J55,'Vic colour ref'!$A$2:$A$5,'Vic colour ref'!$D$2:$D$5,"")</f>
        <v>00</v>
      </c>
      <c r="AR55" s="2" t="str">
        <f>_xlfn.XLOOKUP(K55,'Vic colour ref'!$A$2:$A$5,'Vic colour ref'!$D$2:$D$5,"")</f>
        <v>00</v>
      </c>
      <c r="AS55" s="2" t="str">
        <f>_xlfn.XLOOKUP(L55,'Vic colour ref'!$A$2:$A$5,'Vic colour ref'!$D$2:$D$5,"")</f>
        <v>00</v>
      </c>
      <c r="AT55" s="2" t="str">
        <f>_xlfn.XLOOKUP(M55,'Vic colour ref'!$A$2:$A$5,'Vic colour ref'!$D$2:$D$5,"")</f>
        <v>00</v>
      </c>
      <c r="AU55" s="2" t="str">
        <f>_xlfn.XLOOKUP(N55,'Vic colour ref'!$A$2:$A$5,'Vic colour ref'!$D$2:$D$5,"")</f>
        <v>00</v>
      </c>
      <c r="AV55" s="2" t="str">
        <f>_xlfn.XLOOKUP(O55,'Vic colour ref'!$A$2:$A$5,'Vic colour ref'!$D$2:$D$5,"")</f>
        <v>00</v>
      </c>
      <c r="AW55" s="2" t="str">
        <f>_xlfn.XLOOKUP(P55,'Vic colour ref'!$A$2:$A$5,'Vic colour ref'!$D$2:$D$5,"")</f>
        <v>00</v>
      </c>
      <c r="AX55" s="2" t="str">
        <f>_xlfn.XLOOKUP(Q55,'Vic colour ref'!$A$2:$A$5,'Vic colour ref'!$D$2:$D$5,"")</f>
        <v>00</v>
      </c>
      <c r="AY55" s="2" t="str">
        <f>_xlfn.XLOOKUP(R55,'Vic colour ref'!$A$2:$A$5,'Vic colour ref'!$D$2:$D$5,"")</f>
        <v>00</v>
      </c>
      <c r="AZ55" s="2" t="str">
        <f>_xlfn.XLOOKUP(S55,'Vic colour ref'!$A$2:$A$5,'Vic colour ref'!$D$2:$D$5,"")</f>
        <v>00</v>
      </c>
      <c r="BA55" s="2" t="str">
        <f>_xlfn.XLOOKUP(T55,'Vic colour ref'!$A$2:$A$5,'Vic colour ref'!$D$2:$D$5,"")</f>
        <v>00</v>
      </c>
      <c r="BB55" s="2" t="str">
        <f>_xlfn.XLOOKUP(U55,'Vic colour ref'!$A$2:$A$5,'Vic colour ref'!$D$2:$D$5,"")</f>
        <v>00</v>
      </c>
      <c r="BC55" s="2" t="str">
        <f>_xlfn.XLOOKUP(V55,'Vic colour ref'!$A$2:$A$5,'Vic colour ref'!$D$2:$D$5,"")</f>
        <v>00</v>
      </c>
      <c r="BD55" s="2" t="str">
        <f>_xlfn.XLOOKUP(W55,'Vic colour ref'!$A$2:$A$5,'Vic colour ref'!$D$2:$D$5,"")</f>
        <v>00</v>
      </c>
      <c r="BE55" s="2" t="str">
        <f>_xlfn.XLOOKUP(X55,'Vic colour ref'!$A$2:$A$5,'Vic colour ref'!$D$2:$D$5,"")</f>
        <v>00</v>
      </c>
      <c r="BF55" s="2" t="str">
        <f>_xlfn.XLOOKUP(Y55,'Vic colour ref'!$A$2:$A$5,'Vic colour ref'!$D$2:$D$5,"")</f>
        <v>00</v>
      </c>
      <c r="BG55" s="2" t="str">
        <f>_xlfn.XLOOKUP(Z55,'Vic colour ref'!$A$2:$A$5,'Vic colour ref'!$D$2:$D$5,"")</f>
        <v>00</v>
      </c>
      <c r="BH55" s="2" t="str">
        <f>_xlfn.XLOOKUP(AA55,'Vic colour ref'!$A$2:$A$5,'Vic colour ref'!$D$2:$D$5,"")</f>
        <v>00</v>
      </c>
      <c r="BI55" s="2" t="str">
        <f>_xlfn.XLOOKUP(AB55,'Vic colour ref'!$A$2:$A$5,'Vic colour ref'!$D$2:$D$5,"")</f>
        <v>00</v>
      </c>
      <c r="BJ55" s="2" t="str">
        <f>_xlfn.XLOOKUP(AC55,'Vic colour ref'!$A$2:$A$5,'Vic colour ref'!$D$2:$D$5,"")</f>
        <v>00</v>
      </c>
      <c r="BK55" s="2" t="str">
        <f>_xlfn.XLOOKUP(AD55,'Vic colour ref'!$A$2:$A$5,'Vic colour ref'!$D$2:$D$5,"")</f>
        <v>00</v>
      </c>
      <c r="BL55" s="2" t="str">
        <f>_xlfn.XLOOKUP(AE55,'Vic colour ref'!$A$2:$A$5,'Vic colour ref'!$D$2:$D$5,"")</f>
        <v>00</v>
      </c>
      <c r="BM55" s="2" t="str">
        <f>_xlfn.XLOOKUP(AF55,'Vic colour ref'!$A$2:$A$5,'Vic colour ref'!$D$2:$D$5,"")</f>
        <v>00</v>
      </c>
      <c r="BO55" s="18" t="str">
        <f t="shared" si="1"/>
        <v>00000000</v>
      </c>
      <c r="BP55" s="18" t="str">
        <f t="shared" si="2"/>
        <v>00000000</v>
      </c>
      <c r="BQ55" s="18" t="str">
        <f t="shared" si="3"/>
        <v>00000000</v>
      </c>
      <c r="BR55" s="18" t="str">
        <f t="shared" si="4"/>
        <v>00000000</v>
      </c>
      <c r="BS55" s="18" t="str">
        <f t="shared" si="5"/>
        <v>00000000</v>
      </c>
      <c r="BT55" s="18" t="str">
        <f t="shared" si="6"/>
        <v>00000000</v>
      </c>
      <c r="BU55" s="18" t="str">
        <f t="shared" si="7"/>
        <v>00000000</v>
      </c>
      <c r="BV55" s="18" t="str">
        <f t="shared" si="8"/>
        <v>00000000</v>
      </c>
      <c r="BX55" s="24" t="str">
        <f t="shared" si="9"/>
        <v>00</v>
      </c>
      <c r="BY55" s="24" t="str">
        <f t="shared" si="10"/>
        <v>00</v>
      </c>
      <c r="BZ55" s="24" t="str">
        <f t="shared" si="11"/>
        <v>00</v>
      </c>
      <c r="CA55" s="24" t="str">
        <f t="shared" si="11"/>
        <v>00</v>
      </c>
      <c r="CB55" s="24" t="str">
        <f t="shared" si="11"/>
        <v>00</v>
      </c>
      <c r="CC55" s="24" t="str">
        <f t="shared" si="11"/>
        <v>00</v>
      </c>
      <c r="CD55" s="21" t="str">
        <f t="shared" si="14"/>
        <v>00</v>
      </c>
      <c r="CE55" s="24" t="str">
        <f t="shared" si="12"/>
        <v>00</v>
      </c>
      <c r="CG55" s="2" t="str" cm="1">
        <f t="array" ref="CG55:CN55">TRANSPOSE(CD49:CD56)</f>
        <v>A0</v>
      </c>
      <c r="CH55" s="2" t="str">
        <v>A0</v>
      </c>
      <c r="CI55" s="2" t="str">
        <v>F0</v>
      </c>
      <c r="CJ55" s="2" t="str">
        <v>F0</v>
      </c>
      <c r="CK55" s="2" t="str">
        <v>00</v>
      </c>
      <c r="CL55" s="2" t="str">
        <v>00</v>
      </c>
      <c r="CM55" s="2" t="str">
        <v>00</v>
      </c>
      <c r="CN55" s="2" t="str">
        <v>00</v>
      </c>
      <c r="CP55" s="4" t="str">
        <f t="shared" si="13"/>
        <v>!byte $a0, $a0, $f0, $f0, $00, $00, $00, $00</v>
      </c>
    </row>
    <row r="56" spans="1:94" x14ac:dyDescent="0.3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H56" s="2" t="str">
        <f>_xlfn.XLOOKUP(A56,'Vic colour ref'!$A$2:$A$5,'Vic colour ref'!$D$2:$D$5,"")</f>
        <v>00</v>
      </c>
      <c r="AI56" s="2" t="str">
        <f>_xlfn.XLOOKUP(B56,'Vic colour ref'!$A$2:$A$5,'Vic colour ref'!$D$2:$D$5,"")</f>
        <v>00</v>
      </c>
      <c r="AJ56" s="2" t="str">
        <f>_xlfn.XLOOKUP(C56,'Vic colour ref'!$A$2:$A$5,'Vic colour ref'!$D$2:$D$5,"")</f>
        <v>00</v>
      </c>
      <c r="AK56" s="2" t="str">
        <f>_xlfn.XLOOKUP(D56,'Vic colour ref'!$A$2:$A$5,'Vic colour ref'!$D$2:$D$5,"")</f>
        <v>00</v>
      </c>
      <c r="AL56" s="2" t="str">
        <f>_xlfn.XLOOKUP(E56,'Vic colour ref'!$A$2:$A$5,'Vic colour ref'!$D$2:$D$5,"")</f>
        <v>00</v>
      </c>
      <c r="AM56" s="2" t="str">
        <f>_xlfn.XLOOKUP(F56,'Vic colour ref'!$A$2:$A$5,'Vic colour ref'!$D$2:$D$5,"")</f>
        <v>00</v>
      </c>
      <c r="AN56" s="2" t="str">
        <f>_xlfn.XLOOKUP(G56,'Vic colour ref'!$A$2:$A$5,'Vic colour ref'!$D$2:$D$5,"")</f>
        <v>00</v>
      </c>
      <c r="AO56" s="2" t="str">
        <f>_xlfn.XLOOKUP(H56,'Vic colour ref'!$A$2:$A$5,'Vic colour ref'!$D$2:$D$5,"")</f>
        <v>00</v>
      </c>
      <c r="AP56" s="2" t="str">
        <f>_xlfn.XLOOKUP(I56,'Vic colour ref'!$A$2:$A$5,'Vic colour ref'!$D$2:$D$5,"")</f>
        <v>00</v>
      </c>
      <c r="AQ56" s="2" t="str">
        <f>_xlfn.XLOOKUP(J56,'Vic colour ref'!$A$2:$A$5,'Vic colour ref'!$D$2:$D$5,"")</f>
        <v>00</v>
      </c>
      <c r="AR56" s="2" t="str">
        <f>_xlfn.XLOOKUP(K56,'Vic colour ref'!$A$2:$A$5,'Vic colour ref'!$D$2:$D$5,"")</f>
        <v>00</v>
      </c>
      <c r="AS56" s="2" t="str">
        <f>_xlfn.XLOOKUP(L56,'Vic colour ref'!$A$2:$A$5,'Vic colour ref'!$D$2:$D$5,"")</f>
        <v>00</v>
      </c>
      <c r="AT56" s="2" t="str">
        <f>_xlfn.XLOOKUP(M56,'Vic colour ref'!$A$2:$A$5,'Vic colour ref'!$D$2:$D$5,"")</f>
        <v>00</v>
      </c>
      <c r="AU56" s="2" t="str">
        <f>_xlfn.XLOOKUP(N56,'Vic colour ref'!$A$2:$A$5,'Vic colour ref'!$D$2:$D$5,"")</f>
        <v>00</v>
      </c>
      <c r="AV56" s="2" t="str">
        <f>_xlfn.XLOOKUP(O56,'Vic colour ref'!$A$2:$A$5,'Vic colour ref'!$D$2:$D$5,"")</f>
        <v>00</v>
      </c>
      <c r="AW56" s="2" t="str">
        <f>_xlfn.XLOOKUP(P56,'Vic colour ref'!$A$2:$A$5,'Vic colour ref'!$D$2:$D$5,"")</f>
        <v>00</v>
      </c>
      <c r="AX56" s="2" t="str">
        <f>_xlfn.XLOOKUP(Q56,'Vic colour ref'!$A$2:$A$5,'Vic colour ref'!$D$2:$D$5,"")</f>
        <v>00</v>
      </c>
      <c r="AY56" s="2" t="str">
        <f>_xlfn.XLOOKUP(R56,'Vic colour ref'!$A$2:$A$5,'Vic colour ref'!$D$2:$D$5,"")</f>
        <v>00</v>
      </c>
      <c r="AZ56" s="2" t="str">
        <f>_xlfn.XLOOKUP(S56,'Vic colour ref'!$A$2:$A$5,'Vic colour ref'!$D$2:$D$5,"")</f>
        <v>00</v>
      </c>
      <c r="BA56" s="2" t="str">
        <f>_xlfn.XLOOKUP(T56,'Vic colour ref'!$A$2:$A$5,'Vic colour ref'!$D$2:$D$5,"")</f>
        <v>00</v>
      </c>
      <c r="BB56" s="2" t="str">
        <f>_xlfn.XLOOKUP(U56,'Vic colour ref'!$A$2:$A$5,'Vic colour ref'!$D$2:$D$5,"")</f>
        <v>00</v>
      </c>
      <c r="BC56" s="2" t="str">
        <f>_xlfn.XLOOKUP(V56,'Vic colour ref'!$A$2:$A$5,'Vic colour ref'!$D$2:$D$5,"")</f>
        <v>00</v>
      </c>
      <c r="BD56" s="2" t="str">
        <f>_xlfn.XLOOKUP(W56,'Vic colour ref'!$A$2:$A$5,'Vic colour ref'!$D$2:$D$5,"")</f>
        <v>00</v>
      </c>
      <c r="BE56" s="2" t="str">
        <f>_xlfn.XLOOKUP(X56,'Vic colour ref'!$A$2:$A$5,'Vic colour ref'!$D$2:$D$5,"")</f>
        <v>00</v>
      </c>
      <c r="BF56" s="2" t="str">
        <f>_xlfn.XLOOKUP(Y56,'Vic colour ref'!$A$2:$A$5,'Vic colour ref'!$D$2:$D$5,"")</f>
        <v>00</v>
      </c>
      <c r="BG56" s="2" t="str">
        <f>_xlfn.XLOOKUP(Z56,'Vic colour ref'!$A$2:$A$5,'Vic colour ref'!$D$2:$D$5,"")</f>
        <v>00</v>
      </c>
      <c r="BH56" s="2" t="str">
        <f>_xlfn.XLOOKUP(AA56,'Vic colour ref'!$A$2:$A$5,'Vic colour ref'!$D$2:$D$5,"")</f>
        <v>00</v>
      </c>
      <c r="BI56" s="2" t="str">
        <f>_xlfn.XLOOKUP(AB56,'Vic colour ref'!$A$2:$A$5,'Vic colour ref'!$D$2:$D$5,"")</f>
        <v>00</v>
      </c>
      <c r="BJ56" s="2" t="str">
        <f>_xlfn.XLOOKUP(AC56,'Vic colour ref'!$A$2:$A$5,'Vic colour ref'!$D$2:$D$5,"")</f>
        <v>00</v>
      </c>
      <c r="BK56" s="2" t="str">
        <f>_xlfn.XLOOKUP(AD56,'Vic colour ref'!$A$2:$A$5,'Vic colour ref'!$D$2:$D$5,"")</f>
        <v>00</v>
      </c>
      <c r="BL56" s="2" t="str">
        <f>_xlfn.XLOOKUP(AE56,'Vic colour ref'!$A$2:$A$5,'Vic colour ref'!$D$2:$D$5,"")</f>
        <v>00</v>
      </c>
      <c r="BM56" s="2" t="str">
        <f>_xlfn.XLOOKUP(AF56,'Vic colour ref'!$A$2:$A$5,'Vic colour ref'!$D$2:$D$5,"")</f>
        <v>00</v>
      </c>
      <c r="BO56" s="19" t="str">
        <f t="shared" si="1"/>
        <v>00000000</v>
      </c>
      <c r="BP56" s="19" t="str">
        <f t="shared" si="2"/>
        <v>00000000</v>
      </c>
      <c r="BQ56" s="19" t="str">
        <f t="shared" si="3"/>
        <v>00000000</v>
      </c>
      <c r="BR56" s="19" t="str">
        <f t="shared" si="4"/>
        <v>00000000</v>
      </c>
      <c r="BS56" s="19" t="str">
        <f t="shared" si="5"/>
        <v>00000000</v>
      </c>
      <c r="BT56" s="19" t="str">
        <f t="shared" si="6"/>
        <v>00000000</v>
      </c>
      <c r="BU56" s="19" t="str">
        <f t="shared" si="7"/>
        <v>00000000</v>
      </c>
      <c r="BV56" s="19" t="str">
        <f t="shared" si="8"/>
        <v>00000000</v>
      </c>
      <c r="BX56" s="25" t="str">
        <f t="shared" si="9"/>
        <v>00</v>
      </c>
      <c r="BY56" s="25" t="str">
        <f t="shared" si="10"/>
        <v>00</v>
      </c>
      <c r="BZ56" s="25" t="str">
        <f t="shared" si="11"/>
        <v>00</v>
      </c>
      <c r="CA56" s="25" t="str">
        <f t="shared" si="11"/>
        <v>00</v>
      </c>
      <c r="CB56" s="25" t="str">
        <f t="shared" si="11"/>
        <v>00</v>
      </c>
      <c r="CC56" s="25" t="str">
        <f t="shared" si="11"/>
        <v>00</v>
      </c>
      <c r="CD56" s="22" t="str">
        <f t="shared" si="14"/>
        <v>00</v>
      </c>
      <c r="CE56" s="25" t="str">
        <f t="shared" si="12"/>
        <v>00</v>
      </c>
      <c r="CG56" s="2" t="str" cm="1">
        <f t="array" ref="CG56:CN56">TRANSPOSE(CE49:CE56)</f>
        <v>00</v>
      </c>
      <c r="CH56" s="2" t="str">
        <v>00</v>
      </c>
      <c r="CI56" s="2" t="str">
        <v>00</v>
      </c>
      <c r="CJ56" s="2" t="str">
        <v>00</v>
      </c>
      <c r="CK56" s="2" t="str">
        <v>00</v>
      </c>
      <c r="CL56" s="2" t="str">
        <v>00</v>
      </c>
      <c r="CM56" s="2" t="str">
        <v>00</v>
      </c>
      <c r="CN56" s="2" t="str">
        <v>00</v>
      </c>
      <c r="CP56" s="4" t="str">
        <f t="shared" si="13"/>
        <v>!byte $00, $00, $00, $00, $00, $00, $00, $00</v>
      </c>
    </row>
    <row r="57" spans="1:94" x14ac:dyDescent="0.3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H57" s="2" t="str">
        <f>_xlfn.XLOOKUP(A57,'Vic colour ref'!$A$2:$A$5,'Vic colour ref'!$D$2:$D$5,"")</f>
        <v>00</v>
      </c>
      <c r="AI57" s="2" t="str">
        <f>_xlfn.XLOOKUP(B57,'Vic colour ref'!$A$2:$A$5,'Vic colour ref'!$D$2:$D$5,"")</f>
        <v>00</v>
      </c>
      <c r="AJ57" s="2" t="str">
        <f>_xlfn.XLOOKUP(C57,'Vic colour ref'!$A$2:$A$5,'Vic colour ref'!$D$2:$D$5,"")</f>
        <v>00</v>
      </c>
      <c r="AK57" s="2" t="str">
        <f>_xlfn.XLOOKUP(D57,'Vic colour ref'!$A$2:$A$5,'Vic colour ref'!$D$2:$D$5,"")</f>
        <v>00</v>
      </c>
      <c r="AL57" s="2" t="str">
        <f>_xlfn.XLOOKUP(E57,'Vic colour ref'!$A$2:$A$5,'Vic colour ref'!$D$2:$D$5,"")</f>
        <v>00</v>
      </c>
      <c r="AM57" s="2" t="str">
        <f>_xlfn.XLOOKUP(F57,'Vic colour ref'!$A$2:$A$5,'Vic colour ref'!$D$2:$D$5,"")</f>
        <v>00</v>
      </c>
      <c r="AN57" s="2" t="str">
        <f>_xlfn.XLOOKUP(G57,'Vic colour ref'!$A$2:$A$5,'Vic colour ref'!$D$2:$D$5,"")</f>
        <v>00</v>
      </c>
      <c r="AO57" s="2" t="str">
        <f>_xlfn.XLOOKUP(H57,'Vic colour ref'!$A$2:$A$5,'Vic colour ref'!$D$2:$D$5,"")</f>
        <v>00</v>
      </c>
      <c r="AP57" s="2" t="str">
        <f>_xlfn.XLOOKUP(I57,'Vic colour ref'!$A$2:$A$5,'Vic colour ref'!$D$2:$D$5,"")</f>
        <v>00</v>
      </c>
      <c r="AQ57" s="2" t="str">
        <f>_xlfn.XLOOKUP(J57,'Vic colour ref'!$A$2:$A$5,'Vic colour ref'!$D$2:$D$5,"")</f>
        <v>00</v>
      </c>
      <c r="AR57" s="2" t="str">
        <f>_xlfn.XLOOKUP(K57,'Vic colour ref'!$A$2:$A$5,'Vic colour ref'!$D$2:$D$5,"")</f>
        <v>00</v>
      </c>
      <c r="AS57" s="2" t="str">
        <f>_xlfn.XLOOKUP(L57,'Vic colour ref'!$A$2:$A$5,'Vic colour ref'!$D$2:$D$5,"")</f>
        <v>00</v>
      </c>
      <c r="AT57" s="2" t="str">
        <f>_xlfn.XLOOKUP(M57,'Vic colour ref'!$A$2:$A$5,'Vic colour ref'!$D$2:$D$5,"")</f>
        <v>00</v>
      </c>
      <c r="AU57" s="2" t="str">
        <f>_xlfn.XLOOKUP(N57,'Vic colour ref'!$A$2:$A$5,'Vic colour ref'!$D$2:$D$5,"")</f>
        <v>00</v>
      </c>
      <c r="AV57" s="2" t="str">
        <f>_xlfn.XLOOKUP(O57,'Vic colour ref'!$A$2:$A$5,'Vic colour ref'!$D$2:$D$5,"")</f>
        <v>00</v>
      </c>
      <c r="AW57" s="2" t="str">
        <f>_xlfn.XLOOKUP(P57,'Vic colour ref'!$A$2:$A$5,'Vic colour ref'!$D$2:$D$5,"")</f>
        <v>00</v>
      </c>
      <c r="AX57" s="2" t="str">
        <f>_xlfn.XLOOKUP(Q57,'Vic colour ref'!$A$2:$A$5,'Vic colour ref'!$D$2:$D$5,"")</f>
        <v>00</v>
      </c>
      <c r="AY57" s="2" t="str">
        <f>_xlfn.XLOOKUP(R57,'Vic colour ref'!$A$2:$A$5,'Vic colour ref'!$D$2:$D$5,"")</f>
        <v>00</v>
      </c>
      <c r="AZ57" s="2" t="str">
        <f>_xlfn.XLOOKUP(S57,'Vic colour ref'!$A$2:$A$5,'Vic colour ref'!$D$2:$D$5,"")</f>
        <v>00</v>
      </c>
      <c r="BA57" s="2" t="str">
        <f>_xlfn.XLOOKUP(T57,'Vic colour ref'!$A$2:$A$5,'Vic colour ref'!$D$2:$D$5,"")</f>
        <v>00</v>
      </c>
      <c r="BB57" s="2" t="str">
        <f>_xlfn.XLOOKUP(U57,'Vic colour ref'!$A$2:$A$5,'Vic colour ref'!$D$2:$D$5,"")</f>
        <v>00</v>
      </c>
      <c r="BC57" s="2" t="str">
        <f>_xlfn.XLOOKUP(V57,'Vic colour ref'!$A$2:$A$5,'Vic colour ref'!$D$2:$D$5,"")</f>
        <v>00</v>
      </c>
      <c r="BD57" s="2" t="str">
        <f>_xlfn.XLOOKUP(W57,'Vic colour ref'!$A$2:$A$5,'Vic colour ref'!$D$2:$D$5,"")</f>
        <v>00</v>
      </c>
      <c r="BE57" s="2" t="str">
        <f>_xlfn.XLOOKUP(X57,'Vic colour ref'!$A$2:$A$5,'Vic colour ref'!$D$2:$D$5,"")</f>
        <v>00</v>
      </c>
      <c r="BF57" s="2" t="str">
        <f>_xlfn.XLOOKUP(Y57,'Vic colour ref'!$A$2:$A$5,'Vic colour ref'!$D$2:$D$5,"")</f>
        <v>00</v>
      </c>
      <c r="BG57" s="2" t="str">
        <f>_xlfn.XLOOKUP(Z57,'Vic colour ref'!$A$2:$A$5,'Vic colour ref'!$D$2:$D$5,"")</f>
        <v>00</v>
      </c>
      <c r="BH57" s="2" t="str">
        <f>_xlfn.XLOOKUP(AA57,'Vic colour ref'!$A$2:$A$5,'Vic colour ref'!$D$2:$D$5,"")</f>
        <v>00</v>
      </c>
      <c r="BI57" s="2" t="str">
        <f>_xlfn.XLOOKUP(AB57,'Vic colour ref'!$A$2:$A$5,'Vic colour ref'!$D$2:$D$5,"")</f>
        <v>00</v>
      </c>
      <c r="BJ57" s="2" t="str">
        <f>_xlfn.XLOOKUP(AC57,'Vic colour ref'!$A$2:$A$5,'Vic colour ref'!$D$2:$D$5,"")</f>
        <v>00</v>
      </c>
      <c r="BK57" s="2" t="str">
        <f>_xlfn.XLOOKUP(AD57,'Vic colour ref'!$A$2:$A$5,'Vic colour ref'!$D$2:$D$5,"")</f>
        <v>00</v>
      </c>
      <c r="BL57" s="2" t="str">
        <f>_xlfn.XLOOKUP(AE57,'Vic colour ref'!$A$2:$A$5,'Vic colour ref'!$D$2:$D$5,"")</f>
        <v>00</v>
      </c>
      <c r="BM57" s="2" t="str">
        <f>_xlfn.XLOOKUP(AF57,'Vic colour ref'!$A$2:$A$5,'Vic colour ref'!$D$2:$D$5,"")</f>
        <v>00</v>
      </c>
      <c r="BO57" s="17" t="str">
        <f t="shared" si="1"/>
        <v>00000000</v>
      </c>
      <c r="BP57" s="17" t="str">
        <f t="shared" si="2"/>
        <v>00000000</v>
      </c>
      <c r="BQ57" s="17" t="str">
        <f t="shared" si="3"/>
        <v>00000000</v>
      </c>
      <c r="BR57" s="17" t="str">
        <f t="shared" si="4"/>
        <v>00000000</v>
      </c>
      <c r="BS57" s="17" t="str">
        <f t="shared" si="5"/>
        <v>00000000</v>
      </c>
      <c r="BT57" s="17" t="str">
        <f t="shared" si="6"/>
        <v>00000000</v>
      </c>
      <c r="BU57" s="17" t="str">
        <f t="shared" si="7"/>
        <v>00000000</v>
      </c>
      <c r="BV57" s="17" t="str">
        <f t="shared" si="8"/>
        <v>00000000</v>
      </c>
      <c r="BX57" s="23" t="str">
        <f t="shared" si="9"/>
        <v>00</v>
      </c>
      <c r="BY57" s="23" t="str">
        <f t="shared" si="10"/>
        <v>00</v>
      </c>
      <c r="BZ57" s="23" t="str">
        <f t="shared" si="11"/>
        <v>00</v>
      </c>
      <c r="CA57" s="23" t="str">
        <f t="shared" si="11"/>
        <v>00</v>
      </c>
      <c r="CB57" s="23" t="str">
        <f t="shared" si="11"/>
        <v>00</v>
      </c>
      <c r="CC57" s="23" t="str">
        <f t="shared" si="11"/>
        <v>00</v>
      </c>
      <c r="CD57" s="23" t="str">
        <f t="shared" si="14"/>
        <v>00</v>
      </c>
      <c r="CE57" s="23" t="str">
        <f t="shared" si="12"/>
        <v>00</v>
      </c>
      <c r="CG57" s="2" t="str" cm="1">
        <f t="array" ref="CG57:CN57">TRANSPOSE(BX57:BX64)</f>
        <v>00</v>
      </c>
      <c r="CH57" s="2" t="str">
        <v>00</v>
      </c>
      <c r="CI57" s="2" t="str">
        <v>00</v>
      </c>
      <c r="CJ57" s="2" t="str">
        <v>00</v>
      </c>
      <c r="CK57" s="2" t="str">
        <v>00</v>
      </c>
      <c r="CL57" s="2" t="str">
        <v>00</v>
      </c>
      <c r="CM57" s="2" t="str">
        <v>00</v>
      </c>
      <c r="CN57" s="2" t="str">
        <v>00</v>
      </c>
      <c r="CP57" s="4" t="str">
        <f t="shared" si="13"/>
        <v>!byte $00, $00, $00, $00, $00, $00, $00, $00</v>
      </c>
    </row>
    <row r="58" spans="1:94" x14ac:dyDescent="0.3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H58" s="2" t="str">
        <f>_xlfn.XLOOKUP(A58,'Vic colour ref'!$A$2:$A$5,'Vic colour ref'!$D$2:$D$5,"")</f>
        <v>00</v>
      </c>
      <c r="AI58" s="2" t="str">
        <f>_xlfn.XLOOKUP(B58,'Vic colour ref'!$A$2:$A$5,'Vic colour ref'!$D$2:$D$5,"")</f>
        <v>00</v>
      </c>
      <c r="AJ58" s="2" t="str">
        <f>_xlfn.XLOOKUP(C58,'Vic colour ref'!$A$2:$A$5,'Vic colour ref'!$D$2:$D$5,"")</f>
        <v>00</v>
      </c>
      <c r="AK58" s="2" t="str">
        <f>_xlfn.XLOOKUP(D58,'Vic colour ref'!$A$2:$A$5,'Vic colour ref'!$D$2:$D$5,"")</f>
        <v>00</v>
      </c>
      <c r="AL58" s="2" t="str">
        <f>_xlfn.XLOOKUP(E58,'Vic colour ref'!$A$2:$A$5,'Vic colour ref'!$D$2:$D$5,"")</f>
        <v>00</v>
      </c>
      <c r="AM58" s="2" t="str">
        <f>_xlfn.XLOOKUP(F58,'Vic colour ref'!$A$2:$A$5,'Vic colour ref'!$D$2:$D$5,"")</f>
        <v>00</v>
      </c>
      <c r="AN58" s="2" t="str">
        <f>_xlfn.XLOOKUP(G58,'Vic colour ref'!$A$2:$A$5,'Vic colour ref'!$D$2:$D$5,"")</f>
        <v>00</v>
      </c>
      <c r="AO58" s="2" t="str">
        <f>_xlfn.XLOOKUP(H58,'Vic colour ref'!$A$2:$A$5,'Vic colour ref'!$D$2:$D$5,"")</f>
        <v>00</v>
      </c>
      <c r="AP58" s="2" t="str">
        <f>_xlfn.XLOOKUP(I58,'Vic colour ref'!$A$2:$A$5,'Vic colour ref'!$D$2:$D$5,"")</f>
        <v>00</v>
      </c>
      <c r="AQ58" s="2" t="str">
        <f>_xlfn.XLOOKUP(J58,'Vic colour ref'!$A$2:$A$5,'Vic colour ref'!$D$2:$D$5,"")</f>
        <v>00</v>
      </c>
      <c r="AR58" s="2" t="str">
        <f>_xlfn.XLOOKUP(K58,'Vic colour ref'!$A$2:$A$5,'Vic colour ref'!$D$2:$D$5,"")</f>
        <v>00</v>
      </c>
      <c r="AS58" s="2" t="str">
        <f>_xlfn.XLOOKUP(L58,'Vic colour ref'!$A$2:$A$5,'Vic colour ref'!$D$2:$D$5,"")</f>
        <v>00</v>
      </c>
      <c r="AT58" s="2" t="str">
        <f>_xlfn.XLOOKUP(M58,'Vic colour ref'!$A$2:$A$5,'Vic colour ref'!$D$2:$D$5,"")</f>
        <v>00</v>
      </c>
      <c r="AU58" s="2" t="str">
        <f>_xlfn.XLOOKUP(N58,'Vic colour ref'!$A$2:$A$5,'Vic colour ref'!$D$2:$D$5,"")</f>
        <v>00</v>
      </c>
      <c r="AV58" s="2" t="str">
        <f>_xlfn.XLOOKUP(O58,'Vic colour ref'!$A$2:$A$5,'Vic colour ref'!$D$2:$D$5,"")</f>
        <v>00</v>
      </c>
      <c r="AW58" s="2" t="str">
        <f>_xlfn.XLOOKUP(P58,'Vic colour ref'!$A$2:$A$5,'Vic colour ref'!$D$2:$D$5,"")</f>
        <v>00</v>
      </c>
      <c r="AX58" s="2" t="str">
        <f>_xlfn.XLOOKUP(Q58,'Vic colour ref'!$A$2:$A$5,'Vic colour ref'!$D$2:$D$5,"")</f>
        <v>00</v>
      </c>
      <c r="AY58" s="2" t="str">
        <f>_xlfn.XLOOKUP(R58,'Vic colour ref'!$A$2:$A$5,'Vic colour ref'!$D$2:$D$5,"")</f>
        <v>00</v>
      </c>
      <c r="AZ58" s="2" t="str">
        <f>_xlfn.XLOOKUP(S58,'Vic colour ref'!$A$2:$A$5,'Vic colour ref'!$D$2:$D$5,"")</f>
        <v>00</v>
      </c>
      <c r="BA58" s="2" t="str">
        <f>_xlfn.XLOOKUP(T58,'Vic colour ref'!$A$2:$A$5,'Vic colour ref'!$D$2:$D$5,"")</f>
        <v>00</v>
      </c>
      <c r="BB58" s="2" t="str">
        <f>_xlfn.XLOOKUP(U58,'Vic colour ref'!$A$2:$A$5,'Vic colour ref'!$D$2:$D$5,"")</f>
        <v>00</v>
      </c>
      <c r="BC58" s="2" t="str">
        <f>_xlfn.XLOOKUP(V58,'Vic colour ref'!$A$2:$A$5,'Vic colour ref'!$D$2:$D$5,"")</f>
        <v>00</v>
      </c>
      <c r="BD58" s="2" t="str">
        <f>_xlfn.XLOOKUP(W58,'Vic colour ref'!$A$2:$A$5,'Vic colour ref'!$D$2:$D$5,"")</f>
        <v>00</v>
      </c>
      <c r="BE58" s="2" t="str">
        <f>_xlfn.XLOOKUP(X58,'Vic colour ref'!$A$2:$A$5,'Vic colour ref'!$D$2:$D$5,"")</f>
        <v>00</v>
      </c>
      <c r="BF58" s="2" t="str">
        <f>_xlfn.XLOOKUP(Y58,'Vic colour ref'!$A$2:$A$5,'Vic colour ref'!$D$2:$D$5,"")</f>
        <v>00</v>
      </c>
      <c r="BG58" s="2" t="str">
        <f>_xlfn.XLOOKUP(Z58,'Vic colour ref'!$A$2:$A$5,'Vic colour ref'!$D$2:$D$5,"")</f>
        <v>00</v>
      </c>
      <c r="BH58" s="2" t="str">
        <f>_xlfn.XLOOKUP(AA58,'Vic colour ref'!$A$2:$A$5,'Vic colour ref'!$D$2:$D$5,"")</f>
        <v>00</v>
      </c>
      <c r="BI58" s="2" t="str">
        <f>_xlfn.XLOOKUP(AB58,'Vic colour ref'!$A$2:$A$5,'Vic colour ref'!$D$2:$D$5,"")</f>
        <v>00</v>
      </c>
      <c r="BJ58" s="2" t="str">
        <f>_xlfn.XLOOKUP(AC58,'Vic colour ref'!$A$2:$A$5,'Vic colour ref'!$D$2:$D$5,"")</f>
        <v>00</v>
      </c>
      <c r="BK58" s="2" t="str">
        <f>_xlfn.XLOOKUP(AD58,'Vic colour ref'!$A$2:$A$5,'Vic colour ref'!$D$2:$D$5,"")</f>
        <v>00</v>
      </c>
      <c r="BL58" s="2" t="str">
        <f>_xlfn.XLOOKUP(AE58,'Vic colour ref'!$A$2:$A$5,'Vic colour ref'!$D$2:$D$5,"")</f>
        <v>00</v>
      </c>
      <c r="BM58" s="2" t="str">
        <f>_xlfn.XLOOKUP(AF58,'Vic colour ref'!$A$2:$A$5,'Vic colour ref'!$D$2:$D$5,"")</f>
        <v>00</v>
      </c>
      <c r="BO58" s="18" t="str">
        <f t="shared" si="1"/>
        <v>00000000</v>
      </c>
      <c r="BP58" s="18" t="str">
        <f t="shared" si="2"/>
        <v>00000000</v>
      </c>
      <c r="BQ58" s="18" t="str">
        <f t="shared" si="3"/>
        <v>00000000</v>
      </c>
      <c r="BR58" s="18" t="str">
        <f t="shared" si="4"/>
        <v>00000000</v>
      </c>
      <c r="BS58" s="18" t="str">
        <f t="shared" si="5"/>
        <v>00000000</v>
      </c>
      <c r="BT58" s="18" t="str">
        <f t="shared" si="6"/>
        <v>00000000</v>
      </c>
      <c r="BU58" s="18" t="str">
        <f t="shared" si="7"/>
        <v>00000000</v>
      </c>
      <c r="BV58" s="18" t="str">
        <f t="shared" si="8"/>
        <v>00000000</v>
      </c>
      <c r="BX58" s="24" t="str">
        <f t="shared" si="9"/>
        <v>00</v>
      </c>
      <c r="BY58" s="24" t="str">
        <f t="shared" si="10"/>
        <v>00</v>
      </c>
      <c r="BZ58" s="24" t="str">
        <f t="shared" si="11"/>
        <v>00</v>
      </c>
      <c r="CA58" s="24" t="str">
        <f t="shared" si="11"/>
        <v>00</v>
      </c>
      <c r="CB58" s="24" t="str">
        <f t="shared" si="11"/>
        <v>00</v>
      </c>
      <c r="CC58" s="24" t="str">
        <f t="shared" si="11"/>
        <v>00</v>
      </c>
      <c r="CD58" s="24" t="str">
        <f t="shared" si="14"/>
        <v>00</v>
      </c>
      <c r="CE58" s="24" t="str">
        <f t="shared" si="12"/>
        <v>00</v>
      </c>
      <c r="CG58" s="2" t="str" cm="1">
        <f t="array" ref="CG58:CN58">TRANSPOSE(BY57:BY64)</f>
        <v>00</v>
      </c>
      <c r="CH58" s="2" t="str">
        <v>00</v>
      </c>
      <c r="CI58" s="2" t="str">
        <v>00</v>
      </c>
      <c r="CJ58" s="2" t="str">
        <v>00</v>
      </c>
      <c r="CK58" s="2" t="str">
        <v>00</v>
      </c>
      <c r="CL58" s="2" t="str">
        <v>00</v>
      </c>
      <c r="CM58" s="2" t="str">
        <v>00</v>
      </c>
      <c r="CN58" s="2" t="str">
        <v>00</v>
      </c>
      <c r="CP58" s="4" t="str">
        <f t="shared" si="13"/>
        <v>!byte $00, $00, $00, $00, $00, $00, $00, $00</v>
      </c>
    </row>
    <row r="59" spans="1:94" x14ac:dyDescent="0.3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H59" s="2" t="str">
        <f>_xlfn.XLOOKUP(A59,'Vic colour ref'!$A$2:$A$5,'Vic colour ref'!$D$2:$D$5,"")</f>
        <v>00</v>
      </c>
      <c r="AI59" s="2" t="str">
        <f>_xlfn.XLOOKUP(B59,'Vic colour ref'!$A$2:$A$5,'Vic colour ref'!$D$2:$D$5,"")</f>
        <v>00</v>
      </c>
      <c r="AJ59" s="2" t="str">
        <f>_xlfn.XLOOKUP(C59,'Vic colour ref'!$A$2:$A$5,'Vic colour ref'!$D$2:$D$5,"")</f>
        <v>00</v>
      </c>
      <c r="AK59" s="2" t="str">
        <f>_xlfn.XLOOKUP(D59,'Vic colour ref'!$A$2:$A$5,'Vic colour ref'!$D$2:$D$5,"")</f>
        <v>00</v>
      </c>
      <c r="AL59" s="2" t="str">
        <f>_xlfn.XLOOKUP(E59,'Vic colour ref'!$A$2:$A$5,'Vic colour ref'!$D$2:$D$5,"")</f>
        <v>00</v>
      </c>
      <c r="AM59" s="2" t="str">
        <f>_xlfn.XLOOKUP(F59,'Vic colour ref'!$A$2:$A$5,'Vic colour ref'!$D$2:$D$5,"")</f>
        <v>00</v>
      </c>
      <c r="AN59" s="2" t="str">
        <f>_xlfn.XLOOKUP(G59,'Vic colour ref'!$A$2:$A$5,'Vic colour ref'!$D$2:$D$5,"")</f>
        <v>00</v>
      </c>
      <c r="AO59" s="2" t="str">
        <f>_xlfn.XLOOKUP(H59,'Vic colour ref'!$A$2:$A$5,'Vic colour ref'!$D$2:$D$5,"")</f>
        <v>00</v>
      </c>
      <c r="AP59" s="2" t="str">
        <f>_xlfn.XLOOKUP(I59,'Vic colour ref'!$A$2:$A$5,'Vic colour ref'!$D$2:$D$5,"")</f>
        <v>00</v>
      </c>
      <c r="AQ59" s="2" t="str">
        <f>_xlfn.XLOOKUP(J59,'Vic colour ref'!$A$2:$A$5,'Vic colour ref'!$D$2:$D$5,"")</f>
        <v>00</v>
      </c>
      <c r="AR59" s="2" t="str">
        <f>_xlfn.XLOOKUP(K59,'Vic colour ref'!$A$2:$A$5,'Vic colour ref'!$D$2:$D$5,"")</f>
        <v>00</v>
      </c>
      <c r="AS59" s="2" t="str">
        <f>_xlfn.XLOOKUP(L59,'Vic colour ref'!$A$2:$A$5,'Vic colour ref'!$D$2:$D$5,"")</f>
        <v>00</v>
      </c>
      <c r="AT59" s="2" t="str">
        <f>_xlfn.XLOOKUP(M59,'Vic colour ref'!$A$2:$A$5,'Vic colour ref'!$D$2:$D$5,"")</f>
        <v>00</v>
      </c>
      <c r="AU59" s="2" t="str">
        <f>_xlfn.XLOOKUP(N59,'Vic colour ref'!$A$2:$A$5,'Vic colour ref'!$D$2:$D$5,"")</f>
        <v>00</v>
      </c>
      <c r="AV59" s="2" t="str">
        <f>_xlfn.XLOOKUP(O59,'Vic colour ref'!$A$2:$A$5,'Vic colour ref'!$D$2:$D$5,"")</f>
        <v>00</v>
      </c>
      <c r="AW59" s="2" t="str">
        <f>_xlfn.XLOOKUP(P59,'Vic colour ref'!$A$2:$A$5,'Vic colour ref'!$D$2:$D$5,"")</f>
        <v>00</v>
      </c>
      <c r="AX59" s="2" t="str">
        <f>_xlfn.XLOOKUP(Q59,'Vic colour ref'!$A$2:$A$5,'Vic colour ref'!$D$2:$D$5,"")</f>
        <v>00</v>
      </c>
      <c r="AY59" s="2" t="str">
        <f>_xlfn.XLOOKUP(R59,'Vic colour ref'!$A$2:$A$5,'Vic colour ref'!$D$2:$D$5,"")</f>
        <v>00</v>
      </c>
      <c r="AZ59" s="2" t="str">
        <f>_xlfn.XLOOKUP(S59,'Vic colour ref'!$A$2:$A$5,'Vic colour ref'!$D$2:$D$5,"")</f>
        <v>00</v>
      </c>
      <c r="BA59" s="2" t="str">
        <f>_xlfn.XLOOKUP(T59,'Vic colour ref'!$A$2:$A$5,'Vic colour ref'!$D$2:$D$5,"")</f>
        <v>00</v>
      </c>
      <c r="BB59" s="2" t="str">
        <f>_xlfn.XLOOKUP(U59,'Vic colour ref'!$A$2:$A$5,'Vic colour ref'!$D$2:$D$5,"")</f>
        <v>00</v>
      </c>
      <c r="BC59" s="2" t="str">
        <f>_xlfn.XLOOKUP(V59,'Vic colour ref'!$A$2:$A$5,'Vic colour ref'!$D$2:$D$5,"")</f>
        <v>00</v>
      </c>
      <c r="BD59" s="2" t="str">
        <f>_xlfn.XLOOKUP(W59,'Vic colour ref'!$A$2:$A$5,'Vic colour ref'!$D$2:$D$5,"")</f>
        <v>00</v>
      </c>
      <c r="BE59" s="2" t="str">
        <f>_xlfn.XLOOKUP(X59,'Vic colour ref'!$A$2:$A$5,'Vic colour ref'!$D$2:$D$5,"")</f>
        <v>00</v>
      </c>
      <c r="BF59" s="2" t="str">
        <f>_xlfn.XLOOKUP(Y59,'Vic colour ref'!$A$2:$A$5,'Vic colour ref'!$D$2:$D$5,"")</f>
        <v>00</v>
      </c>
      <c r="BG59" s="2" t="str">
        <f>_xlfn.XLOOKUP(Z59,'Vic colour ref'!$A$2:$A$5,'Vic colour ref'!$D$2:$D$5,"")</f>
        <v>00</v>
      </c>
      <c r="BH59" s="2" t="str">
        <f>_xlfn.XLOOKUP(AA59,'Vic colour ref'!$A$2:$A$5,'Vic colour ref'!$D$2:$D$5,"")</f>
        <v>00</v>
      </c>
      <c r="BI59" s="2" t="str">
        <f>_xlfn.XLOOKUP(AB59,'Vic colour ref'!$A$2:$A$5,'Vic colour ref'!$D$2:$D$5,"")</f>
        <v>00</v>
      </c>
      <c r="BJ59" s="2" t="str">
        <f>_xlfn.XLOOKUP(AC59,'Vic colour ref'!$A$2:$A$5,'Vic colour ref'!$D$2:$D$5,"")</f>
        <v>00</v>
      </c>
      <c r="BK59" s="2" t="str">
        <f>_xlfn.XLOOKUP(AD59,'Vic colour ref'!$A$2:$A$5,'Vic colour ref'!$D$2:$D$5,"")</f>
        <v>00</v>
      </c>
      <c r="BL59" s="2" t="str">
        <f>_xlfn.XLOOKUP(AE59,'Vic colour ref'!$A$2:$A$5,'Vic colour ref'!$D$2:$D$5,"")</f>
        <v>00</v>
      </c>
      <c r="BM59" s="2" t="str">
        <f>_xlfn.XLOOKUP(AF59,'Vic colour ref'!$A$2:$A$5,'Vic colour ref'!$D$2:$D$5,"")</f>
        <v>00</v>
      </c>
      <c r="BO59" s="18" t="str">
        <f t="shared" si="1"/>
        <v>00000000</v>
      </c>
      <c r="BP59" s="18" t="str">
        <f t="shared" si="2"/>
        <v>00000000</v>
      </c>
      <c r="BQ59" s="18" t="str">
        <f t="shared" si="3"/>
        <v>00000000</v>
      </c>
      <c r="BR59" s="18" t="str">
        <f t="shared" si="4"/>
        <v>00000000</v>
      </c>
      <c r="BS59" s="18" t="str">
        <f t="shared" si="5"/>
        <v>00000000</v>
      </c>
      <c r="BT59" s="18" t="str">
        <f t="shared" si="6"/>
        <v>00000000</v>
      </c>
      <c r="BU59" s="18" t="str">
        <f t="shared" si="7"/>
        <v>00000000</v>
      </c>
      <c r="BV59" s="18" t="str">
        <f t="shared" si="8"/>
        <v>00000000</v>
      </c>
      <c r="BX59" s="24" t="str">
        <f t="shared" si="9"/>
        <v>00</v>
      </c>
      <c r="BY59" s="24" t="str">
        <f t="shared" si="10"/>
        <v>00</v>
      </c>
      <c r="BZ59" s="24" t="str">
        <f t="shared" si="11"/>
        <v>00</v>
      </c>
      <c r="CA59" s="24" t="str">
        <f t="shared" si="11"/>
        <v>00</v>
      </c>
      <c r="CB59" s="24" t="str">
        <f t="shared" si="11"/>
        <v>00</v>
      </c>
      <c r="CC59" s="24" t="str">
        <f t="shared" si="11"/>
        <v>00</v>
      </c>
      <c r="CD59" s="24" t="str">
        <f t="shared" si="14"/>
        <v>00</v>
      </c>
      <c r="CE59" s="24" t="str">
        <f t="shared" si="12"/>
        <v>00</v>
      </c>
      <c r="CG59" s="2" t="str" cm="1">
        <f t="array" ref="CG59:CN59">TRANSPOSE(BZ57:BZ64)</f>
        <v>00</v>
      </c>
      <c r="CH59" s="2" t="str">
        <v>00</v>
      </c>
      <c r="CI59" s="2" t="str">
        <v>00</v>
      </c>
      <c r="CJ59" s="2" t="str">
        <v>00</v>
      </c>
      <c r="CK59" s="2" t="str">
        <v>00</v>
      </c>
      <c r="CL59" s="2" t="str">
        <v>00</v>
      </c>
      <c r="CM59" s="2" t="str">
        <v>00</v>
      </c>
      <c r="CN59" s="2" t="str">
        <v>00</v>
      </c>
      <c r="CP59" s="4" t="str">
        <f t="shared" si="13"/>
        <v>!byte $00, $00, $00, $00, $00, $00, $00, $00</v>
      </c>
    </row>
    <row r="60" spans="1:94" x14ac:dyDescent="0.3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H60" s="2" t="str">
        <f>_xlfn.XLOOKUP(A60,'Vic colour ref'!$A$2:$A$5,'Vic colour ref'!$D$2:$D$5,"")</f>
        <v>00</v>
      </c>
      <c r="AI60" s="2" t="str">
        <f>_xlfn.XLOOKUP(B60,'Vic colour ref'!$A$2:$A$5,'Vic colour ref'!$D$2:$D$5,"")</f>
        <v>00</v>
      </c>
      <c r="AJ60" s="2" t="str">
        <f>_xlfn.XLOOKUP(C60,'Vic colour ref'!$A$2:$A$5,'Vic colour ref'!$D$2:$D$5,"")</f>
        <v>00</v>
      </c>
      <c r="AK60" s="2" t="str">
        <f>_xlfn.XLOOKUP(D60,'Vic colour ref'!$A$2:$A$5,'Vic colour ref'!$D$2:$D$5,"")</f>
        <v>00</v>
      </c>
      <c r="AL60" s="2" t="str">
        <f>_xlfn.XLOOKUP(E60,'Vic colour ref'!$A$2:$A$5,'Vic colour ref'!$D$2:$D$5,"")</f>
        <v>00</v>
      </c>
      <c r="AM60" s="2" t="str">
        <f>_xlfn.XLOOKUP(F60,'Vic colour ref'!$A$2:$A$5,'Vic colour ref'!$D$2:$D$5,"")</f>
        <v>00</v>
      </c>
      <c r="AN60" s="2" t="str">
        <f>_xlfn.XLOOKUP(G60,'Vic colour ref'!$A$2:$A$5,'Vic colour ref'!$D$2:$D$5,"")</f>
        <v>00</v>
      </c>
      <c r="AO60" s="2" t="str">
        <f>_xlfn.XLOOKUP(H60,'Vic colour ref'!$A$2:$A$5,'Vic colour ref'!$D$2:$D$5,"")</f>
        <v>00</v>
      </c>
      <c r="AP60" s="2" t="str">
        <f>_xlfn.XLOOKUP(I60,'Vic colour ref'!$A$2:$A$5,'Vic colour ref'!$D$2:$D$5,"")</f>
        <v>00</v>
      </c>
      <c r="AQ60" s="2" t="str">
        <f>_xlfn.XLOOKUP(J60,'Vic colour ref'!$A$2:$A$5,'Vic colour ref'!$D$2:$D$5,"")</f>
        <v>00</v>
      </c>
      <c r="AR60" s="2" t="str">
        <f>_xlfn.XLOOKUP(K60,'Vic colour ref'!$A$2:$A$5,'Vic colour ref'!$D$2:$D$5,"")</f>
        <v>00</v>
      </c>
      <c r="AS60" s="2" t="str">
        <f>_xlfn.XLOOKUP(L60,'Vic colour ref'!$A$2:$A$5,'Vic colour ref'!$D$2:$D$5,"")</f>
        <v>00</v>
      </c>
      <c r="AT60" s="2" t="str">
        <f>_xlfn.XLOOKUP(M60,'Vic colour ref'!$A$2:$A$5,'Vic colour ref'!$D$2:$D$5,"")</f>
        <v>00</v>
      </c>
      <c r="AU60" s="2" t="str">
        <f>_xlfn.XLOOKUP(N60,'Vic colour ref'!$A$2:$A$5,'Vic colour ref'!$D$2:$D$5,"")</f>
        <v>00</v>
      </c>
      <c r="AV60" s="2" t="str">
        <f>_xlfn.XLOOKUP(O60,'Vic colour ref'!$A$2:$A$5,'Vic colour ref'!$D$2:$D$5,"")</f>
        <v>00</v>
      </c>
      <c r="AW60" s="2" t="str">
        <f>_xlfn.XLOOKUP(P60,'Vic colour ref'!$A$2:$A$5,'Vic colour ref'!$D$2:$D$5,"")</f>
        <v>00</v>
      </c>
      <c r="AX60" s="2" t="str">
        <f>_xlfn.XLOOKUP(Q60,'Vic colour ref'!$A$2:$A$5,'Vic colour ref'!$D$2:$D$5,"")</f>
        <v>00</v>
      </c>
      <c r="AY60" s="2" t="str">
        <f>_xlfn.XLOOKUP(R60,'Vic colour ref'!$A$2:$A$5,'Vic colour ref'!$D$2:$D$5,"")</f>
        <v>00</v>
      </c>
      <c r="AZ60" s="2" t="str">
        <f>_xlfn.XLOOKUP(S60,'Vic colour ref'!$A$2:$A$5,'Vic colour ref'!$D$2:$D$5,"")</f>
        <v>00</v>
      </c>
      <c r="BA60" s="2" t="str">
        <f>_xlfn.XLOOKUP(T60,'Vic colour ref'!$A$2:$A$5,'Vic colour ref'!$D$2:$D$5,"")</f>
        <v>00</v>
      </c>
      <c r="BB60" s="2" t="str">
        <f>_xlfn.XLOOKUP(U60,'Vic colour ref'!$A$2:$A$5,'Vic colour ref'!$D$2:$D$5,"")</f>
        <v>00</v>
      </c>
      <c r="BC60" s="2" t="str">
        <f>_xlfn.XLOOKUP(V60,'Vic colour ref'!$A$2:$A$5,'Vic colour ref'!$D$2:$D$5,"")</f>
        <v>00</v>
      </c>
      <c r="BD60" s="2" t="str">
        <f>_xlfn.XLOOKUP(W60,'Vic colour ref'!$A$2:$A$5,'Vic colour ref'!$D$2:$D$5,"")</f>
        <v>00</v>
      </c>
      <c r="BE60" s="2" t="str">
        <f>_xlfn.XLOOKUP(X60,'Vic colour ref'!$A$2:$A$5,'Vic colour ref'!$D$2:$D$5,"")</f>
        <v>00</v>
      </c>
      <c r="BF60" s="2" t="str">
        <f>_xlfn.XLOOKUP(Y60,'Vic colour ref'!$A$2:$A$5,'Vic colour ref'!$D$2:$D$5,"")</f>
        <v>00</v>
      </c>
      <c r="BG60" s="2" t="str">
        <f>_xlfn.XLOOKUP(Z60,'Vic colour ref'!$A$2:$A$5,'Vic colour ref'!$D$2:$D$5,"")</f>
        <v>00</v>
      </c>
      <c r="BH60" s="2" t="str">
        <f>_xlfn.XLOOKUP(AA60,'Vic colour ref'!$A$2:$A$5,'Vic colour ref'!$D$2:$D$5,"")</f>
        <v>00</v>
      </c>
      <c r="BI60" s="2" t="str">
        <f>_xlfn.XLOOKUP(AB60,'Vic colour ref'!$A$2:$A$5,'Vic colour ref'!$D$2:$D$5,"")</f>
        <v>00</v>
      </c>
      <c r="BJ60" s="2" t="str">
        <f>_xlfn.XLOOKUP(AC60,'Vic colour ref'!$A$2:$A$5,'Vic colour ref'!$D$2:$D$5,"")</f>
        <v>00</v>
      </c>
      <c r="BK60" s="2" t="str">
        <f>_xlfn.XLOOKUP(AD60,'Vic colour ref'!$A$2:$A$5,'Vic colour ref'!$D$2:$D$5,"")</f>
        <v>00</v>
      </c>
      <c r="BL60" s="2" t="str">
        <f>_xlfn.XLOOKUP(AE60,'Vic colour ref'!$A$2:$A$5,'Vic colour ref'!$D$2:$D$5,"")</f>
        <v>00</v>
      </c>
      <c r="BM60" s="2" t="str">
        <f>_xlfn.XLOOKUP(AF60,'Vic colour ref'!$A$2:$A$5,'Vic colour ref'!$D$2:$D$5,"")</f>
        <v>00</v>
      </c>
      <c r="BO60" s="18" t="str">
        <f t="shared" si="1"/>
        <v>00000000</v>
      </c>
      <c r="BP60" s="18" t="str">
        <f t="shared" si="2"/>
        <v>00000000</v>
      </c>
      <c r="BQ60" s="18" t="str">
        <f t="shared" si="3"/>
        <v>00000000</v>
      </c>
      <c r="BR60" s="18" t="str">
        <f t="shared" si="4"/>
        <v>00000000</v>
      </c>
      <c r="BS60" s="18" t="str">
        <f t="shared" si="5"/>
        <v>00000000</v>
      </c>
      <c r="BT60" s="18" t="str">
        <f t="shared" si="6"/>
        <v>00000000</v>
      </c>
      <c r="BU60" s="18" t="str">
        <f t="shared" si="7"/>
        <v>00000000</v>
      </c>
      <c r="BV60" s="18" t="str">
        <f t="shared" si="8"/>
        <v>00000000</v>
      </c>
      <c r="BX60" s="24" t="str">
        <f t="shared" si="9"/>
        <v>00</v>
      </c>
      <c r="BY60" s="24" t="str">
        <f t="shared" si="10"/>
        <v>00</v>
      </c>
      <c r="BZ60" s="24" t="str">
        <f t="shared" si="11"/>
        <v>00</v>
      </c>
      <c r="CA60" s="24" t="str">
        <f t="shared" si="11"/>
        <v>00</v>
      </c>
      <c r="CB60" s="24" t="str">
        <f t="shared" si="11"/>
        <v>00</v>
      </c>
      <c r="CC60" s="24" t="str">
        <f t="shared" si="11"/>
        <v>00</v>
      </c>
      <c r="CD60" s="24" t="str">
        <f t="shared" si="14"/>
        <v>00</v>
      </c>
      <c r="CE60" s="24" t="str">
        <f t="shared" si="12"/>
        <v>00</v>
      </c>
      <c r="CG60" s="2" t="str" cm="1">
        <f t="array" ref="CG60:CN60">TRANSPOSE(CA57:CA64)</f>
        <v>00</v>
      </c>
      <c r="CH60" s="2" t="str">
        <v>00</v>
      </c>
      <c r="CI60" s="2" t="str">
        <v>00</v>
      </c>
      <c r="CJ60" s="2" t="str">
        <v>00</v>
      </c>
      <c r="CK60" s="2" t="str">
        <v>00</v>
      </c>
      <c r="CL60" s="2" t="str">
        <v>00</v>
      </c>
      <c r="CM60" s="2" t="str">
        <v>00</v>
      </c>
      <c r="CN60" s="2" t="str">
        <v>00</v>
      </c>
      <c r="CP60" s="4" t="str">
        <f t="shared" si="13"/>
        <v>!byte $00, $00, $00, $00, $00, $00, $00, $00</v>
      </c>
    </row>
    <row r="61" spans="1:94" x14ac:dyDescent="0.3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H61" s="2" t="str">
        <f>_xlfn.XLOOKUP(A61,'Vic colour ref'!$A$2:$A$5,'Vic colour ref'!$D$2:$D$5,"")</f>
        <v>00</v>
      </c>
      <c r="AI61" s="2" t="str">
        <f>_xlfn.XLOOKUP(B61,'Vic colour ref'!$A$2:$A$5,'Vic colour ref'!$D$2:$D$5,"")</f>
        <v>00</v>
      </c>
      <c r="AJ61" s="2" t="str">
        <f>_xlfn.XLOOKUP(C61,'Vic colour ref'!$A$2:$A$5,'Vic colour ref'!$D$2:$D$5,"")</f>
        <v>00</v>
      </c>
      <c r="AK61" s="2" t="str">
        <f>_xlfn.XLOOKUP(D61,'Vic colour ref'!$A$2:$A$5,'Vic colour ref'!$D$2:$D$5,"")</f>
        <v>00</v>
      </c>
      <c r="AL61" s="2" t="str">
        <f>_xlfn.XLOOKUP(E61,'Vic colour ref'!$A$2:$A$5,'Vic colour ref'!$D$2:$D$5,"")</f>
        <v>00</v>
      </c>
      <c r="AM61" s="2" t="str">
        <f>_xlfn.XLOOKUP(F61,'Vic colour ref'!$A$2:$A$5,'Vic colour ref'!$D$2:$D$5,"")</f>
        <v>00</v>
      </c>
      <c r="AN61" s="2" t="str">
        <f>_xlfn.XLOOKUP(G61,'Vic colour ref'!$A$2:$A$5,'Vic colour ref'!$D$2:$D$5,"")</f>
        <v>00</v>
      </c>
      <c r="AO61" s="2" t="str">
        <f>_xlfn.XLOOKUP(H61,'Vic colour ref'!$A$2:$A$5,'Vic colour ref'!$D$2:$D$5,"")</f>
        <v>00</v>
      </c>
      <c r="AP61" s="2" t="str">
        <f>_xlfn.XLOOKUP(I61,'Vic colour ref'!$A$2:$A$5,'Vic colour ref'!$D$2:$D$5,"")</f>
        <v>00</v>
      </c>
      <c r="AQ61" s="2" t="str">
        <f>_xlfn.XLOOKUP(J61,'Vic colour ref'!$A$2:$A$5,'Vic colour ref'!$D$2:$D$5,"")</f>
        <v>00</v>
      </c>
      <c r="AR61" s="2" t="str">
        <f>_xlfn.XLOOKUP(K61,'Vic colour ref'!$A$2:$A$5,'Vic colour ref'!$D$2:$D$5,"")</f>
        <v>00</v>
      </c>
      <c r="AS61" s="2" t="str">
        <f>_xlfn.XLOOKUP(L61,'Vic colour ref'!$A$2:$A$5,'Vic colour ref'!$D$2:$D$5,"")</f>
        <v>00</v>
      </c>
      <c r="AT61" s="2" t="str">
        <f>_xlfn.XLOOKUP(M61,'Vic colour ref'!$A$2:$A$5,'Vic colour ref'!$D$2:$D$5,"")</f>
        <v>00</v>
      </c>
      <c r="AU61" s="2" t="str">
        <f>_xlfn.XLOOKUP(N61,'Vic colour ref'!$A$2:$A$5,'Vic colour ref'!$D$2:$D$5,"")</f>
        <v>00</v>
      </c>
      <c r="AV61" s="2" t="str">
        <f>_xlfn.XLOOKUP(O61,'Vic colour ref'!$A$2:$A$5,'Vic colour ref'!$D$2:$D$5,"")</f>
        <v>00</v>
      </c>
      <c r="AW61" s="2" t="str">
        <f>_xlfn.XLOOKUP(P61,'Vic colour ref'!$A$2:$A$5,'Vic colour ref'!$D$2:$D$5,"")</f>
        <v>00</v>
      </c>
      <c r="AX61" s="2" t="str">
        <f>_xlfn.XLOOKUP(Q61,'Vic colour ref'!$A$2:$A$5,'Vic colour ref'!$D$2:$D$5,"")</f>
        <v>00</v>
      </c>
      <c r="AY61" s="2" t="str">
        <f>_xlfn.XLOOKUP(R61,'Vic colour ref'!$A$2:$A$5,'Vic colour ref'!$D$2:$D$5,"")</f>
        <v>00</v>
      </c>
      <c r="AZ61" s="2" t="str">
        <f>_xlfn.XLOOKUP(S61,'Vic colour ref'!$A$2:$A$5,'Vic colour ref'!$D$2:$D$5,"")</f>
        <v>00</v>
      </c>
      <c r="BA61" s="2" t="str">
        <f>_xlfn.XLOOKUP(T61,'Vic colour ref'!$A$2:$A$5,'Vic colour ref'!$D$2:$D$5,"")</f>
        <v>00</v>
      </c>
      <c r="BB61" s="2" t="str">
        <f>_xlfn.XLOOKUP(U61,'Vic colour ref'!$A$2:$A$5,'Vic colour ref'!$D$2:$D$5,"")</f>
        <v>00</v>
      </c>
      <c r="BC61" s="2" t="str">
        <f>_xlfn.XLOOKUP(V61,'Vic colour ref'!$A$2:$A$5,'Vic colour ref'!$D$2:$D$5,"")</f>
        <v>00</v>
      </c>
      <c r="BD61" s="2" t="str">
        <f>_xlfn.XLOOKUP(W61,'Vic colour ref'!$A$2:$A$5,'Vic colour ref'!$D$2:$D$5,"")</f>
        <v>00</v>
      </c>
      <c r="BE61" s="2" t="str">
        <f>_xlfn.XLOOKUP(X61,'Vic colour ref'!$A$2:$A$5,'Vic colour ref'!$D$2:$D$5,"")</f>
        <v>00</v>
      </c>
      <c r="BF61" s="2" t="str">
        <f>_xlfn.XLOOKUP(Y61,'Vic colour ref'!$A$2:$A$5,'Vic colour ref'!$D$2:$D$5,"")</f>
        <v>00</v>
      </c>
      <c r="BG61" s="2" t="str">
        <f>_xlfn.XLOOKUP(Z61,'Vic colour ref'!$A$2:$A$5,'Vic colour ref'!$D$2:$D$5,"")</f>
        <v>00</v>
      </c>
      <c r="BH61" s="2" t="str">
        <f>_xlfn.XLOOKUP(AA61,'Vic colour ref'!$A$2:$A$5,'Vic colour ref'!$D$2:$D$5,"")</f>
        <v>00</v>
      </c>
      <c r="BI61" s="2" t="str">
        <f>_xlfn.XLOOKUP(AB61,'Vic colour ref'!$A$2:$A$5,'Vic colour ref'!$D$2:$D$5,"")</f>
        <v>00</v>
      </c>
      <c r="BJ61" s="2" t="str">
        <f>_xlfn.XLOOKUP(AC61,'Vic colour ref'!$A$2:$A$5,'Vic colour ref'!$D$2:$D$5,"")</f>
        <v>00</v>
      </c>
      <c r="BK61" s="2" t="str">
        <f>_xlfn.XLOOKUP(AD61,'Vic colour ref'!$A$2:$A$5,'Vic colour ref'!$D$2:$D$5,"")</f>
        <v>00</v>
      </c>
      <c r="BL61" s="2" t="str">
        <f>_xlfn.XLOOKUP(AE61,'Vic colour ref'!$A$2:$A$5,'Vic colour ref'!$D$2:$D$5,"")</f>
        <v>00</v>
      </c>
      <c r="BM61" s="2" t="str">
        <f>_xlfn.XLOOKUP(AF61,'Vic colour ref'!$A$2:$A$5,'Vic colour ref'!$D$2:$D$5,"")</f>
        <v>00</v>
      </c>
      <c r="BO61" s="18" t="str">
        <f t="shared" si="1"/>
        <v>00000000</v>
      </c>
      <c r="BP61" s="18" t="str">
        <f t="shared" si="2"/>
        <v>00000000</v>
      </c>
      <c r="BQ61" s="18" t="str">
        <f t="shared" si="3"/>
        <v>00000000</v>
      </c>
      <c r="BR61" s="18" t="str">
        <f t="shared" si="4"/>
        <v>00000000</v>
      </c>
      <c r="BS61" s="18" t="str">
        <f t="shared" si="5"/>
        <v>00000000</v>
      </c>
      <c r="BT61" s="18" t="str">
        <f t="shared" si="6"/>
        <v>00000000</v>
      </c>
      <c r="BU61" s="18" t="str">
        <f t="shared" si="7"/>
        <v>00000000</v>
      </c>
      <c r="BV61" s="18" t="str">
        <f t="shared" si="8"/>
        <v>00000000</v>
      </c>
      <c r="BX61" s="24" t="str">
        <f t="shared" si="9"/>
        <v>00</v>
      </c>
      <c r="BY61" s="24" t="str">
        <f t="shared" si="10"/>
        <v>00</v>
      </c>
      <c r="BZ61" s="24" t="str">
        <f t="shared" si="11"/>
        <v>00</v>
      </c>
      <c r="CA61" s="24" t="str">
        <f t="shared" si="11"/>
        <v>00</v>
      </c>
      <c r="CB61" s="24" t="str">
        <f t="shared" si="11"/>
        <v>00</v>
      </c>
      <c r="CC61" s="24" t="str">
        <f t="shared" si="11"/>
        <v>00</v>
      </c>
      <c r="CD61" s="24" t="str">
        <f t="shared" si="14"/>
        <v>00</v>
      </c>
      <c r="CE61" s="24" t="str">
        <f t="shared" si="12"/>
        <v>00</v>
      </c>
      <c r="CG61" s="2" t="str" cm="1">
        <f t="array" ref="CG61:CN61">TRANSPOSE(CB57:CB64)</f>
        <v>00</v>
      </c>
      <c r="CH61" s="2" t="str">
        <v>00</v>
      </c>
      <c r="CI61" s="2" t="str">
        <v>00</v>
      </c>
      <c r="CJ61" s="2" t="str">
        <v>00</v>
      </c>
      <c r="CK61" s="2" t="str">
        <v>00</v>
      </c>
      <c r="CL61" s="2" t="str">
        <v>00</v>
      </c>
      <c r="CM61" s="2" t="str">
        <v>00</v>
      </c>
      <c r="CN61" s="2" t="str">
        <v>00</v>
      </c>
      <c r="CP61" s="4" t="str">
        <f t="shared" si="13"/>
        <v>!byte $00, $00, $00, $00, $00, $00, $00, $00</v>
      </c>
    </row>
    <row r="62" spans="1:94" x14ac:dyDescent="0.3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H62" s="2" t="str">
        <f>_xlfn.XLOOKUP(A62,'Vic colour ref'!$A$2:$A$5,'Vic colour ref'!$D$2:$D$5,"")</f>
        <v>00</v>
      </c>
      <c r="AI62" s="2" t="str">
        <f>_xlfn.XLOOKUP(B62,'Vic colour ref'!$A$2:$A$5,'Vic colour ref'!$D$2:$D$5,"")</f>
        <v>00</v>
      </c>
      <c r="AJ62" s="2" t="str">
        <f>_xlfn.XLOOKUP(C62,'Vic colour ref'!$A$2:$A$5,'Vic colour ref'!$D$2:$D$5,"")</f>
        <v>00</v>
      </c>
      <c r="AK62" s="2" t="str">
        <f>_xlfn.XLOOKUP(D62,'Vic colour ref'!$A$2:$A$5,'Vic colour ref'!$D$2:$D$5,"")</f>
        <v>00</v>
      </c>
      <c r="AL62" s="2" t="str">
        <f>_xlfn.XLOOKUP(E62,'Vic colour ref'!$A$2:$A$5,'Vic colour ref'!$D$2:$D$5,"")</f>
        <v>00</v>
      </c>
      <c r="AM62" s="2" t="str">
        <f>_xlfn.XLOOKUP(F62,'Vic colour ref'!$A$2:$A$5,'Vic colour ref'!$D$2:$D$5,"")</f>
        <v>00</v>
      </c>
      <c r="AN62" s="2" t="str">
        <f>_xlfn.XLOOKUP(G62,'Vic colour ref'!$A$2:$A$5,'Vic colour ref'!$D$2:$D$5,"")</f>
        <v>00</v>
      </c>
      <c r="AO62" s="2" t="str">
        <f>_xlfn.XLOOKUP(H62,'Vic colour ref'!$A$2:$A$5,'Vic colour ref'!$D$2:$D$5,"")</f>
        <v>00</v>
      </c>
      <c r="AP62" s="2" t="str">
        <f>_xlfn.XLOOKUP(I62,'Vic colour ref'!$A$2:$A$5,'Vic colour ref'!$D$2:$D$5,"")</f>
        <v>00</v>
      </c>
      <c r="AQ62" s="2" t="str">
        <f>_xlfn.XLOOKUP(J62,'Vic colour ref'!$A$2:$A$5,'Vic colour ref'!$D$2:$D$5,"")</f>
        <v>00</v>
      </c>
      <c r="AR62" s="2" t="str">
        <f>_xlfn.XLOOKUP(K62,'Vic colour ref'!$A$2:$A$5,'Vic colour ref'!$D$2:$D$5,"")</f>
        <v>00</v>
      </c>
      <c r="AS62" s="2" t="str">
        <f>_xlfn.XLOOKUP(L62,'Vic colour ref'!$A$2:$A$5,'Vic colour ref'!$D$2:$D$5,"")</f>
        <v>00</v>
      </c>
      <c r="AT62" s="2" t="str">
        <f>_xlfn.XLOOKUP(M62,'Vic colour ref'!$A$2:$A$5,'Vic colour ref'!$D$2:$D$5,"")</f>
        <v>00</v>
      </c>
      <c r="AU62" s="2" t="str">
        <f>_xlfn.XLOOKUP(N62,'Vic colour ref'!$A$2:$A$5,'Vic colour ref'!$D$2:$D$5,"")</f>
        <v>00</v>
      </c>
      <c r="AV62" s="2" t="str">
        <f>_xlfn.XLOOKUP(O62,'Vic colour ref'!$A$2:$A$5,'Vic colour ref'!$D$2:$D$5,"")</f>
        <v>00</v>
      </c>
      <c r="AW62" s="2" t="str">
        <f>_xlfn.XLOOKUP(P62,'Vic colour ref'!$A$2:$A$5,'Vic colour ref'!$D$2:$D$5,"")</f>
        <v>00</v>
      </c>
      <c r="AX62" s="2" t="str">
        <f>_xlfn.XLOOKUP(Q62,'Vic colour ref'!$A$2:$A$5,'Vic colour ref'!$D$2:$D$5,"")</f>
        <v>00</v>
      </c>
      <c r="AY62" s="2" t="str">
        <f>_xlfn.XLOOKUP(R62,'Vic colour ref'!$A$2:$A$5,'Vic colour ref'!$D$2:$D$5,"")</f>
        <v>00</v>
      </c>
      <c r="AZ62" s="2" t="str">
        <f>_xlfn.XLOOKUP(S62,'Vic colour ref'!$A$2:$A$5,'Vic colour ref'!$D$2:$D$5,"")</f>
        <v>00</v>
      </c>
      <c r="BA62" s="2" t="str">
        <f>_xlfn.XLOOKUP(T62,'Vic colour ref'!$A$2:$A$5,'Vic colour ref'!$D$2:$D$5,"")</f>
        <v>00</v>
      </c>
      <c r="BB62" s="2" t="str">
        <f>_xlfn.XLOOKUP(U62,'Vic colour ref'!$A$2:$A$5,'Vic colour ref'!$D$2:$D$5,"")</f>
        <v>00</v>
      </c>
      <c r="BC62" s="2" t="str">
        <f>_xlfn.XLOOKUP(V62,'Vic colour ref'!$A$2:$A$5,'Vic colour ref'!$D$2:$D$5,"")</f>
        <v>00</v>
      </c>
      <c r="BD62" s="2" t="str">
        <f>_xlfn.XLOOKUP(W62,'Vic colour ref'!$A$2:$A$5,'Vic colour ref'!$D$2:$D$5,"")</f>
        <v>00</v>
      </c>
      <c r="BE62" s="2" t="str">
        <f>_xlfn.XLOOKUP(X62,'Vic colour ref'!$A$2:$A$5,'Vic colour ref'!$D$2:$D$5,"")</f>
        <v>00</v>
      </c>
      <c r="BF62" s="2" t="str">
        <f>_xlfn.XLOOKUP(Y62,'Vic colour ref'!$A$2:$A$5,'Vic colour ref'!$D$2:$D$5,"")</f>
        <v>00</v>
      </c>
      <c r="BG62" s="2" t="str">
        <f>_xlfn.XLOOKUP(Z62,'Vic colour ref'!$A$2:$A$5,'Vic colour ref'!$D$2:$D$5,"")</f>
        <v>00</v>
      </c>
      <c r="BH62" s="2" t="str">
        <f>_xlfn.XLOOKUP(AA62,'Vic colour ref'!$A$2:$A$5,'Vic colour ref'!$D$2:$D$5,"")</f>
        <v>00</v>
      </c>
      <c r="BI62" s="2" t="str">
        <f>_xlfn.XLOOKUP(AB62,'Vic colour ref'!$A$2:$A$5,'Vic colour ref'!$D$2:$D$5,"")</f>
        <v>00</v>
      </c>
      <c r="BJ62" s="2" t="str">
        <f>_xlfn.XLOOKUP(AC62,'Vic colour ref'!$A$2:$A$5,'Vic colour ref'!$D$2:$D$5,"")</f>
        <v>00</v>
      </c>
      <c r="BK62" s="2" t="str">
        <f>_xlfn.XLOOKUP(AD62,'Vic colour ref'!$A$2:$A$5,'Vic colour ref'!$D$2:$D$5,"")</f>
        <v>00</v>
      </c>
      <c r="BL62" s="2" t="str">
        <f>_xlfn.XLOOKUP(AE62,'Vic colour ref'!$A$2:$A$5,'Vic colour ref'!$D$2:$D$5,"")</f>
        <v>00</v>
      </c>
      <c r="BM62" s="2" t="str">
        <f>_xlfn.XLOOKUP(AF62,'Vic colour ref'!$A$2:$A$5,'Vic colour ref'!$D$2:$D$5,"")</f>
        <v>00</v>
      </c>
      <c r="BO62" s="18" t="str">
        <f t="shared" si="1"/>
        <v>00000000</v>
      </c>
      <c r="BP62" s="18" t="str">
        <f t="shared" si="2"/>
        <v>00000000</v>
      </c>
      <c r="BQ62" s="18" t="str">
        <f t="shared" si="3"/>
        <v>00000000</v>
      </c>
      <c r="BR62" s="18" t="str">
        <f t="shared" si="4"/>
        <v>00000000</v>
      </c>
      <c r="BS62" s="18" t="str">
        <f t="shared" si="5"/>
        <v>00000000</v>
      </c>
      <c r="BT62" s="18" t="str">
        <f t="shared" si="6"/>
        <v>00000000</v>
      </c>
      <c r="BU62" s="18" t="str">
        <f t="shared" si="7"/>
        <v>00000000</v>
      </c>
      <c r="BV62" s="18" t="str">
        <f t="shared" si="8"/>
        <v>00000000</v>
      </c>
      <c r="BX62" s="24" t="str">
        <f t="shared" si="9"/>
        <v>00</v>
      </c>
      <c r="BY62" s="24" t="str">
        <f t="shared" si="10"/>
        <v>00</v>
      </c>
      <c r="BZ62" s="24" t="str">
        <f t="shared" si="11"/>
        <v>00</v>
      </c>
      <c r="CA62" s="24" t="str">
        <f t="shared" si="11"/>
        <v>00</v>
      </c>
      <c r="CB62" s="24" t="str">
        <f t="shared" si="11"/>
        <v>00</v>
      </c>
      <c r="CC62" s="24" t="str">
        <f t="shared" si="11"/>
        <v>00</v>
      </c>
      <c r="CD62" s="24" t="str">
        <f t="shared" si="14"/>
        <v>00</v>
      </c>
      <c r="CE62" s="24" t="str">
        <f t="shared" si="12"/>
        <v>00</v>
      </c>
      <c r="CG62" s="2" t="str" cm="1">
        <f t="array" ref="CG62:CN62">TRANSPOSE(CC57:CC64)</f>
        <v>00</v>
      </c>
      <c r="CH62" s="2" t="str">
        <v>00</v>
      </c>
      <c r="CI62" s="2" t="str">
        <v>00</v>
      </c>
      <c r="CJ62" s="2" t="str">
        <v>00</v>
      </c>
      <c r="CK62" s="2" t="str">
        <v>00</v>
      </c>
      <c r="CL62" s="2" t="str">
        <v>00</v>
      </c>
      <c r="CM62" s="2" t="str">
        <v>00</v>
      </c>
      <c r="CN62" s="2" t="str">
        <v>00</v>
      </c>
      <c r="CP62" s="4" t="str">
        <f t="shared" si="13"/>
        <v>!byte $00, $00, $00, $00, $00, $00, $00, $00</v>
      </c>
    </row>
    <row r="63" spans="1:94" x14ac:dyDescent="0.3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H63" s="2" t="str">
        <f>_xlfn.XLOOKUP(A63,'Vic colour ref'!$A$2:$A$5,'Vic colour ref'!$D$2:$D$5,"")</f>
        <v>00</v>
      </c>
      <c r="AI63" s="2" t="str">
        <f>_xlfn.XLOOKUP(B63,'Vic colour ref'!$A$2:$A$5,'Vic colour ref'!$D$2:$D$5,"")</f>
        <v>00</v>
      </c>
      <c r="AJ63" s="2" t="str">
        <f>_xlfn.XLOOKUP(C63,'Vic colour ref'!$A$2:$A$5,'Vic colour ref'!$D$2:$D$5,"")</f>
        <v>00</v>
      </c>
      <c r="AK63" s="2" t="str">
        <f>_xlfn.XLOOKUP(D63,'Vic colour ref'!$A$2:$A$5,'Vic colour ref'!$D$2:$D$5,"")</f>
        <v>00</v>
      </c>
      <c r="AL63" s="2" t="str">
        <f>_xlfn.XLOOKUP(E63,'Vic colour ref'!$A$2:$A$5,'Vic colour ref'!$D$2:$D$5,"")</f>
        <v>00</v>
      </c>
      <c r="AM63" s="2" t="str">
        <f>_xlfn.XLOOKUP(F63,'Vic colour ref'!$A$2:$A$5,'Vic colour ref'!$D$2:$D$5,"")</f>
        <v>00</v>
      </c>
      <c r="AN63" s="2" t="str">
        <f>_xlfn.XLOOKUP(G63,'Vic colour ref'!$A$2:$A$5,'Vic colour ref'!$D$2:$D$5,"")</f>
        <v>00</v>
      </c>
      <c r="AO63" s="2" t="str">
        <f>_xlfn.XLOOKUP(H63,'Vic colour ref'!$A$2:$A$5,'Vic colour ref'!$D$2:$D$5,"")</f>
        <v>00</v>
      </c>
      <c r="AP63" s="2" t="str">
        <f>_xlfn.XLOOKUP(I63,'Vic colour ref'!$A$2:$A$5,'Vic colour ref'!$D$2:$D$5,"")</f>
        <v>00</v>
      </c>
      <c r="AQ63" s="2" t="str">
        <f>_xlfn.XLOOKUP(J63,'Vic colour ref'!$A$2:$A$5,'Vic colour ref'!$D$2:$D$5,"")</f>
        <v>00</v>
      </c>
      <c r="AR63" s="2" t="str">
        <f>_xlfn.XLOOKUP(K63,'Vic colour ref'!$A$2:$A$5,'Vic colour ref'!$D$2:$D$5,"")</f>
        <v>00</v>
      </c>
      <c r="AS63" s="2" t="str">
        <f>_xlfn.XLOOKUP(L63,'Vic colour ref'!$A$2:$A$5,'Vic colour ref'!$D$2:$D$5,"")</f>
        <v>00</v>
      </c>
      <c r="AT63" s="2" t="str">
        <f>_xlfn.XLOOKUP(M63,'Vic colour ref'!$A$2:$A$5,'Vic colour ref'!$D$2:$D$5,"")</f>
        <v>00</v>
      </c>
      <c r="AU63" s="2" t="str">
        <f>_xlfn.XLOOKUP(N63,'Vic colour ref'!$A$2:$A$5,'Vic colour ref'!$D$2:$D$5,"")</f>
        <v>00</v>
      </c>
      <c r="AV63" s="2" t="str">
        <f>_xlfn.XLOOKUP(O63,'Vic colour ref'!$A$2:$A$5,'Vic colour ref'!$D$2:$D$5,"")</f>
        <v>00</v>
      </c>
      <c r="AW63" s="2" t="str">
        <f>_xlfn.XLOOKUP(P63,'Vic colour ref'!$A$2:$A$5,'Vic colour ref'!$D$2:$D$5,"")</f>
        <v>00</v>
      </c>
      <c r="AX63" s="2" t="str">
        <f>_xlfn.XLOOKUP(Q63,'Vic colour ref'!$A$2:$A$5,'Vic colour ref'!$D$2:$D$5,"")</f>
        <v>00</v>
      </c>
      <c r="AY63" s="2" t="str">
        <f>_xlfn.XLOOKUP(R63,'Vic colour ref'!$A$2:$A$5,'Vic colour ref'!$D$2:$D$5,"")</f>
        <v>00</v>
      </c>
      <c r="AZ63" s="2" t="str">
        <f>_xlfn.XLOOKUP(S63,'Vic colour ref'!$A$2:$A$5,'Vic colour ref'!$D$2:$D$5,"")</f>
        <v>00</v>
      </c>
      <c r="BA63" s="2" t="str">
        <f>_xlfn.XLOOKUP(T63,'Vic colour ref'!$A$2:$A$5,'Vic colour ref'!$D$2:$D$5,"")</f>
        <v>00</v>
      </c>
      <c r="BB63" s="2" t="str">
        <f>_xlfn.XLOOKUP(U63,'Vic colour ref'!$A$2:$A$5,'Vic colour ref'!$D$2:$D$5,"")</f>
        <v>00</v>
      </c>
      <c r="BC63" s="2" t="str">
        <f>_xlfn.XLOOKUP(V63,'Vic colour ref'!$A$2:$A$5,'Vic colour ref'!$D$2:$D$5,"")</f>
        <v>00</v>
      </c>
      <c r="BD63" s="2" t="str">
        <f>_xlfn.XLOOKUP(W63,'Vic colour ref'!$A$2:$A$5,'Vic colour ref'!$D$2:$D$5,"")</f>
        <v>00</v>
      </c>
      <c r="BE63" s="2" t="str">
        <f>_xlfn.XLOOKUP(X63,'Vic colour ref'!$A$2:$A$5,'Vic colour ref'!$D$2:$D$5,"")</f>
        <v>00</v>
      </c>
      <c r="BF63" s="2" t="str">
        <f>_xlfn.XLOOKUP(Y63,'Vic colour ref'!$A$2:$A$5,'Vic colour ref'!$D$2:$D$5,"")</f>
        <v>00</v>
      </c>
      <c r="BG63" s="2" t="str">
        <f>_xlfn.XLOOKUP(Z63,'Vic colour ref'!$A$2:$A$5,'Vic colour ref'!$D$2:$D$5,"")</f>
        <v>00</v>
      </c>
      <c r="BH63" s="2" t="str">
        <f>_xlfn.XLOOKUP(AA63,'Vic colour ref'!$A$2:$A$5,'Vic colour ref'!$D$2:$D$5,"")</f>
        <v>00</v>
      </c>
      <c r="BI63" s="2" t="str">
        <f>_xlfn.XLOOKUP(AB63,'Vic colour ref'!$A$2:$A$5,'Vic colour ref'!$D$2:$D$5,"")</f>
        <v>00</v>
      </c>
      <c r="BJ63" s="2" t="str">
        <f>_xlfn.XLOOKUP(AC63,'Vic colour ref'!$A$2:$A$5,'Vic colour ref'!$D$2:$D$5,"")</f>
        <v>00</v>
      </c>
      <c r="BK63" s="2" t="str">
        <f>_xlfn.XLOOKUP(AD63,'Vic colour ref'!$A$2:$A$5,'Vic colour ref'!$D$2:$D$5,"")</f>
        <v>00</v>
      </c>
      <c r="BL63" s="2" t="str">
        <f>_xlfn.XLOOKUP(AE63,'Vic colour ref'!$A$2:$A$5,'Vic colour ref'!$D$2:$D$5,"")</f>
        <v>00</v>
      </c>
      <c r="BM63" s="2" t="str">
        <f>_xlfn.XLOOKUP(AF63,'Vic colour ref'!$A$2:$A$5,'Vic colour ref'!$D$2:$D$5,"")</f>
        <v>00</v>
      </c>
      <c r="BO63" s="18" t="str">
        <f t="shared" si="1"/>
        <v>00000000</v>
      </c>
      <c r="BP63" s="18" t="str">
        <f t="shared" si="2"/>
        <v>00000000</v>
      </c>
      <c r="BQ63" s="18" t="str">
        <f t="shared" si="3"/>
        <v>00000000</v>
      </c>
      <c r="BR63" s="18" t="str">
        <f t="shared" si="4"/>
        <v>00000000</v>
      </c>
      <c r="BS63" s="18" t="str">
        <f t="shared" si="5"/>
        <v>00000000</v>
      </c>
      <c r="BT63" s="18" t="str">
        <f t="shared" si="6"/>
        <v>00000000</v>
      </c>
      <c r="BU63" s="18" t="str">
        <f t="shared" si="7"/>
        <v>00000000</v>
      </c>
      <c r="BV63" s="18" t="str">
        <f t="shared" si="8"/>
        <v>00000000</v>
      </c>
      <c r="BX63" s="24" t="str">
        <f t="shared" si="9"/>
        <v>00</v>
      </c>
      <c r="BY63" s="24" t="str">
        <f t="shared" si="10"/>
        <v>00</v>
      </c>
      <c r="BZ63" s="24" t="str">
        <f t="shared" si="11"/>
        <v>00</v>
      </c>
      <c r="CA63" s="24" t="str">
        <f t="shared" si="11"/>
        <v>00</v>
      </c>
      <c r="CB63" s="24" t="str">
        <f t="shared" si="11"/>
        <v>00</v>
      </c>
      <c r="CC63" s="24" t="str">
        <f t="shared" si="11"/>
        <v>00</v>
      </c>
      <c r="CD63" s="24" t="str">
        <f t="shared" si="14"/>
        <v>00</v>
      </c>
      <c r="CE63" s="24" t="str">
        <f t="shared" si="12"/>
        <v>00</v>
      </c>
      <c r="CG63" s="2" t="str" cm="1">
        <f t="array" ref="CG63:CN63">TRANSPOSE(CD57:CD64)</f>
        <v>00</v>
      </c>
      <c r="CH63" s="2" t="str">
        <v>00</v>
      </c>
      <c r="CI63" s="2" t="str">
        <v>00</v>
      </c>
      <c r="CJ63" s="2" t="str">
        <v>00</v>
      </c>
      <c r="CK63" s="2" t="str">
        <v>00</v>
      </c>
      <c r="CL63" s="2" t="str">
        <v>00</v>
      </c>
      <c r="CM63" s="2" t="str">
        <v>00</v>
      </c>
      <c r="CN63" s="2" t="str">
        <v>00</v>
      </c>
      <c r="CP63" s="4" t="str">
        <f t="shared" si="13"/>
        <v>!byte $00, $00, $00, $00, $00, $00, $00, $00</v>
      </c>
    </row>
    <row r="64" spans="1:94" x14ac:dyDescent="0.3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H64" s="2" t="str">
        <f>_xlfn.XLOOKUP(A64,'Vic colour ref'!$A$2:$A$5,'Vic colour ref'!$D$2:$D$5,"")</f>
        <v>00</v>
      </c>
      <c r="AI64" s="2" t="str">
        <f>_xlfn.XLOOKUP(B64,'Vic colour ref'!$A$2:$A$5,'Vic colour ref'!$D$2:$D$5,"")</f>
        <v>00</v>
      </c>
      <c r="AJ64" s="2" t="str">
        <f>_xlfn.XLOOKUP(C64,'Vic colour ref'!$A$2:$A$5,'Vic colour ref'!$D$2:$D$5,"")</f>
        <v>00</v>
      </c>
      <c r="AK64" s="2" t="str">
        <f>_xlfn.XLOOKUP(D64,'Vic colour ref'!$A$2:$A$5,'Vic colour ref'!$D$2:$D$5,"")</f>
        <v>00</v>
      </c>
      <c r="AL64" s="2" t="str">
        <f>_xlfn.XLOOKUP(E64,'Vic colour ref'!$A$2:$A$5,'Vic colour ref'!$D$2:$D$5,"")</f>
        <v>00</v>
      </c>
      <c r="AM64" s="2" t="str">
        <f>_xlfn.XLOOKUP(F64,'Vic colour ref'!$A$2:$A$5,'Vic colour ref'!$D$2:$D$5,"")</f>
        <v>00</v>
      </c>
      <c r="AN64" s="2" t="str">
        <f>_xlfn.XLOOKUP(G64,'Vic colour ref'!$A$2:$A$5,'Vic colour ref'!$D$2:$D$5,"")</f>
        <v>00</v>
      </c>
      <c r="AO64" s="2" t="str">
        <f>_xlfn.XLOOKUP(H64,'Vic colour ref'!$A$2:$A$5,'Vic colour ref'!$D$2:$D$5,"")</f>
        <v>00</v>
      </c>
      <c r="AP64" s="2" t="str">
        <f>_xlfn.XLOOKUP(I64,'Vic colour ref'!$A$2:$A$5,'Vic colour ref'!$D$2:$D$5,"")</f>
        <v>00</v>
      </c>
      <c r="AQ64" s="2" t="str">
        <f>_xlfn.XLOOKUP(J64,'Vic colour ref'!$A$2:$A$5,'Vic colour ref'!$D$2:$D$5,"")</f>
        <v>00</v>
      </c>
      <c r="AR64" s="2" t="str">
        <f>_xlfn.XLOOKUP(K64,'Vic colour ref'!$A$2:$A$5,'Vic colour ref'!$D$2:$D$5,"")</f>
        <v>00</v>
      </c>
      <c r="AS64" s="2" t="str">
        <f>_xlfn.XLOOKUP(L64,'Vic colour ref'!$A$2:$A$5,'Vic colour ref'!$D$2:$D$5,"")</f>
        <v>00</v>
      </c>
      <c r="AT64" s="2" t="str">
        <f>_xlfn.XLOOKUP(M64,'Vic colour ref'!$A$2:$A$5,'Vic colour ref'!$D$2:$D$5,"")</f>
        <v>00</v>
      </c>
      <c r="AU64" s="2" t="str">
        <f>_xlfn.XLOOKUP(N64,'Vic colour ref'!$A$2:$A$5,'Vic colour ref'!$D$2:$D$5,"")</f>
        <v>00</v>
      </c>
      <c r="AV64" s="2" t="str">
        <f>_xlfn.XLOOKUP(O64,'Vic colour ref'!$A$2:$A$5,'Vic colour ref'!$D$2:$D$5,"")</f>
        <v>00</v>
      </c>
      <c r="AW64" s="2" t="str">
        <f>_xlfn.XLOOKUP(P64,'Vic colour ref'!$A$2:$A$5,'Vic colour ref'!$D$2:$D$5,"")</f>
        <v>00</v>
      </c>
      <c r="AX64" s="2" t="str">
        <f>_xlfn.XLOOKUP(Q64,'Vic colour ref'!$A$2:$A$5,'Vic colour ref'!$D$2:$D$5,"")</f>
        <v>00</v>
      </c>
      <c r="AY64" s="2" t="str">
        <f>_xlfn.XLOOKUP(R64,'Vic colour ref'!$A$2:$A$5,'Vic colour ref'!$D$2:$D$5,"")</f>
        <v>00</v>
      </c>
      <c r="AZ64" s="2" t="str">
        <f>_xlfn.XLOOKUP(S64,'Vic colour ref'!$A$2:$A$5,'Vic colour ref'!$D$2:$D$5,"")</f>
        <v>00</v>
      </c>
      <c r="BA64" s="2" t="str">
        <f>_xlfn.XLOOKUP(T64,'Vic colour ref'!$A$2:$A$5,'Vic colour ref'!$D$2:$D$5,"")</f>
        <v>00</v>
      </c>
      <c r="BB64" s="2" t="str">
        <f>_xlfn.XLOOKUP(U64,'Vic colour ref'!$A$2:$A$5,'Vic colour ref'!$D$2:$D$5,"")</f>
        <v>00</v>
      </c>
      <c r="BC64" s="2" t="str">
        <f>_xlfn.XLOOKUP(V64,'Vic colour ref'!$A$2:$A$5,'Vic colour ref'!$D$2:$D$5,"")</f>
        <v>00</v>
      </c>
      <c r="BD64" s="2" t="str">
        <f>_xlfn.XLOOKUP(W64,'Vic colour ref'!$A$2:$A$5,'Vic colour ref'!$D$2:$D$5,"")</f>
        <v>00</v>
      </c>
      <c r="BE64" s="2" t="str">
        <f>_xlfn.XLOOKUP(X64,'Vic colour ref'!$A$2:$A$5,'Vic colour ref'!$D$2:$D$5,"")</f>
        <v>00</v>
      </c>
      <c r="BF64" s="2" t="str">
        <f>_xlfn.XLOOKUP(Y64,'Vic colour ref'!$A$2:$A$5,'Vic colour ref'!$D$2:$D$5,"")</f>
        <v>00</v>
      </c>
      <c r="BG64" s="2" t="str">
        <f>_xlfn.XLOOKUP(Z64,'Vic colour ref'!$A$2:$A$5,'Vic colour ref'!$D$2:$D$5,"")</f>
        <v>00</v>
      </c>
      <c r="BH64" s="2" t="str">
        <f>_xlfn.XLOOKUP(AA64,'Vic colour ref'!$A$2:$A$5,'Vic colour ref'!$D$2:$D$5,"")</f>
        <v>00</v>
      </c>
      <c r="BI64" s="2" t="str">
        <f>_xlfn.XLOOKUP(AB64,'Vic colour ref'!$A$2:$A$5,'Vic colour ref'!$D$2:$D$5,"")</f>
        <v>00</v>
      </c>
      <c r="BJ64" s="2" t="str">
        <f>_xlfn.XLOOKUP(AC64,'Vic colour ref'!$A$2:$A$5,'Vic colour ref'!$D$2:$D$5,"")</f>
        <v>00</v>
      </c>
      <c r="BK64" s="2" t="str">
        <f>_xlfn.XLOOKUP(AD64,'Vic colour ref'!$A$2:$A$5,'Vic colour ref'!$D$2:$D$5,"")</f>
        <v>00</v>
      </c>
      <c r="BL64" s="2" t="str">
        <f>_xlfn.XLOOKUP(AE64,'Vic colour ref'!$A$2:$A$5,'Vic colour ref'!$D$2:$D$5,"")</f>
        <v>00</v>
      </c>
      <c r="BM64" s="2" t="str">
        <f>_xlfn.XLOOKUP(AF64,'Vic colour ref'!$A$2:$A$5,'Vic colour ref'!$D$2:$D$5,"")</f>
        <v>00</v>
      </c>
      <c r="BO64" s="19" t="str">
        <f t="shared" si="1"/>
        <v>00000000</v>
      </c>
      <c r="BP64" s="19" t="str">
        <f t="shared" si="2"/>
        <v>00000000</v>
      </c>
      <c r="BQ64" s="19" t="str">
        <f t="shared" si="3"/>
        <v>00000000</v>
      </c>
      <c r="BR64" s="19" t="str">
        <f t="shared" si="4"/>
        <v>00000000</v>
      </c>
      <c r="BS64" s="19" t="str">
        <f t="shared" si="5"/>
        <v>00000000</v>
      </c>
      <c r="BT64" s="19" t="str">
        <f t="shared" si="6"/>
        <v>00000000</v>
      </c>
      <c r="BU64" s="19" t="str">
        <f t="shared" si="7"/>
        <v>00000000</v>
      </c>
      <c r="BV64" s="19" t="str">
        <f t="shared" si="8"/>
        <v>00000000</v>
      </c>
      <c r="BX64" s="25" t="str">
        <f t="shared" si="9"/>
        <v>00</v>
      </c>
      <c r="BY64" s="25" t="str">
        <f t="shared" si="10"/>
        <v>00</v>
      </c>
      <c r="BZ64" s="25" t="str">
        <f t="shared" si="11"/>
        <v>00</v>
      </c>
      <c r="CA64" s="25" t="str">
        <f t="shared" si="11"/>
        <v>00</v>
      </c>
      <c r="CB64" s="25" t="str">
        <f t="shared" si="11"/>
        <v>00</v>
      </c>
      <c r="CC64" s="25" t="str">
        <f t="shared" si="11"/>
        <v>00</v>
      </c>
      <c r="CD64" s="25" t="str">
        <f t="shared" si="14"/>
        <v>00</v>
      </c>
      <c r="CE64" s="25" t="str">
        <f t="shared" si="12"/>
        <v>00</v>
      </c>
      <c r="CG64" s="2" t="str" cm="1">
        <f t="array" ref="CG64:CN64">TRANSPOSE(CE57:CE64)</f>
        <v>00</v>
      </c>
      <c r="CH64" s="2" t="str">
        <v>00</v>
      </c>
      <c r="CI64" s="2" t="str">
        <v>00</v>
      </c>
      <c r="CJ64" s="2" t="str">
        <v>00</v>
      </c>
      <c r="CK64" s="2" t="str">
        <v>00</v>
      </c>
      <c r="CL64" s="2" t="str">
        <v>00</v>
      </c>
      <c r="CM64" s="2" t="str">
        <v>00</v>
      </c>
      <c r="CN64" s="2" t="str">
        <v>00</v>
      </c>
      <c r="CP64" s="4" t="str">
        <f t="shared" si="13"/>
        <v>!byte $00, $00, $00, $00, $00, $00, $00, $00</v>
      </c>
    </row>
  </sheetData>
  <conditionalFormatting sqref="A1:AF64">
    <cfRule type="cellIs" dxfId="3" priority="5" operator="equal">
      <formula>0</formula>
    </cfRule>
    <cfRule type="cellIs" dxfId="2" priority="7" operator="equal">
      <formula>2</formula>
    </cfRule>
  </conditionalFormatting>
  <conditionalFormatting sqref="A1:AF1048576">
    <cfRule type="cellIs" dxfId="1" priority="6" operator="equal">
      <formula>1</formula>
    </cfRule>
  </conditionalFormatting>
  <conditionalFormatting sqref="CP1:CP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53EB-0385-4D73-BD0D-22A52DFF1BED}">
  <dimension ref="A1:E129"/>
  <sheetViews>
    <sheetView workbookViewId="0"/>
  </sheetViews>
  <sheetFormatPr defaultRowHeight="14.4" x14ac:dyDescent="0.3"/>
  <cols>
    <col min="1" max="1" width="6.88671875" bestFit="1" customWidth="1"/>
    <col min="2" max="2" width="10.77734375" bestFit="1" customWidth="1"/>
    <col min="3" max="3" width="2.77734375" customWidth="1"/>
  </cols>
  <sheetData>
    <row r="1" spans="1:5" x14ac:dyDescent="0.3">
      <c r="A1" t="s">
        <v>149</v>
      </c>
      <c r="B1" t="s">
        <v>150</v>
      </c>
      <c r="D1" t="s">
        <v>151</v>
      </c>
      <c r="E1" t="s">
        <v>152</v>
      </c>
    </row>
    <row r="2" spans="1:5" x14ac:dyDescent="0.3">
      <c r="A2" t="s">
        <v>153</v>
      </c>
      <c r="B2">
        <f>_xlfn.XLOOKUP(A2,'Notes Ref'!A:A,'Notes Ref'!E:E,"")</f>
        <v>156</v>
      </c>
      <c r="D2" t="s">
        <v>154</v>
      </c>
      <c r="E2">
        <f>_xlfn.XLOOKUP(D2,'Notes Ref'!A:A,'Notes Ref'!E:E,"")</f>
        <v>156</v>
      </c>
    </row>
    <row r="3" spans="1:5" x14ac:dyDescent="0.3">
      <c r="A3" t="s">
        <v>155</v>
      </c>
      <c r="B3">
        <f>_xlfn.XLOOKUP(A3,'Notes Ref'!A:A,'Notes Ref'!E:E,"")</f>
        <v>176</v>
      </c>
      <c r="D3" t="s">
        <v>156</v>
      </c>
      <c r="E3">
        <f>_xlfn.XLOOKUP(D3,'Notes Ref'!A:A,'Notes Ref'!E:E,"")</f>
        <v>189</v>
      </c>
    </row>
    <row r="4" spans="1:5" x14ac:dyDescent="0.3">
      <c r="A4" t="s">
        <v>157</v>
      </c>
      <c r="B4">
        <f>_xlfn.XLOOKUP(A4,'Notes Ref'!A:A,'Notes Ref'!E:E,"")</f>
        <v>189</v>
      </c>
      <c r="D4" t="s">
        <v>153</v>
      </c>
      <c r="E4">
        <f>_xlfn.XLOOKUP(D4,'Notes Ref'!A:A,'Notes Ref'!E:E,"")</f>
        <v>156</v>
      </c>
    </row>
    <row r="5" spans="1:5" x14ac:dyDescent="0.3">
      <c r="A5" t="s">
        <v>158</v>
      </c>
      <c r="B5">
        <f>_xlfn.XLOOKUP(A5,'Notes Ref'!A:A,'Notes Ref'!E:E,"")</f>
        <v>205</v>
      </c>
      <c r="D5" t="s">
        <v>159</v>
      </c>
      <c r="E5">
        <f>_xlfn.XLOOKUP(D5,'Notes Ref'!A:A,'Notes Ref'!E:E,"")</f>
        <v>172</v>
      </c>
    </row>
    <row r="6" spans="1:5" x14ac:dyDescent="0.3">
      <c r="A6" t="s">
        <v>141</v>
      </c>
      <c r="B6">
        <f>_xlfn.XLOOKUP(A6,'Notes Ref'!A:A,'Notes Ref'!E:E,"")</f>
        <v>167</v>
      </c>
      <c r="D6" t="s">
        <v>160</v>
      </c>
      <c r="E6">
        <f>_xlfn.XLOOKUP(D6,'Notes Ref'!A:A,'Notes Ref'!E:E,"")</f>
        <v>144</v>
      </c>
    </row>
    <row r="7" spans="1:5" x14ac:dyDescent="0.3">
      <c r="A7" t="s">
        <v>161</v>
      </c>
      <c r="B7">
        <f>_xlfn.XLOOKUP(A7,'Notes Ref'!A:A,'Notes Ref'!E:E,"")</f>
        <v>181</v>
      </c>
      <c r="D7" t="s">
        <v>162</v>
      </c>
      <c r="E7">
        <f>_xlfn.XLOOKUP(D7,'Notes Ref'!A:A,'Notes Ref'!E:E,"")</f>
        <v>137</v>
      </c>
    </row>
    <row r="8" spans="1:5" x14ac:dyDescent="0.3">
      <c r="A8" t="s">
        <v>157</v>
      </c>
      <c r="B8">
        <f>_xlfn.XLOOKUP(A8,'Notes Ref'!A:A,'Notes Ref'!E:E,"")</f>
        <v>189</v>
      </c>
      <c r="D8" t="s">
        <v>163</v>
      </c>
      <c r="E8">
        <f>_xlfn.XLOOKUP(D8,'Notes Ref'!A:A,'Notes Ref'!E:E,"")</f>
        <v>144</v>
      </c>
    </row>
    <row r="9" spans="1:5" x14ac:dyDescent="0.3">
      <c r="A9" t="s">
        <v>164</v>
      </c>
      <c r="B9">
        <f>_xlfn.XLOOKUP(A9,'Notes Ref'!A:A,'Notes Ref'!E:E,"")</f>
        <v>211</v>
      </c>
      <c r="D9" t="s">
        <v>161</v>
      </c>
      <c r="E9">
        <f>_xlfn.XLOOKUP(D9,'Notes Ref'!A:A,'Notes Ref'!E:E,"")</f>
        <v>181</v>
      </c>
    </row>
    <row r="10" spans="1:5" x14ac:dyDescent="0.3">
      <c r="A10" t="s">
        <v>165</v>
      </c>
      <c r="B10">
        <f>_xlfn.XLOOKUP(A10,'Notes Ref'!A:A,'Notes Ref'!E:E,"")</f>
        <v>193</v>
      </c>
      <c r="D10" t="s">
        <v>166</v>
      </c>
      <c r="E10">
        <f>_xlfn.XLOOKUP(D10,'Notes Ref'!A:A,'Notes Ref'!E:E,"")</f>
        <v>130</v>
      </c>
    </row>
    <row r="11" spans="1:5" x14ac:dyDescent="0.3">
      <c r="A11" t="s">
        <v>167</v>
      </c>
      <c r="B11">
        <f>_xlfn.XLOOKUP(A11,'Notes Ref'!A:A,'Notes Ref'!E:E,"")</f>
        <v>199</v>
      </c>
      <c r="D11" t="s">
        <v>166</v>
      </c>
      <c r="E11">
        <f>_xlfn.XLOOKUP(D11,'Notes Ref'!A:A,'Notes Ref'!E:E,"")</f>
        <v>130</v>
      </c>
    </row>
    <row r="12" spans="1:5" x14ac:dyDescent="0.3">
      <c r="A12" t="s">
        <v>158</v>
      </c>
      <c r="B12">
        <f>_xlfn.XLOOKUP(A12,'Notes Ref'!A:A,'Notes Ref'!E:E,"")</f>
        <v>205</v>
      </c>
      <c r="D12" t="s">
        <v>168</v>
      </c>
      <c r="E12">
        <f>_xlfn.XLOOKUP(D12,'Notes Ref'!A:A,'Notes Ref'!E:E,"")</f>
        <v>130</v>
      </c>
    </row>
    <row r="13" spans="1:5" x14ac:dyDescent="0.3">
      <c r="A13" t="s">
        <v>169</v>
      </c>
      <c r="B13">
        <f>_xlfn.XLOOKUP(A13,'Notes Ref'!A:A,'Notes Ref'!E:E,"")</f>
        <v>213</v>
      </c>
      <c r="D13" t="s">
        <v>166</v>
      </c>
      <c r="E13">
        <f>_xlfn.XLOOKUP(D13,'Notes Ref'!A:A,'Notes Ref'!E:E,"")</f>
        <v>130</v>
      </c>
    </row>
    <row r="14" spans="1:5" x14ac:dyDescent="0.3">
      <c r="A14" t="s">
        <v>167</v>
      </c>
      <c r="B14">
        <f>_xlfn.XLOOKUP(A14,'Notes Ref'!A:A,'Notes Ref'!E:E,"")</f>
        <v>199</v>
      </c>
      <c r="D14" t="s">
        <v>163</v>
      </c>
      <c r="E14">
        <f>_xlfn.XLOOKUP(D14,'Notes Ref'!A:A,'Notes Ref'!E:E,"")</f>
        <v>144</v>
      </c>
    </row>
    <row r="15" spans="1:5" x14ac:dyDescent="0.3">
      <c r="A15" t="s">
        <v>170</v>
      </c>
      <c r="B15">
        <f>_xlfn.XLOOKUP(A15,'Notes Ref'!A:A,'Notes Ref'!E:E,"")</f>
        <v>226</v>
      </c>
      <c r="D15" t="s">
        <v>171</v>
      </c>
      <c r="E15">
        <f>_xlfn.XLOOKUP(D15,'Notes Ref'!A:A,'Notes Ref'!E:E,"")</f>
        <v>218</v>
      </c>
    </row>
    <row r="16" spans="1:5" x14ac:dyDescent="0.3">
      <c r="A16" t="s">
        <v>172</v>
      </c>
      <c r="B16">
        <f>_xlfn.XLOOKUP(A16,'Notes Ref'!A:A,'Notes Ref'!E:E,"")</f>
        <v>202</v>
      </c>
      <c r="D16" t="s">
        <v>173</v>
      </c>
      <c r="E16">
        <f>_xlfn.XLOOKUP(D16,'Notes Ref'!A:A,'Notes Ref'!E:E,"")</f>
        <v>150</v>
      </c>
    </row>
    <row r="17" spans="1:5" x14ac:dyDescent="0.3">
      <c r="A17" t="s">
        <v>174</v>
      </c>
      <c r="B17">
        <f>_xlfn.XLOOKUP(A17,'Notes Ref'!A:A,'Notes Ref'!E:E,"")</f>
        <v>222</v>
      </c>
      <c r="D17" t="s">
        <v>169</v>
      </c>
      <c r="E17">
        <f>_xlfn.XLOOKUP(D17,'Notes Ref'!A:A,'Notes Ref'!E:E,"")</f>
        <v>213</v>
      </c>
    </row>
    <row r="18" spans="1:5" x14ac:dyDescent="0.3">
      <c r="A18" t="s">
        <v>153</v>
      </c>
      <c r="B18">
        <f>_xlfn.XLOOKUP(A18,'Notes Ref'!A:A,'Notes Ref'!E:E,"")</f>
        <v>156</v>
      </c>
      <c r="D18" t="s">
        <v>154</v>
      </c>
      <c r="E18">
        <f>_xlfn.XLOOKUP(D18,'Notes Ref'!A:A,'Notes Ref'!E:E,"")</f>
        <v>156</v>
      </c>
    </row>
    <row r="19" spans="1:5" x14ac:dyDescent="0.3">
      <c r="A19" t="s">
        <v>158</v>
      </c>
      <c r="B19">
        <f>_xlfn.XLOOKUP(A19,'Notes Ref'!A:A,'Notes Ref'!E:E,"")</f>
        <v>205</v>
      </c>
      <c r="D19" t="s">
        <v>154</v>
      </c>
      <c r="E19">
        <f>_xlfn.XLOOKUP(D19,'Notes Ref'!A:A,'Notes Ref'!E:E,"")</f>
        <v>156</v>
      </c>
    </row>
    <row r="20" spans="1:5" x14ac:dyDescent="0.3">
      <c r="A20" t="s">
        <v>156</v>
      </c>
      <c r="B20">
        <f>_xlfn.XLOOKUP(A20,'Notes Ref'!A:A,'Notes Ref'!E:E,"")</f>
        <v>189</v>
      </c>
      <c r="D20" t="s">
        <v>154</v>
      </c>
      <c r="E20">
        <f>_xlfn.XLOOKUP(D20,'Notes Ref'!A:A,'Notes Ref'!E:E,"")</f>
        <v>156</v>
      </c>
    </row>
    <row r="21" spans="1:5" x14ac:dyDescent="0.3">
      <c r="A21" t="s">
        <v>141</v>
      </c>
      <c r="B21">
        <f>_xlfn.XLOOKUP(A21,'Notes Ref'!A:A,'Notes Ref'!E:E,"")</f>
        <v>167</v>
      </c>
      <c r="D21" t="s">
        <v>154</v>
      </c>
      <c r="E21">
        <f>_xlfn.XLOOKUP(D21,'Notes Ref'!A:A,'Notes Ref'!E:E,"")</f>
        <v>156</v>
      </c>
    </row>
    <row r="22" spans="1:5" x14ac:dyDescent="0.3">
      <c r="A22" t="s">
        <v>163</v>
      </c>
      <c r="B22">
        <f>_xlfn.XLOOKUP(A22,'Notes Ref'!A:A,'Notes Ref'!E:E,"")</f>
        <v>144</v>
      </c>
      <c r="D22" t="s">
        <v>160</v>
      </c>
      <c r="E22">
        <f>_xlfn.XLOOKUP(D22,'Notes Ref'!A:A,'Notes Ref'!E:E,"")</f>
        <v>144</v>
      </c>
    </row>
    <row r="23" spans="1:5" x14ac:dyDescent="0.3">
      <c r="A23" t="s">
        <v>164</v>
      </c>
      <c r="B23">
        <f>_xlfn.XLOOKUP(A23,'Notes Ref'!A:A,'Notes Ref'!E:E,"")</f>
        <v>211</v>
      </c>
      <c r="D23" t="s">
        <v>160</v>
      </c>
      <c r="E23">
        <f>_xlfn.XLOOKUP(D23,'Notes Ref'!A:A,'Notes Ref'!E:E,"")</f>
        <v>144</v>
      </c>
    </row>
    <row r="24" spans="1:5" x14ac:dyDescent="0.3">
      <c r="A24" t="s">
        <v>141</v>
      </c>
      <c r="B24">
        <f>_xlfn.XLOOKUP(A24,'Notes Ref'!A:A,'Notes Ref'!E:E,"")</f>
        <v>167</v>
      </c>
      <c r="D24" t="s">
        <v>160</v>
      </c>
      <c r="E24">
        <f>_xlfn.XLOOKUP(D24,'Notes Ref'!A:A,'Notes Ref'!E:E,"")</f>
        <v>144</v>
      </c>
    </row>
    <row r="25" spans="1:5" x14ac:dyDescent="0.3">
      <c r="A25" t="s">
        <v>163</v>
      </c>
      <c r="B25">
        <f>_xlfn.XLOOKUP(A25,'Notes Ref'!A:A,'Notes Ref'!E:E,"")</f>
        <v>144</v>
      </c>
      <c r="D25" t="s">
        <v>160</v>
      </c>
      <c r="E25">
        <f>_xlfn.XLOOKUP(D25,'Notes Ref'!A:A,'Notes Ref'!E:E,"")</f>
        <v>144</v>
      </c>
    </row>
    <row r="26" spans="1:5" x14ac:dyDescent="0.3">
      <c r="A26" t="s">
        <v>153</v>
      </c>
      <c r="B26">
        <f>_xlfn.XLOOKUP(A26,'Notes Ref'!A:A,'Notes Ref'!E:E,"")</f>
        <v>156</v>
      </c>
      <c r="D26" t="s">
        <v>154</v>
      </c>
      <c r="E26">
        <f>_xlfn.XLOOKUP(D26,'Notes Ref'!A:A,'Notes Ref'!E:E,"")</f>
        <v>156</v>
      </c>
    </row>
    <row r="27" spans="1:5" x14ac:dyDescent="0.3">
      <c r="A27" t="s">
        <v>158</v>
      </c>
      <c r="B27">
        <f>_xlfn.XLOOKUP(A27,'Notes Ref'!A:A,'Notes Ref'!E:E,"")</f>
        <v>205</v>
      </c>
      <c r="D27" t="s">
        <v>154</v>
      </c>
      <c r="E27">
        <f>_xlfn.XLOOKUP(D27,'Notes Ref'!A:A,'Notes Ref'!E:E,"")</f>
        <v>156</v>
      </c>
    </row>
    <row r="28" spans="1:5" x14ac:dyDescent="0.3">
      <c r="A28" t="s">
        <v>156</v>
      </c>
      <c r="B28">
        <f>_xlfn.XLOOKUP(A28,'Notes Ref'!A:A,'Notes Ref'!E:E,"")</f>
        <v>189</v>
      </c>
      <c r="D28" t="s">
        <v>154</v>
      </c>
      <c r="E28">
        <f>_xlfn.XLOOKUP(D28,'Notes Ref'!A:A,'Notes Ref'!E:E,"")</f>
        <v>156</v>
      </c>
    </row>
    <row r="29" spans="1:5" x14ac:dyDescent="0.3">
      <c r="A29" t="s">
        <v>141</v>
      </c>
      <c r="B29">
        <f>_xlfn.XLOOKUP(A29,'Notes Ref'!A:A,'Notes Ref'!E:E,"")</f>
        <v>167</v>
      </c>
      <c r="D29" t="s">
        <v>154</v>
      </c>
      <c r="E29">
        <f>_xlfn.XLOOKUP(D29,'Notes Ref'!A:A,'Notes Ref'!E:E,"")</f>
        <v>156</v>
      </c>
    </row>
    <row r="30" spans="1:5" x14ac:dyDescent="0.3">
      <c r="A30" t="s">
        <v>165</v>
      </c>
      <c r="B30">
        <f>_xlfn.XLOOKUP(A30,'Notes Ref'!A:A,'Notes Ref'!E:E,"")</f>
        <v>193</v>
      </c>
      <c r="D30" t="s">
        <v>168</v>
      </c>
      <c r="E30">
        <f>_xlfn.XLOOKUP(D30,'Notes Ref'!A:A,'Notes Ref'!E:E,"")</f>
        <v>130</v>
      </c>
    </row>
    <row r="31" spans="1:5" x14ac:dyDescent="0.3">
      <c r="A31" t="s">
        <v>175</v>
      </c>
      <c r="B31">
        <f>_xlfn.XLOOKUP(A31,'Notes Ref'!A:A,'Notes Ref'!E:E,"")</f>
        <v>230</v>
      </c>
      <c r="D31" t="s">
        <v>168</v>
      </c>
      <c r="E31">
        <f>_xlfn.XLOOKUP(D31,'Notes Ref'!A:A,'Notes Ref'!E:E,"")</f>
        <v>130</v>
      </c>
    </row>
    <row r="32" spans="1:5" x14ac:dyDescent="0.3">
      <c r="A32" t="s">
        <v>158</v>
      </c>
      <c r="B32">
        <f>_xlfn.XLOOKUP(A32,'Notes Ref'!A:A,'Notes Ref'!E:E,"")</f>
        <v>205</v>
      </c>
      <c r="D32" t="s">
        <v>168</v>
      </c>
      <c r="E32">
        <f>_xlfn.XLOOKUP(D32,'Notes Ref'!A:A,'Notes Ref'!E:E,"")</f>
        <v>130</v>
      </c>
    </row>
    <row r="33" spans="1:5" x14ac:dyDescent="0.3">
      <c r="A33" t="s">
        <v>165</v>
      </c>
      <c r="B33">
        <f>_xlfn.XLOOKUP(A33,'Notes Ref'!A:A,'Notes Ref'!E:E,"")</f>
        <v>193</v>
      </c>
      <c r="D33" t="s">
        <v>168</v>
      </c>
      <c r="E33">
        <f>_xlfn.XLOOKUP(D33,'Notes Ref'!A:A,'Notes Ref'!E:E,"")</f>
        <v>130</v>
      </c>
    </row>
    <row r="34" spans="1:5" x14ac:dyDescent="0.3">
      <c r="A34" t="s">
        <v>163</v>
      </c>
      <c r="B34">
        <f>_xlfn.XLOOKUP(A34,'Notes Ref'!A:A,'Notes Ref'!E:E,"")</f>
        <v>144</v>
      </c>
      <c r="D34" t="s">
        <v>160</v>
      </c>
      <c r="E34">
        <f>_xlfn.XLOOKUP(D34,'Notes Ref'!A:A,'Notes Ref'!E:E,"")</f>
        <v>144</v>
      </c>
    </row>
    <row r="35" spans="1:5" x14ac:dyDescent="0.3">
      <c r="A35" t="s">
        <v>167</v>
      </c>
      <c r="B35">
        <f>_xlfn.XLOOKUP(A35,'Notes Ref'!A:A,'Notes Ref'!E:E,"")</f>
        <v>199</v>
      </c>
      <c r="D35" t="s">
        <v>160</v>
      </c>
      <c r="E35">
        <f>_xlfn.XLOOKUP(D35,'Notes Ref'!A:A,'Notes Ref'!E:E,"")</f>
        <v>144</v>
      </c>
    </row>
    <row r="36" spans="1:5" x14ac:dyDescent="0.3">
      <c r="A36" t="s">
        <v>176</v>
      </c>
      <c r="B36">
        <f>_xlfn.XLOOKUP(A36,'Notes Ref'!A:A,'Notes Ref'!E:E,"")</f>
        <v>181</v>
      </c>
      <c r="D36" t="s">
        <v>160</v>
      </c>
      <c r="E36">
        <f>_xlfn.XLOOKUP(D36,'Notes Ref'!A:A,'Notes Ref'!E:E,"")</f>
        <v>144</v>
      </c>
    </row>
    <row r="37" spans="1:5" x14ac:dyDescent="0.3">
      <c r="A37" t="s">
        <v>153</v>
      </c>
      <c r="B37">
        <f>_xlfn.XLOOKUP(A37,'Notes Ref'!A:A,'Notes Ref'!E:E,"")</f>
        <v>156</v>
      </c>
      <c r="D37" t="s">
        <v>160</v>
      </c>
      <c r="E37">
        <f>_xlfn.XLOOKUP(D37,'Notes Ref'!A:A,'Notes Ref'!E:E,"")</f>
        <v>144</v>
      </c>
    </row>
    <row r="38" spans="1:5" x14ac:dyDescent="0.3">
      <c r="A38" t="s">
        <v>177</v>
      </c>
      <c r="B38">
        <f>_xlfn.XLOOKUP(A38,'Notes Ref'!A:A,'Notes Ref'!E:E,"")</f>
        <v>185</v>
      </c>
      <c r="D38" t="s">
        <v>178</v>
      </c>
      <c r="E38">
        <f>_xlfn.XLOOKUP(D38,'Notes Ref'!A:A,'Notes Ref'!E:E,"")</f>
        <v>185</v>
      </c>
    </row>
    <row r="39" spans="1:5" x14ac:dyDescent="0.3">
      <c r="A39" t="s">
        <v>179</v>
      </c>
      <c r="B39">
        <f>_xlfn.XLOOKUP(A39,'Notes Ref'!A:A,'Notes Ref'!E:E,"")</f>
        <v>227</v>
      </c>
      <c r="D39" t="s">
        <v>178</v>
      </c>
      <c r="E39">
        <f>_xlfn.XLOOKUP(D39,'Notes Ref'!A:A,'Notes Ref'!E:E,"")</f>
        <v>185</v>
      </c>
    </row>
    <row r="40" spans="1:5" x14ac:dyDescent="0.3">
      <c r="A40" t="s">
        <v>167</v>
      </c>
      <c r="B40">
        <f>_xlfn.XLOOKUP(A40,'Notes Ref'!A:A,'Notes Ref'!E:E,"")</f>
        <v>199</v>
      </c>
      <c r="D40" t="s">
        <v>178</v>
      </c>
      <c r="E40">
        <f>_xlfn.XLOOKUP(D40,'Notes Ref'!A:A,'Notes Ref'!E:E,"")</f>
        <v>185</v>
      </c>
    </row>
    <row r="41" spans="1:5" x14ac:dyDescent="0.3">
      <c r="A41" t="s">
        <v>177</v>
      </c>
      <c r="B41">
        <f>_xlfn.XLOOKUP(A41,'Notes Ref'!A:A,'Notes Ref'!E:E,"")</f>
        <v>185</v>
      </c>
      <c r="D41" t="s">
        <v>178</v>
      </c>
      <c r="E41">
        <f>_xlfn.XLOOKUP(D41,'Notes Ref'!A:A,'Notes Ref'!E:E,"")</f>
        <v>185</v>
      </c>
    </row>
    <row r="42" spans="1:5" x14ac:dyDescent="0.3">
      <c r="A42" t="s">
        <v>156</v>
      </c>
      <c r="B42">
        <f>_xlfn.XLOOKUP(A42,'Notes Ref'!A:A,'Notes Ref'!E:E,"")</f>
        <v>189</v>
      </c>
      <c r="D42" t="s">
        <v>180</v>
      </c>
      <c r="E42">
        <f>_xlfn.XLOOKUP(D42,'Notes Ref'!A:A,'Notes Ref'!E:E,"")</f>
        <v>189</v>
      </c>
    </row>
    <row r="43" spans="1:5" x14ac:dyDescent="0.3">
      <c r="A43" t="s">
        <v>172</v>
      </c>
      <c r="B43">
        <f>_xlfn.XLOOKUP(A43,'Notes Ref'!A:A,'Notes Ref'!E:E,"")</f>
        <v>202</v>
      </c>
      <c r="D43" t="s">
        <v>157</v>
      </c>
      <c r="E43">
        <f>_xlfn.XLOOKUP(D43,'Notes Ref'!A:A,'Notes Ref'!E:E,"")</f>
        <v>189</v>
      </c>
    </row>
    <row r="44" spans="1:5" x14ac:dyDescent="0.3">
      <c r="A44" t="s">
        <v>162</v>
      </c>
      <c r="B44">
        <f>_xlfn.XLOOKUP(A44,'Notes Ref'!A:A,'Notes Ref'!E:E,"")</f>
        <v>137</v>
      </c>
      <c r="D44" t="s">
        <v>180</v>
      </c>
      <c r="E44">
        <f>_xlfn.XLOOKUP(D44,'Notes Ref'!A:A,'Notes Ref'!E:E,"")</f>
        <v>189</v>
      </c>
    </row>
    <row r="45" spans="1:5" x14ac:dyDescent="0.3">
      <c r="A45" t="s">
        <v>158</v>
      </c>
      <c r="B45">
        <f>_xlfn.XLOOKUP(A45,'Notes Ref'!A:A,'Notes Ref'!E:E,"")</f>
        <v>205</v>
      </c>
      <c r="D45" t="s">
        <v>157</v>
      </c>
      <c r="E45">
        <f>_xlfn.XLOOKUP(D45,'Notes Ref'!A:A,'Notes Ref'!E:E,"")</f>
        <v>189</v>
      </c>
    </row>
    <row r="46" spans="1:5" x14ac:dyDescent="0.3">
      <c r="A46" t="s">
        <v>161</v>
      </c>
      <c r="B46">
        <f>_xlfn.XLOOKUP(A46,'Notes Ref'!A:A,'Notes Ref'!E:E,"")</f>
        <v>181</v>
      </c>
      <c r="D46" t="s">
        <v>181</v>
      </c>
      <c r="E46">
        <f>_xlfn.XLOOKUP(D46,'Notes Ref'!A:A,'Notes Ref'!E:E,"")</f>
        <v>181</v>
      </c>
    </row>
    <row r="47" spans="1:5" x14ac:dyDescent="0.3">
      <c r="A47" t="s">
        <v>161</v>
      </c>
      <c r="B47">
        <f>_xlfn.XLOOKUP(A47,'Notes Ref'!A:A,'Notes Ref'!E:E,"")</f>
        <v>181</v>
      </c>
      <c r="D47" t="s">
        <v>181</v>
      </c>
      <c r="E47">
        <f>_xlfn.XLOOKUP(D47,'Notes Ref'!A:A,'Notes Ref'!E:E,"")</f>
        <v>181</v>
      </c>
    </row>
    <row r="48" spans="1:5" x14ac:dyDescent="0.3">
      <c r="A48" t="s">
        <v>171</v>
      </c>
      <c r="B48">
        <f>_xlfn.XLOOKUP(A48,'Notes Ref'!A:A,'Notes Ref'!E:E,"")</f>
        <v>218</v>
      </c>
      <c r="D48" t="s">
        <v>154</v>
      </c>
      <c r="E48">
        <f>_xlfn.XLOOKUP(D48,'Notes Ref'!A:A,'Notes Ref'!E:E,"")</f>
        <v>156</v>
      </c>
    </row>
    <row r="49" spans="1:5" x14ac:dyDescent="0.3">
      <c r="A49" t="s">
        <v>161</v>
      </c>
      <c r="B49">
        <f>_xlfn.XLOOKUP(A49,'Notes Ref'!A:A,'Notes Ref'!E:E,"")</f>
        <v>181</v>
      </c>
      <c r="D49" t="s">
        <v>154</v>
      </c>
      <c r="E49">
        <f>_xlfn.XLOOKUP(D49,'Notes Ref'!A:A,'Notes Ref'!E:E,"")</f>
        <v>156</v>
      </c>
    </row>
    <row r="50" spans="1:5" x14ac:dyDescent="0.3">
      <c r="A50" t="s">
        <v>158</v>
      </c>
      <c r="B50">
        <f>_xlfn.XLOOKUP(A50,'Notes Ref'!A:A,'Notes Ref'!E:E,"")</f>
        <v>205</v>
      </c>
      <c r="D50" t="s">
        <v>154</v>
      </c>
      <c r="E50">
        <f>_xlfn.XLOOKUP(D50,'Notes Ref'!A:A,'Notes Ref'!E:E,"")</f>
        <v>156</v>
      </c>
    </row>
    <row r="51" spans="1:5" x14ac:dyDescent="0.3">
      <c r="A51" t="s">
        <v>158</v>
      </c>
      <c r="B51">
        <f>_xlfn.XLOOKUP(A51,'Notes Ref'!A:A,'Notes Ref'!E:E,"")</f>
        <v>205</v>
      </c>
      <c r="D51" t="s">
        <v>154</v>
      </c>
      <c r="E51">
        <f>_xlfn.XLOOKUP(D51,'Notes Ref'!A:A,'Notes Ref'!E:E,"")</f>
        <v>156</v>
      </c>
    </row>
    <row r="52" spans="1:5" x14ac:dyDescent="0.3">
      <c r="A52" t="s">
        <v>158</v>
      </c>
      <c r="B52">
        <f>_xlfn.XLOOKUP(A52,'Notes Ref'!A:A,'Notes Ref'!E:E,"")</f>
        <v>205</v>
      </c>
      <c r="D52" t="s">
        <v>154</v>
      </c>
      <c r="E52">
        <f>_xlfn.XLOOKUP(D52,'Notes Ref'!A:A,'Notes Ref'!E:E,"")</f>
        <v>156</v>
      </c>
    </row>
    <row r="53" spans="1:5" x14ac:dyDescent="0.3">
      <c r="A53" t="s">
        <v>158</v>
      </c>
      <c r="B53">
        <f>_xlfn.XLOOKUP(A53,'Notes Ref'!A:A,'Notes Ref'!E:E,"")</f>
        <v>205</v>
      </c>
      <c r="D53" t="s">
        <v>154</v>
      </c>
      <c r="E53">
        <f>_xlfn.XLOOKUP(D53,'Notes Ref'!A:A,'Notes Ref'!E:E,"")</f>
        <v>156</v>
      </c>
    </row>
    <row r="54" spans="1:5" x14ac:dyDescent="0.3">
      <c r="A54" t="s">
        <v>158</v>
      </c>
      <c r="B54">
        <f>_xlfn.XLOOKUP(A54,'Notes Ref'!A:A,'Notes Ref'!E:E,"")</f>
        <v>205</v>
      </c>
      <c r="D54" t="s">
        <v>153</v>
      </c>
      <c r="E54">
        <f>_xlfn.XLOOKUP(D54,'Notes Ref'!A:A,'Notes Ref'!E:E,"")</f>
        <v>156</v>
      </c>
    </row>
    <row r="55" spans="1:5" x14ac:dyDescent="0.3">
      <c r="A55" t="s">
        <v>158</v>
      </c>
      <c r="B55">
        <f>_xlfn.XLOOKUP(A55,'Notes Ref'!A:A,'Notes Ref'!E:E,"")</f>
        <v>205</v>
      </c>
      <c r="D55" t="s">
        <v>153</v>
      </c>
      <c r="E55">
        <f>_xlfn.XLOOKUP(D55,'Notes Ref'!A:A,'Notes Ref'!E:E,"")</f>
        <v>156</v>
      </c>
    </row>
    <row r="56" spans="1:5" x14ac:dyDescent="0.3">
      <c r="A56" t="s">
        <v>158</v>
      </c>
      <c r="B56">
        <f>_xlfn.XLOOKUP(A56,'Notes Ref'!A:A,'Notes Ref'!E:E,"")</f>
        <v>205</v>
      </c>
      <c r="D56" t="s">
        <v>154</v>
      </c>
      <c r="E56">
        <f>_xlfn.XLOOKUP(D56,'Notes Ref'!A:A,'Notes Ref'!E:E,"")</f>
        <v>156</v>
      </c>
    </row>
    <row r="57" spans="1:5" x14ac:dyDescent="0.3">
      <c r="A57" t="s">
        <v>158</v>
      </c>
      <c r="B57">
        <f>_xlfn.XLOOKUP(A57,'Notes Ref'!A:A,'Notes Ref'!E:E,"")</f>
        <v>205</v>
      </c>
      <c r="D57" t="s">
        <v>154</v>
      </c>
      <c r="E57">
        <f>_xlfn.XLOOKUP(D57,'Notes Ref'!A:A,'Notes Ref'!E:E,"")</f>
        <v>156</v>
      </c>
    </row>
    <row r="58" spans="1:5" x14ac:dyDescent="0.3">
      <c r="A58" t="s">
        <v>158</v>
      </c>
      <c r="B58">
        <f>_xlfn.XLOOKUP(A58,'Notes Ref'!A:A,'Notes Ref'!E:E,"")</f>
        <v>205</v>
      </c>
      <c r="D58" t="s">
        <v>160</v>
      </c>
      <c r="E58">
        <f>_xlfn.XLOOKUP(D58,'Notes Ref'!A:A,'Notes Ref'!E:E,"")</f>
        <v>144</v>
      </c>
    </row>
    <row r="59" spans="1:5" x14ac:dyDescent="0.3">
      <c r="A59" t="s">
        <v>158</v>
      </c>
      <c r="B59">
        <f>_xlfn.XLOOKUP(A59,'Notes Ref'!A:A,'Notes Ref'!E:E,"")</f>
        <v>205</v>
      </c>
      <c r="D59" t="s">
        <v>160</v>
      </c>
      <c r="E59">
        <f>_xlfn.XLOOKUP(D59,'Notes Ref'!A:A,'Notes Ref'!E:E,"")</f>
        <v>144</v>
      </c>
    </row>
    <row r="60" spans="1:5" x14ac:dyDescent="0.3">
      <c r="A60" t="s">
        <v>158</v>
      </c>
      <c r="B60">
        <f>_xlfn.XLOOKUP(A60,'Notes Ref'!A:A,'Notes Ref'!E:E,"")</f>
        <v>205</v>
      </c>
      <c r="D60" t="s">
        <v>160</v>
      </c>
      <c r="E60">
        <f>_xlfn.XLOOKUP(D60,'Notes Ref'!A:A,'Notes Ref'!E:E,"")</f>
        <v>144</v>
      </c>
    </row>
    <row r="61" spans="1:5" x14ac:dyDescent="0.3">
      <c r="A61" t="s">
        <v>158</v>
      </c>
      <c r="B61">
        <f>_xlfn.XLOOKUP(A61,'Notes Ref'!A:A,'Notes Ref'!E:E,"")</f>
        <v>205</v>
      </c>
      <c r="D61" t="s">
        <v>160</v>
      </c>
      <c r="E61">
        <f>_xlfn.XLOOKUP(D61,'Notes Ref'!A:A,'Notes Ref'!E:E,"")</f>
        <v>144</v>
      </c>
    </row>
    <row r="62" spans="1:5" x14ac:dyDescent="0.3">
      <c r="A62" t="s">
        <v>158</v>
      </c>
      <c r="B62">
        <f>_xlfn.XLOOKUP(A62,'Notes Ref'!A:A,'Notes Ref'!E:E,"")</f>
        <v>205</v>
      </c>
      <c r="D62" t="s">
        <v>163</v>
      </c>
      <c r="E62">
        <f>_xlfn.XLOOKUP(D62,'Notes Ref'!A:A,'Notes Ref'!E:E,"")</f>
        <v>144</v>
      </c>
    </row>
    <row r="63" spans="1:5" x14ac:dyDescent="0.3">
      <c r="A63" t="s">
        <v>158</v>
      </c>
      <c r="B63">
        <f>_xlfn.XLOOKUP(A63,'Notes Ref'!A:A,'Notes Ref'!E:E,"")</f>
        <v>205</v>
      </c>
      <c r="D63" t="s">
        <v>163</v>
      </c>
      <c r="E63">
        <f>_xlfn.XLOOKUP(D63,'Notes Ref'!A:A,'Notes Ref'!E:E,"")</f>
        <v>144</v>
      </c>
    </row>
    <row r="64" spans="1:5" x14ac:dyDescent="0.3">
      <c r="A64" t="s">
        <v>158</v>
      </c>
      <c r="B64">
        <f>_xlfn.XLOOKUP(A64,'Notes Ref'!A:A,'Notes Ref'!E:E,"")</f>
        <v>205</v>
      </c>
      <c r="D64" t="s">
        <v>160</v>
      </c>
      <c r="E64">
        <f>_xlfn.XLOOKUP(D64,'Notes Ref'!A:A,'Notes Ref'!E:E,"")</f>
        <v>144</v>
      </c>
    </row>
    <row r="65" spans="1:5" x14ac:dyDescent="0.3">
      <c r="A65" t="s">
        <v>158</v>
      </c>
      <c r="B65">
        <f>_xlfn.XLOOKUP(A65,'Notes Ref'!A:A,'Notes Ref'!E:E,"")</f>
        <v>205</v>
      </c>
      <c r="D65" t="s">
        <v>160</v>
      </c>
      <c r="E65">
        <f>_xlfn.XLOOKUP(D65,'Notes Ref'!A:A,'Notes Ref'!E:E,"")</f>
        <v>144</v>
      </c>
    </row>
    <row r="66" spans="1:5" x14ac:dyDescent="0.3">
      <c r="A66" t="s">
        <v>158</v>
      </c>
      <c r="B66">
        <f>_xlfn.XLOOKUP(A66,'Notes Ref'!A:A,'Notes Ref'!E:E,"")</f>
        <v>205</v>
      </c>
      <c r="D66" t="s">
        <v>154</v>
      </c>
      <c r="E66">
        <f>_xlfn.XLOOKUP(D66,'Notes Ref'!A:A,'Notes Ref'!E:E,"")</f>
        <v>156</v>
      </c>
    </row>
    <row r="67" spans="1:5" x14ac:dyDescent="0.3">
      <c r="A67" t="s">
        <v>158</v>
      </c>
      <c r="B67">
        <f>_xlfn.XLOOKUP(A67,'Notes Ref'!A:A,'Notes Ref'!E:E,"")</f>
        <v>205</v>
      </c>
      <c r="D67" t="s">
        <v>182</v>
      </c>
      <c r="E67">
        <f>_xlfn.XLOOKUP(D67,'Notes Ref'!A:A,'Notes Ref'!E:E,"")</f>
        <v>216</v>
      </c>
    </row>
    <row r="68" spans="1:5" x14ac:dyDescent="0.3">
      <c r="A68" t="s">
        <v>158</v>
      </c>
      <c r="B68">
        <f>_xlfn.XLOOKUP(A68,'Notes Ref'!A:A,'Notes Ref'!E:E,"")</f>
        <v>205</v>
      </c>
      <c r="D68" t="s">
        <v>154</v>
      </c>
      <c r="E68">
        <f>_xlfn.XLOOKUP(D68,'Notes Ref'!A:A,'Notes Ref'!E:E,"")</f>
        <v>156</v>
      </c>
    </row>
    <row r="69" spans="1:5" x14ac:dyDescent="0.3">
      <c r="A69" t="s">
        <v>158</v>
      </c>
      <c r="B69">
        <f>_xlfn.XLOOKUP(A69,'Notes Ref'!A:A,'Notes Ref'!E:E,"")</f>
        <v>205</v>
      </c>
      <c r="D69" t="s">
        <v>171</v>
      </c>
      <c r="E69">
        <f>_xlfn.XLOOKUP(D69,'Notes Ref'!A:A,'Notes Ref'!E:E,"")</f>
        <v>218</v>
      </c>
    </row>
    <row r="70" spans="1:5" x14ac:dyDescent="0.3">
      <c r="A70" t="s">
        <v>158</v>
      </c>
      <c r="B70">
        <f>_xlfn.XLOOKUP(A70,'Notes Ref'!A:A,'Notes Ref'!E:E,"")</f>
        <v>205</v>
      </c>
      <c r="D70" t="s">
        <v>153</v>
      </c>
      <c r="E70">
        <f>_xlfn.XLOOKUP(D70,'Notes Ref'!A:A,'Notes Ref'!E:E,"")</f>
        <v>156</v>
      </c>
    </row>
    <row r="71" spans="1:5" x14ac:dyDescent="0.3">
      <c r="A71" t="s">
        <v>158</v>
      </c>
      <c r="B71">
        <f>_xlfn.XLOOKUP(A71,'Notes Ref'!A:A,'Notes Ref'!E:E,"")</f>
        <v>205</v>
      </c>
      <c r="D71" t="s">
        <v>182</v>
      </c>
      <c r="E71">
        <f>_xlfn.XLOOKUP(D71,'Notes Ref'!A:A,'Notes Ref'!E:E,"")</f>
        <v>216</v>
      </c>
    </row>
    <row r="72" spans="1:5" x14ac:dyDescent="0.3">
      <c r="A72" t="s">
        <v>158</v>
      </c>
      <c r="B72">
        <f>_xlfn.XLOOKUP(A72,'Notes Ref'!A:A,'Notes Ref'!E:E,"")</f>
        <v>205</v>
      </c>
      <c r="D72" t="s">
        <v>154</v>
      </c>
      <c r="E72">
        <f>_xlfn.XLOOKUP(D72,'Notes Ref'!A:A,'Notes Ref'!E:E,"")</f>
        <v>156</v>
      </c>
    </row>
    <row r="73" spans="1:5" x14ac:dyDescent="0.3">
      <c r="A73" t="s">
        <v>158</v>
      </c>
      <c r="B73">
        <f>_xlfn.XLOOKUP(A73,'Notes Ref'!A:A,'Notes Ref'!E:E,"")</f>
        <v>205</v>
      </c>
      <c r="D73" t="s">
        <v>171</v>
      </c>
      <c r="E73">
        <f>_xlfn.XLOOKUP(D73,'Notes Ref'!A:A,'Notes Ref'!E:E,"")</f>
        <v>218</v>
      </c>
    </row>
    <row r="74" spans="1:5" x14ac:dyDescent="0.3">
      <c r="A74" t="s">
        <v>158</v>
      </c>
      <c r="B74">
        <f>_xlfn.XLOOKUP(A74,'Notes Ref'!A:A,'Notes Ref'!E:E,"")</f>
        <v>205</v>
      </c>
      <c r="D74" t="s">
        <v>160</v>
      </c>
      <c r="E74">
        <f>_xlfn.XLOOKUP(D74,'Notes Ref'!A:A,'Notes Ref'!E:E,"")</f>
        <v>144</v>
      </c>
    </row>
    <row r="75" spans="1:5" x14ac:dyDescent="0.3">
      <c r="A75" t="s">
        <v>158</v>
      </c>
      <c r="B75">
        <f>_xlfn.XLOOKUP(A75,'Notes Ref'!A:A,'Notes Ref'!E:E,"")</f>
        <v>205</v>
      </c>
      <c r="D75" t="s">
        <v>182</v>
      </c>
      <c r="E75">
        <f>_xlfn.XLOOKUP(D75,'Notes Ref'!A:A,'Notes Ref'!E:E,"")</f>
        <v>216</v>
      </c>
    </row>
    <row r="76" spans="1:5" x14ac:dyDescent="0.3">
      <c r="A76" t="s">
        <v>158</v>
      </c>
      <c r="B76">
        <f>_xlfn.XLOOKUP(A76,'Notes Ref'!A:A,'Notes Ref'!E:E,"")</f>
        <v>205</v>
      </c>
      <c r="D76" t="s">
        <v>160</v>
      </c>
      <c r="E76">
        <f>_xlfn.XLOOKUP(D76,'Notes Ref'!A:A,'Notes Ref'!E:E,"")</f>
        <v>144</v>
      </c>
    </row>
    <row r="77" spans="1:5" x14ac:dyDescent="0.3">
      <c r="A77" t="s">
        <v>158</v>
      </c>
      <c r="B77">
        <f>_xlfn.XLOOKUP(A77,'Notes Ref'!A:A,'Notes Ref'!E:E,"")</f>
        <v>205</v>
      </c>
      <c r="D77" t="s">
        <v>171</v>
      </c>
      <c r="E77">
        <f>_xlfn.XLOOKUP(D77,'Notes Ref'!A:A,'Notes Ref'!E:E,"")</f>
        <v>218</v>
      </c>
    </row>
    <row r="78" spans="1:5" x14ac:dyDescent="0.3">
      <c r="A78" t="s">
        <v>167</v>
      </c>
      <c r="B78">
        <f>_xlfn.XLOOKUP(A78,'Notes Ref'!A:A,'Notes Ref'!E:E,"")</f>
        <v>199</v>
      </c>
      <c r="D78" t="s">
        <v>163</v>
      </c>
      <c r="E78">
        <f>_xlfn.XLOOKUP(D78,'Notes Ref'!A:A,'Notes Ref'!E:E,"")</f>
        <v>144</v>
      </c>
    </row>
    <row r="79" spans="1:5" x14ac:dyDescent="0.3">
      <c r="A79" t="s">
        <v>167</v>
      </c>
      <c r="B79">
        <f>_xlfn.XLOOKUP(A79,'Notes Ref'!A:A,'Notes Ref'!E:E,"")</f>
        <v>199</v>
      </c>
      <c r="D79" t="s">
        <v>164</v>
      </c>
      <c r="E79">
        <f>_xlfn.XLOOKUP(D79,'Notes Ref'!A:A,'Notes Ref'!E:E,"")</f>
        <v>211</v>
      </c>
    </row>
    <row r="80" spans="1:5" x14ac:dyDescent="0.3">
      <c r="A80" t="s">
        <v>167</v>
      </c>
      <c r="B80">
        <f>_xlfn.XLOOKUP(A80,'Notes Ref'!A:A,'Notes Ref'!E:E,"")</f>
        <v>199</v>
      </c>
      <c r="D80" t="s">
        <v>160</v>
      </c>
      <c r="E80">
        <f>_xlfn.XLOOKUP(D80,'Notes Ref'!A:A,'Notes Ref'!E:E,"")</f>
        <v>144</v>
      </c>
    </row>
    <row r="81" spans="1:5" x14ac:dyDescent="0.3">
      <c r="A81" t="s">
        <v>167</v>
      </c>
      <c r="B81">
        <f>_xlfn.XLOOKUP(A81,'Notes Ref'!A:A,'Notes Ref'!E:E,"")</f>
        <v>199</v>
      </c>
      <c r="D81" t="s">
        <v>169</v>
      </c>
      <c r="E81">
        <f>_xlfn.XLOOKUP(D81,'Notes Ref'!A:A,'Notes Ref'!E:E,"")</f>
        <v>213</v>
      </c>
    </row>
    <row r="82" spans="1:5" x14ac:dyDescent="0.3">
      <c r="A82" t="s">
        <v>158</v>
      </c>
      <c r="B82">
        <f>_xlfn.XLOOKUP(A82,'Notes Ref'!A:A,'Notes Ref'!E:E,"")</f>
        <v>205</v>
      </c>
      <c r="D82" t="s">
        <v>154</v>
      </c>
      <c r="E82">
        <f>_xlfn.XLOOKUP(D82,'Notes Ref'!A:A,'Notes Ref'!E:E,"")</f>
        <v>156</v>
      </c>
    </row>
    <row r="83" spans="1:5" x14ac:dyDescent="0.3">
      <c r="A83" t="s">
        <v>175</v>
      </c>
      <c r="B83">
        <f>_xlfn.XLOOKUP(A83,'Notes Ref'!A:A,'Notes Ref'!E:E,"")</f>
        <v>230</v>
      </c>
      <c r="D83" t="s">
        <v>154</v>
      </c>
      <c r="E83">
        <f>_xlfn.XLOOKUP(D83,'Notes Ref'!A:A,'Notes Ref'!E:E,"")</f>
        <v>156</v>
      </c>
    </row>
    <row r="84" spans="1:5" x14ac:dyDescent="0.3">
      <c r="A84" t="s">
        <v>158</v>
      </c>
      <c r="B84">
        <f>_xlfn.XLOOKUP(A84,'Notes Ref'!A:A,'Notes Ref'!E:E,"")</f>
        <v>205</v>
      </c>
      <c r="D84" t="s">
        <v>154</v>
      </c>
      <c r="E84">
        <f>_xlfn.XLOOKUP(D84,'Notes Ref'!A:A,'Notes Ref'!E:E,"")</f>
        <v>156</v>
      </c>
    </row>
    <row r="85" spans="1:5" x14ac:dyDescent="0.3">
      <c r="A85" t="s">
        <v>179</v>
      </c>
      <c r="B85">
        <f>_xlfn.XLOOKUP(A85,'Notes Ref'!A:A,'Notes Ref'!E:E,"")</f>
        <v>227</v>
      </c>
      <c r="D85" t="s">
        <v>174</v>
      </c>
      <c r="E85">
        <f>_xlfn.XLOOKUP(D85,'Notes Ref'!A:A,'Notes Ref'!E:E,"")</f>
        <v>222</v>
      </c>
    </row>
    <row r="86" spans="1:5" x14ac:dyDescent="0.3">
      <c r="A86" t="s">
        <v>158</v>
      </c>
      <c r="B86">
        <f>_xlfn.XLOOKUP(A86,'Notes Ref'!A:A,'Notes Ref'!E:E,"")</f>
        <v>205</v>
      </c>
      <c r="D86" t="s">
        <v>153</v>
      </c>
      <c r="E86">
        <f>_xlfn.XLOOKUP(D86,'Notes Ref'!A:A,'Notes Ref'!E:E,"")</f>
        <v>156</v>
      </c>
    </row>
    <row r="87" spans="1:5" x14ac:dyDescent="0.3">
      <c r="A87" t="s">
        <v>170</v>
      </c>
      <c r="B87">
        <f>_xlfn.XLOOKUP(A87,'Notes Ref'!A:A,'Notes Ref'!E:E,"")</f>
        <v>226</v>
      </c>
      <c r="D87" t="s">
        <v>153</v>
      </c>
      <c r="E87">
        <f>_xlfn.XLOOKUP(D87,'Notes Ref'!A:A,'Notes Ref'!E:E,"")</f>
        <v>156</v>
      </c>
    </row>
    <row r="88" spans="1:5" x14ac:dyDescent="0.3">
      <c r="A88" t="s">
        <v>158</v>
      </c>
      <c r="B88">
        <f>_xlfn.XLOOKUP(A88,'Notes Ref'!A:A,'Notes Ref'!E:E,"")</f>
        <v>205</v>
      </c>
      <c r="D88" t="s">
        <v>154</v>
      </c>
      <c r="E88">
        <f>_xlfn.XLOOKUP(D88,'Notes Ref'!A:A,'Notes Ref'!E:E,"")</f>
        <v>156</v>
      </c>
    </row>
    <row r="89" spans="1:5" x14ac:dyDescent="0.3">
      <c r="A89" t="s">
        <v>174</v>
      </c>
      <c r="B89">
        <f>_xlfn.XLOOKUP(A89,'Notes Ref'!A:A,'Notes Ref'!E:E,"")</f>
        <v>222</v>
      </c>
      <c r="D89" t="s">
        <v>169</v>
      </c>
      <c r="E89">
        <f>_xlfn.XLOOKUP(D89,'Notes Ref'!A:A,'Notes Ref'!E:E,"")</f>
        <v>213</v>
      </c>
    </row>
    <row r="90" spans="1:5" x14ac:dyDescent="0.3">
      <c r="A90" t="s">
        <v>167</v>
      </c>
      <c r="B90">
        <f>_xlfn.XLOOKUP(A90,'Notes Ref'!A:A,'Notes Ref'!E:E,"")</f>
        <v>199</v>
      </c>
      <c r="D90" t="s">
        <v>160</v>
      </c>
      <c r="E90">
        <f>_xlfn.XLOOKUP(D90,'Notes Ref'!A:A,'Notes Ref'!E:E,"")</f>
        <v>144</v>
      </c>
    </row>
    <row r="91" spans="1:5" x14ac:dyDescent="0.3">
      <c r="A91" t="s">
        <v>179</v>
      </c>
      <c r="B91">
        <f>_xlfn.XLOOKUP(A91,'Notes Ref'!A:A,'Notes Ref'!E:E,"")</f>
        <v>227</v>
      </c>
      <c r="D91" t="s">
        <v>160</v>
      </c>
      <c r="E91">
        <f>_xlfn.XLOOKUP(D91,'Notes Ref'!A:A,'Notes Ref'!E:E,"")</f>
        <v>144</v>
      </c>
    </row>
    <row r="92" spans="1:5" x14ac:dyDescent="0.3">
      <c r="A92" t="s">
        <v>167</v>
      </c>
      <c r="B92">
        <f>_xlfn.XLOOKUP(A92,'Notes Ref'!A:A,'Notes Ref'!E:E,"")</f>
        <v>199</v>
      </c>
      <c r="D92" t="s">
        <v>160</v>
      </c>
      <c r="E92">
        <f>_xlfn.XLOOKUP(D92,'Notes Ref'!A:A,'Notes Ref'!E:E,"")</f>
        <v>144</v>
      </c>
    </row>
    <row r="93" spans="1:5" x14ac:dyDescent="0.3">
      <c r="A93" t="s">
        <v>179</v>
      </c>
      <c r="B93">
        <f>_xlfn.XLOOKUP(A93,'Notes Ref'!A:A,'Notes Ref'!E:E,"")</f>
        <v>227</v>
      </c>
      <c r="D93" t="s">
        <v>160</v>
      </c>
      <c r="E93">
        <f>_xlfn.XLOOKUP(D93,'Notes Ref'!A:A,'Notes Ref'!E:E,"")</f>
        <v>144</v>
      </c>
    </row>
    <row r="94" spans="1:5" x14ac:dyDescent="0.3">
      <c r="A94" t="s">
        <v>167</v>
      </c>
      <c r="B94">
        <f>_xlfn.XLOOKUP(A94,'Notes Ref'!A:A,'Notes Ref'!E:E,"")</f>
        <v>199</v>
      </c>
      <c r="D94" t="s">
        <v>163</v>
      </c>
      <c r="E94">
        <f>_xlfn.XLOOKUP(D94,'Notes Ref'!A:A,'Notes Ref'!E:E,"")</f>
        <v>144</v>
      </c>
    </row>
    <row r="95" spans="1:5" x14ac:dyDescent="0.3">
      <c r="A95" t="s">
        <v>171</v>
      </c>
      <c r="B95">
        <f>_xlfn.XLOOKUP(A95,'Notes Ref'!A:A,'Notes Ref'!E:E,"")</f>
        <v>218</v>
      </c>
      <c r="D95" t="s">
        <v>163</v>
      </c>
      <c r="E95">
        <f>_xlfn.XLOOKUP(D95,'Notes Ref'!A:A,'Notes Ref'!E:E,"")</f>
        <v>144</v>
      </c>
    </row>
    <row r="96" spans="1:5" x14ac:dyDescent="0.3">
      <c r="A96" t="s">
        <v>167</v>
      </c>
      <c r="B96">
        <f>_xlfn.XLOOKUP(A96,'Notes Ref'!A:A,'Notes Ref'!E:E,"")</f>
        <v>199</v>
      </c>
      <c r="D96" t="s">
        <v>160</v>
      </c>
      <c r="E96">
        <f>_xlfn.XLOOKUP(D96,'Notes Ref'!A:A,'Notes Ref'!E:E,"")</f>
        <v>144</v>
      </c>
    </row>
    <row r="97" spans="1:5" x14ac:dyDescent="0.3">
      <c r="A97" t="s">
        <v>179</v>
      </c>
      <c r="B97">
        <f>_xlfn.XLOOKUP(A97,'Notes Ref'!A:A,'Notes Ref'!E:E,"")</f>
        <v>227</v>
      </c>
      <c r="D97" t="s">
        <v>160</v>
      </c>
      <c r="E97">
        <f>_xlfn.XLOOKUP(D97,'Notes Ref'!A:A,'Notes Ref'!E:E,"")</f>
        <v>144</v>
      </c>
    </row>
    <row r="98" spans="1:5" x14ac:dyDescent="0.3">
      <c r="A98" t="s">
        <v>158</v>
      </c>
      <c r="B98">
        <f>_xlfn.XLOOKUP(A98,'Notes Ref'!A:A,'Notes Ref'!E:E,"")</f>
        <v>205</v>
      </c>
      <c r="D98" t="s">
        <v>154</v>
      </c>
      <c r="E98">
        <f>_xlfn.XLOOKUP(D98,'Notes Ref'!A:A,'Notes Ref'!E:E,"")</f>
        <v>156</v>
      </c>
    </row>
    <row r="99" spans="1:5" x14ac:dyDescent="0.3">
      <c r="A99" t="s">
        <v>158</v>
      </c>
      <c r="B99">
        <f>_xlfn.XLOOKUP(A99,'Notes Ref'!A:A,'Notes Ref'!E:E,"")</f>
        <v>205</v>
      </c>
      <c r="D99" t="s">
        <v>182</v>
      </c>
      <c r="E99">
        <f>_xlfn.XLOOKUP(D99,'Notes Ref'!A:A,'Notes Ref'!E:E,"")</f>
        <v>216</v>
      </c>
    </row>
    <row r="100" spans="1:5" x14ac:dyDescent="0.3">
      <c r="A100" t="s">
        <v>158</v>
      </c>
      <c r="B100">
        <f>_xlfn.XLOOKUP(A100,'Notes Ref'!A:A,'Notes Ref'!E:E,"")</f>
        <v>205</v>
      </c>
      <c r="D100" t="s">
        <v>154</v>
      </c>
      <c r="E100">
        <f>_xlfn.XLOOKUP(D100,'Notes Ref'!A:A,'Notes Ref'!E:E,"")</f>
        <v>156</v>
      </c>
    </row>
    <row r="101" spans="1:5" x14ac:dyDescent="0.3">
      <c r="A101" t="s">
        <v>158</v>
      </c>
      <c r="B101">
        <f>_xlfn.XLOOKUP(A101,'Notes Ref'!A:A,'Notes Ref'!E:E,"")</f>
        <v>205</v>
      </c>
      <c r="D101" t="s">
        <v>171</v>
      </c>
      <c r="E101">
        <f>_xlfn.XLOOKUP(D101,'Notes Ref'!A:A,'Notes Ref'!E:E,"")</f>
        <v>218</v>
      </c>
    </row>
    <row r="102" spans="1:5" x14ac:dyDescent="0.3">
      <c r="A102" t="s">
        <v>158</v>
      </c>
      <c r="B102">
        <f>_xlfn.XLOOKUP(A102,'Notes Ref'!A:A,'Notes Ref'!E:E,"")</f>
        <v>205</v>
      </c>
      <c r="D102" t="s">
        <v>153</v>
      </c>
      <c r="E102">
        <f>_xlfn.XLOOKUP(D102,'Notes Ref'!A:A,'Notes Ref'!E:E,"")</f>
        <v>156</v>
      </c>
    </row>
    <row r="103" spans="1:5" x14ac:dyDescent="0.3">
      <c r="A103" t="s">
        <v>158</v>
      </c>
      <c r="B103">
        <f>_xlfn.XLOOKUP(A103,'Notes Ref'!A:A,'Notes Ref'!E:E,"")</f>
        <v>205</v>
      </c>
      <c r="D103" t="s">
        <v>182</v>
      </c>
      <c r="E103">
        <f>_xlfn.XLOOKUP(D103,'Notes Ref'!A:A,'Notes Ref'!E:E,"")</f>
        <v>216</v>
      </c>
    </row>
    <row r="104" spans="1:5" x14ac:dyDescent="0.3">
      <c r="A104" t="s">
        <v>158</v>
      </c>
      <c r="B104">
        <f>_xlfn.XLOOKUP(A104,'Notes Ref'!A:A,'Notes Ref'!E:E,"")</f>
        <v>205</v>
      </c>
      <c r="D104" t="s">
        <v>154</v>
      </c>
      <c r="E104">
        <f>_xlfn.XLOOKUP(D104,'Notes Ref'!A:A,'Notes Ref'!E:E,"")</f>
        <v>156</v>
      </c>
    </row>
    <row r="105" spans="1:5" x14ac:dyDescent="0.3">
      <c r="A105" t="s">
        <v>158</v>
      </c>
      <c r="B105">
        <f>_xlfn.XLOOKUP(A105,'Notes Ref'!A:A,'Notes Ref'!E:E,"")</f>
        <v>205</v>
      </c>
      <c r="D105" t="s">
        <v>171</v>
      </c>
      <c r="E105">
        <f>_xlfn.XLOOKUP(D105,'Notes Ref'!A:A,'Notes Ref'!E:E,"")</f>
        <v>218</v>
      </c>
    </row>
    <row r="106" spans="1:5" x14ac:dyDescent="0.3">
      <c r="A106" t="s">
        <v>158</v>
      </c>
      <c r="B106">
        <f>_xlfn.XLOOKUP(A106,'Notes Ref'!A:A,'Notes Ref'!E:E,"")</f>
        <v>205</v>
      </c>
      <c r="D106" t="s">
        <v>160</v>
      </c>
      <c r="E106">
        <f>_xlfn.XLOOKUP(D106,'Notes Ref'!A:A,'Notes Ref'!E:E,"")</f>
        <v>144</v>
      </c>
    </row>
    <row r="107" spans="1:5" x14ac:dyDescent="0.3">
      <c r="A107" t="s">
        <v>158</v>
      </c>
      <c r="B107">
        <f>_xlfn.XLOOKUP(A107,'Notes Ref'!A:A,'Notes Ref'!E:E,"")</f>
        <v>205</v>
      </c>
      <c r="D107" t="s">
        <v>182</v>
      </c>
      <c r="E107">
        <f>_xlfn.XLOOKUP(D107,'Notes Ref'!A:A,'Notes Ref'!E:E,"")</f>
        <v>216</v>
      </c>
    </row>
    <row r="108" spans="1:5" x14ac:dyDescent="0.3">
      <c r="A108" t="s">
        <v>158</v>
      </c>
      <c r="B108">
        <f>_xlfn.XLOOKUP(A108,'Notes Ref'!A:A,'Notes Ref'!E:E,"")</f>
        <v>205</v>
      </c>
      <c r="D108" t="s">
        <v>160</v>
      </c>
      <c r="E108">
        <f>_xlfn.XLOOKUP(D108,'Notes Ref'!A:A,'Notes Ref'!E:E,"")</f>
        <v>144</v>
      </c>
    </row>
    <row r="109" spans="1:5" x14ac:dyDescent="0.3">
      <c r="A109" t="s">
        <v>158</v>
      </c>
      <c r="B109">
        <f>_xlfn.XLOOKUP(A109,'Notes Ref'!A:A,'Notes Ref'!E:E,"")</f>
        <v>205</v>
      </c>
      <c r="D109" t="s">
        <v>171</v>
      </c>
      <c r="E109">
        <f>_xlfn.XLOOKUP(D109,'Notes Ref'!A:A,'Notes Ref'!E:E,"")</f>
        <v>218</v>
      </c>
    </row>
    <row r="110" spans="1:5" x14ac:dyDescent="0.3">
      <c r="A110" t="s">
        <v>167</v>
      </c>
      <c r="B110">
        <f>_xlfn.XLOOKUP(A110,'Notes Ref'!A:A,'Notes Ref'!E:E,"")</f>
        <v>199</v>
      </c>
      <c r="D110" t="s">
        <v>163</v>
      </c>
      <c r="E110">
        <f>_xlfn.XLOOKUP(D110,'Notes Ref'!A:A,'Notes Ref'!E:E,"")</f>
        <v>144</v>
      </c>
    </row>
    <row r="111" spans="1:5" x14ac:dyDescent="0.3">
      <c r="A111" t="s">
        <v>167</v>
      </c>
      <c r="B111">
        <f>_xlfn.XLOOKUP(A111,'Notes Ref'!A:A,'Notes Ref'!E:E,"")</f>
        <v>199</v>
      </c>
      <c r="D111" t="s">
        <v>164</v>
      </c>
      <c r="E111">
        <f>_xlfn.XLOOKUP(D111,'Notes Ref'!A:A,'Notes Ref'!E:E,"")</f>
        <v>211</v>
      </c>
    </row>
    <row r="112" spans="1:5" x14ac:dyDescent="0.3">
      <c r="A112" t="s">
        <v>167</v>
      </c>
      <c r="B112">
        <f>_xlfn.XLOOKUP(A112,'Notes Ref'!A:A,'Notes Ref'!E:E,"")</f>
        <v>199</v>
      </c>
      <c r="D112" t="s">
        <v>160</v>
      </c>
      <c r="E112">
        <f>_xlfn.XLOOKUP(D112,'Notes Ref'!A:A,'Notes Ref'!E:E,"")</f>
        <v>144</v>
      </c>
    </row>
    <row r="113" spans="1:5" x14ac:dyDescent="0.3">
      <c r="A113" t="s">
        <v>167</v>
      </c>
      <c r="B113">
        <f>_xlfn.XLOOKUP(A113,'Notes Ref'!A:A,'Notes Ref'!E:E,"")</f>
        <v>199</v>
      </c>
      <c r="D113" t="s">
        <v>169</v>
      </c>
      <c r="E113">
        <f>_xlfn.XLOOKUP(D113,'Notes Ref'!A:A,'Notes Ref'!E:E,"")</f>
        <v>213</v>
      </c>
    </row>
    <row r="114" spans="1:5" x14ac:dyDescent="0.3">
      <c r="A114" t="s">
        <v>182</v>
      </c>
      <c r="B114">
        <f>_xlfn.XLOOKUP(A114,'Notes Ref'!A:A,'Notes Ref'!E:E,"")</f>
        <v>216</v>
      </c>
      <c r="D114" t="s">
        <v>158</v>
      </c>
      <c r="E114">
        <f>_xlfn.XLOOKUP(D114,'Notes Ref'!A:A,'Notes Ref'!E:E,"")</f>
        <v>205</v>
      </c>
    </row>
    <row r="115" spans="1:5" x14ac:dyDescent="0.3">
      <c r="A115" t="s">
        <v>158</v>
      </c>
      <c r="B115">
        <f>_xlfn.XLOOKUP(A115,'Notes Ref'!A:A,'Notes Ref'!E:E,"")</f>
        <v>205</v>
      </c>
      <c r="D115" t="s">
        <v>157</v>
      </c>
      <c r="E115">
        <f>_xlfn.XLOOKUP(D115,'Notes Ref'!A:A,'Notes Ref'!E:E,"")</f>
        <v>189</v>
      </c>
    </row>
    <row r="116" spans="1:5" x14ac:dyDescent="0.3">
      <c r="A116" t="s">
        <v>157</v>
      </c>
      <c r="B116">
        <f>_xlfn.XLOOKUP(A116,'Notes Ref'!A:A,'Notes Ref'!E:E,"")</f>
        <v>189</v>
      </c>
      <c r="D116" t="s">
        <v>155</v>
      </c>
      <c r="E116">
        <f>_xlfn.XLOOKUP(D116,'Notes Ref'!A:A,'Notes Ref'!E:E,"")</f>
        <v>176</v>
      </c>
    </row>
    <row r="117" spans="1:5" x14ac:dyDescent="0.3">
      <c r="A117" t="s">
        <v>155</v>
      </c>
      <c r="B117">
        <f>_xlfn.XLOOKUP(A117,'Notes Ref'!A:A,'Notes Ref'!E:E,"")</f>
        <v>176</v>
      </c>
      <c r="D117" t="s">
        <v>153</v>
      </c>
      <c r="E117">
        <f>_xlfn.XLOOKUP(D117,'Notes Ref'!A:A,'Notes Ref'!E:E,"")</f>
        <v>156</v>
      </c>
    </row>
    <row r="118" spans="1:5" x14ac:dyDescent="0.3">
      <c r="A118" t="s">
        <v>164</v>
      </c>
      <c r="B118">
        <f>_xlfn.XLOOKUP(A118,'Notes Ref'!A:A,'Notes Ref'!E:E,"")</f>
        <v>211</v>
      </c>
      <c r="D118" t="s">
        <v>167</v>
      </c>
      <c r="E118">
        <f>_xlfn.XLOOKUP(D118,'Notes Ref'!A:A,'Notes Ref'!E:E,"")</f>
        <v>199</v>
      </c>
    </row>
    <row r="119" spans="1:5" x14ac:dyDescent="0.3">
      <c r="A119" t="s">
        <v>167</v>
      </c>
      <c r="B119">
        <f>_xlfn.XLOOKUP(A119,'Notes Ref'!A:A,'Notes Ref'!E:E,"")</f>
        <v>199</v>
      </c>
      <c r="D119" t="s">
        <v>161</v>
      </c>
      <c r="E119">
        <f>_xlfn.XLOOKUP(D119,'Notes Ref'!A:A,'Notes Ref'!E:E,"")</f>
        <v>181</v>
      </c>
    </row>
    <row r="120" spans="1:5" x14ac:dyDescent="0.3">
      <c r="A120" t="s">
        <v>161</v>
      </c>
      <c r="B120">
        <f>_xlfn.XLOOKUP(A120,'Notes Ref'!A:A,'Notes Ref'!E:E,"")</f>
        <v>181</v>
      </c>
      <c r="D120" t="s">
        <v>141</v>
      </c>
      <c r="E120">
        <f>_xlfn.XLOOKUP(D120,'Notes Ref'!A:A,'Notes Ref'!E:E,"")</f>
        <v>167</v>
      </c>
    </row>
    <row r="121" spans="1:5" x14ac:dyDescent="0.3">
      <c r="A121" t="s">
        <v>163</v>
      </c>
      <c r="B121">
        <f>_xlfn.XLOOKUP(A121,'Notes Ref'!A:A,'Notes Ref'!E:E,"")</f>
        <v>144</v>
      </c>
      <c r="D121" t="s">
        <v>160</v>
      </c>
      <c r="E121">
        <f>_xlfn.XLOOKUP(D121,'Notes Ref'!A:A,'Notes Ref'!E:E,"")</f>
        <v>144</v>
      </c>
    </row>
    <row r="122" spans="1:5" x14ac:dyDescent="0.3">
      <c r="A122" t="s">
        <v>182</v>
      </c>
      <c r="B122">
        <f>_xlfn.XLOOKUP(A122,'Notes Ref'!A:A,'Notes Ref'!E:E,"")</f>
        <v>216</v>
      </c>
      <c r="D122" t="s">
        <v>174</v>
      </c>
      <c r="E122">
        <f>_xlfn.XLOOKUP(D122,'Notes Ref'!A:A,'Notes Ref'!E:E,"")</f>
        <v>222</v>
      </c>
    </row>
    <row r="123" spans="1:5" x14ac:dyDescent="0.3">
      <c r="A123" t="s">
        <v>158</v>
      </c>
      <c r="B123">
        <f>_xlfn.XLOOKUP(A123,'Notes Ref'!A:A,'Notes Ref'!E:E,"")</f>
        <v>205</v>
      </c>
      <c r="D123" t="s">
        <v>182</v>
      </c>
      <c r="E123">
        <f>_xlfn.XLOOKUP(D123,'Notes Ref'!A:A,'Notes Ref'!E:E,"")</f>
        <v>216</v>
      </c>
    </row>
    <row r="124" spans="1:5" x14ac:dyDescent="0.3">
      <c r="A124" t="s">
        <v>157</v>
      </c>
      <c r="B124">
        <f>_xlfn.XLOOKUP(A124,'Notes Ref'!A:A,'Notes Ref'!E:E,"")</f>
        <v>189</v>
      </c>
      <c r="D124" t="s">
        <v>158</v>
      </c>
      <c r="E124">
        <f>_xlfn.XLOOKUP(D124,'Notes Ref'!A:A,'Notes Ref'!E:E,"")</f>
        <v>205</v>
      </c>
    </row>
    <row r="125" spans="1:5" x14ac:dyDescent="0.3">
      <c r="A125" t="s">
        <v>155</v>
      </c>
      <c r="B125">
        <f>_xlfn.XLOOKUP(A125,'Notes Ref'!A:A,'Notes Ref'!E:E,"")</f>
        <v>176</v>
      </c>
      <c r="D125" t="s">
        <v>157</v>
      </c>
      <c r="E125">
        <f>_xlfn.XLOOKUP(D125,'Notes Ref'!A:A,'Notes Ref'!E:E,"")</f>
        <v>189</v>
      </c>
    </row>
    <row r="126" spans="1:5" x14ac:dyDescent="0.3">
      <c r="A126" t="s">
        <v>164</v>
      </c>
      <c r="B126">
        <f>_xlfn.XLOOKUP(A126,'Notes Ref'!A:A,'Notes Ref'!E:E,"")</f>
        <v>211</v>
      </c>
      <c r="D126" t="s">
        <v>161</v>
      </c>
      <c r="E126">
        <f>_xlfn.XLOOKUP(D126,'Notes Ref'!A:A,'Notes Ref'!E:E,"")</f>
        <v>181</v>
      </c>
    </row>
    <row r="127" spans="1:5" x14ac:dyDescent="0.3">
      <c r="A127" t="s">
        <v>167</v>
      </c>
      <c r="B127">
        <f>_xlfn.XLOOKUP(A127,'Notes Ref'!A:A,'Notes Ref'!E:E,"")</f>
        <v>199</v>
      </c>
      <c r="D127" t="s">
        <v>141</v>
      </c>
      <c r="E127">
        <f>_xlfn.XLOOKUP(D127,'Notes Ref'!A:A,'Notes Ref'!E:E,"")</f>
        <v>167</v>
      </c>
    </row>
    <row r="128" spans="1:5" x14ac:dyDescent="0.3">
      <c r="A128" t="s">
        <v>161</v>
      </c>
      <c r="B128">
        <f>_xlfn.XLOOKUP(A128,'Notes Ref'!A:A,'Notes Ref'!E:E,"")</f>
        <v>181</v>
      </c>
      <c r="D128" t="s">
        <v>163</v>
      </c>
      <c r="E128">
        <f>_xlfn.XLOOKUP(D128,'Notes Ref'!A:A,'Notes Ref'!E:E,"")</f>
        <v>144</v>
      </c>
    </row>
    <row r="129" spans="1:5" x14ac:dyDescent="0.3">
      <c r="A129" t="s">
        <v>163</v>
      </c>
      <c r="B129">
        <f>_xlfn.XLOOKUP(A129,'Notes Ref'!A:A,'Notes Ref'!E:E,"")</f>
        <v>144</v>
      </c>
      <c r="D129" t="s">
        <v>160</v>
      </c>
      <c r="E129">
        <f>_xlfn.XLOOKUP(D129,'Notes Ref'!A:A,'Notes Ref'!E:E,"")</f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92-D5A6-47B3-A814-1F1692B0BDDA}">
  <dimension ref="A1:I5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E1" sqref="E1"/>
    </sheetView>
  </sheetViews>
  <sheetFormatPr defaultRowHeight="14.4" x14ac:dyDescent="0.3"/>
  <cols>
    <col min="5" max="5" width="12.44140625" bestFit="1" customWidth="1"/>
    <col min="8" max="8" width="11.88671875" bestFit="1" customWidth="1"/>
    <col min="9" max="9" width="12.44140625" bestFit="1" customWidth="1"/>
  </cols>
  <sheetData>
    <row r="1" spans="1:9" x14ac:dyDescent="0.3">
      <c r="A1" t="s">
        <v>183</v>
      </c>
      <c r="B1" t="s">
        <v>57</v>
      </c>
      <c r="C1" t="s">
        <v>184</v>
      </c>
      <c r="D1" t="s">
        <v>56</v>
      </c>
      <c r="E1" s="27" t="s">
        <v>186</v>
      </c>
      <c r="H1" s="27" t="s">
        <v>185</v>
      </c>
      <c r="I1" s="27" t="s">
        <v>186</v>
      </c>
    </row>
    <row r="2" spans="1:9" x14ac:dyDescent="0.3">
      <c r="A2" t="s">
        <v>187</v>
      </c>
      <c r="B2">
        <v>130</v>
      </c>
      <c r="E2">
        <v>130</v>
      </c>
      <c r="H2">
        <v>130</v>
      </c>
      <c r="I2">
        <v>130</v>
      </c>
    </row>
    <row r="3" spans="1:9" x14ac:dyDescent="0.3">
      <c r="A3" t="s">
        <v>188</v>
      </c>
      <c r="B3">
        <v>137</v>
      </c>
      <c r="E3">
        <v>137</v>
      </c>
      <c r="H3">
        <v>137</v>
      </c>
      <c r="I3">
        <v>137</v>
      </c>
    </row>
    <row r="4" spans="1:9" x14ac:dyDescent="0.3">
      <c r="A4" t="s">
        <v>189</v>
      </c>
      <c r="B4">
        <v>144</v>
      </c>
      <c r="E4">
        <v>144</v>
      </c>
      <c r="H4">
        <v>144</v>
      </c>
      <c r="I4">
        <v>144</v>
      </c>
    </row>
    <row r="5" spans="1:9" x14ac:dyDescent="0.3">
      <c r="A5" t="s">
        <v>190</v>
      </c>
      <c r="B5">
        <v>150</v>
      </c>
      <c r="E5">
        <v>150</v>
      </c>
      <c r="H5">
        <v>150</v>
      </c>
      <c r="I5">
        <v>150</v>
      </c>
    </row>
    <row r="6" spans="1:9" x14ac:dyDescent="0.3">
      <c r="A6" t="s">
        <v>191</v>
      </c>
      <c r="B6">
        <v>156</v>
      </c>
      <c r="E6">
        <v>156</v>
      </c>
      <c r="H6">
        <v>156</v>
      </c>
      <c r="I6">
        <v>156</v>
      </c>
    </row>
    <row r="7" spans="1:9" x14ac:dyDescent="0.3">
      <c r="A7" t="s">
        <v>192</v>
      </c>
      <c r="B7">
        <v>161</v>
      </c>
      <c r="E7">
        <v>161</v>
      </c>
      <c r="H7">
        <v>161</v>
      </c>
      <c r="I7">
        <v>161</v>
      </c>
    </row>
    <row r="8" spans="1:9" x14ac:dyDescent="0.3">
      <c r="A8" t="s">
        <v>139</v>
      </c>
      <c r="B8">
        <v>167</v>
      </c>
      <c r="E8">
        <v>167</v>
      </c>
      <c r="H8">
        <v>167</v>
      </c>
      <c r="I8">
        <v>167</v>
      </c>
    </row>
    <row r="9" spans="1:9" x14ac:dyDescent="0.3">
      <c r="A9" t="s">
        <v>193</v>
      </c>
      <c r="B9">
        <v>172</v>
      </c>
      <c r="E9">
        <v>172</v>
      </c>
      <c r="H9">
        <v>172</v>
      </c>
      <c r="I9">
        <v>172</v>
      </c>
    </row>
    <row r="10" spans="1:9" x14ac:dyDescent="0.3">
      <c r="A10" t="s">
        <v>194</v>
      </c>
      <c r="B10">
        <v>176</v>
      </c>
      <c r="E10">
        <v>176</v>
      </c>
      <c r="H10">
        <v>176</v>
      </c>
      <c r="I10">
        <v>176</v>
      </c>
    </row>
    <row r="11" spans="1:9" x14ac:dyDescent="0.3">
      <c r="A11" t="s">
        <v>181</v>
      </c>
      <c r="B11">
        <v>181</v>
      </c>
      <c r="E11">
        <v>181</v>
      </c>
      <c r="H11">
        <v>181</v>
      </c>
      <c r="I11">
        <v>181</v>
      </c>
    </row>
    <row r="12" spans="1:9" x14ac:dyDescent="0.3">
      <c r="A12" t="s">
        <v>195</v>
      </c>
      <c r="B12">
        <v>185</v>
      </c>
      <c r="E12">
        <v>185</v>
      </c>
      <c r="H12">
        <v>185</v>
      </c>
      <c r="I12">
        <v>185</v>
      </c>
    </row>
    <row r="13" spans="1:9" x14ac:dyDescent="0.3">
      <c r="A13" t="s">
        <v>180</v>
      </c>
      <c r="B13">
        <v>189</v>
      </c>
      <c r="E13">
        <v>189</v>
      </c>
      <c r="H13">
        <v>189</v>
      </c>
      <c r="I13">
        <v>189</v>
      </c>
    </row>
    <row r="14" spans="1:9" x14ac:dyDescent="0.3">
      <c r="A14" t="s">
        <v>166</v>
      </c>
      <c r="B14">
        <v>193</v>
      </c>
      <c r="C14">
        <v>130</v>
      </c>
      <c r="E14">
        <v>130</v>
      </c>
      <c r="H14">
        <v>193</v>
      </c>
      <c r="I14">
        <v>130</v>
      </c>
    </row>
    <row r="15" spans="1:9" x14ac:dyDescent="0.3">
      <c r="A15" t="s">
        <v>196</v>
      </c>
      <c r="B15">
        <v>196</v>
      </c>
      <c r="C15">
        <v>137</v>
      </c>
      <c r="E15">
        <v>137</v>
      </c>
      <c r="H15">
        <v>196</v>
      </c>
      <c r="I15">
        <v>137</v>
      </c>
    </row>
    <row r="16" spans="1:9" x14ac:dyDescent="0.3">
      <c r="A16" t="s">
        <v>160</v>
      </c>
      <c r="B16">
        <v>199</v>
      </c>
      <c r="C16">
        <v>144</v>
      </c>
      <c r="E16">
        <v>144</v>
      </c>
      <c r="H16">
        <v>199</v>
      </c>
      <c r="I16">
        <v>144</v>
      </c>
    </row>
    <row r="17" spans="1:9" x14ac:dyDescent="0.3">
      <c r="A17" t="s">
        <v>197</v>
      </c>
      <c r="B17">
        <v>202</v>
      </c>
      <c r="C17">
        <v>150</v>
      </c>
      <c r="E17">
        <v>150</v>
      </c>
      <c r="H17">
        <v>202</v>
      </c>
      <c r="I17">
        <v>150</v>
      </c>
    </row>
    <row r="18" spans="1:9" x14ac:dyDescent="0.3">
      <c r="A18" t="s">
        <v>154</v>
      </c>
      <c r="B18">
        <v>205</v>
      </c>
      <c r="C18">
        <v>156</v>
      </c>
      <c r="E18">
        <v>156</v>
      </c>
      <c r="H18">
        <v>205</v>
      </c>
      <c r="I18">
        <v>156</v>
      </c>
    </row>
    <row r="19" spans="1:9" x14ac:dyDescent="0.3">
      <c r="A19" t="s">
        <v>198</v>
      </c>
      <c r="B19">
        <v>208</v>
      </c>
      <c r="C19">
        <v>161</v>
      </c>
      <c r="E19">
        <v>161</v>
      </c>
      <c r="H19">
        <v>208</v>
      </c>
      <c r="I19">
        <v>161</v>
      </c>
    </row>
    <row r="20" spans="1:9" x14ac:dyDescent="0.3">
      <c r="A20" t="s">
        <v>140</v>
      </c>
      <c r="B20">
        <v>211</v>
      </c>
      <c r="C20">
        <v>167</v>
      </c>
      <c r="E20">
        <v>167</v>
      </c>
      <c r="H20">
        <v>211</v>
      </c>
      <c r="I20">
        <v>167</v>
      </c>
    </row>
    <row r="21" spans="1:9" x14ac:dyDescent="0.3">
      <c r="A21" t="s">
        <v>199</v>
      </c>
      <c r="B21">
        <v>213</v>
      </c>
      <c r="C21">
        <v>172</v>
      </c>
      <c r="E21">
        <v>172</v>
      </c>
      <c r="H21">
        <v>213</v>
      </c>
      <c r="I21">
        <v>172</v>
      </c>
    </row>
    <row r="22" spans="1:9" x14ac:dyDescent="0.3">
      <c r="A22" t="s">
        <v>200</v>
      </c>
      <c r="B22">
        <v>216</v>
      </c>
      <c r="C22">
        <v>176</v>
      </c>
      <c r="E22">
        <v>176</v>
      </c>
      <c r="H22">
        <v>216</v>
      </c>
      <c r="I22">
        <v>176</v>
      </c>
    </row>
    <row r="23" spans="1:9" x14ac:dyDescent="0.3">
      <c r="A23" t="s">
        <v>176</v>
      </c>
      <c r="B23">
        <v>218</v>
      </c>
      <c r="C23">
        <v>181</v>
      </c>
      <c r="E23">
        <v>181</v>
      </c>
      <c r="H23">
        <v>218</v>
      </c>
      <c r="I23">
        <v>181</v>
      </c>
    </row>
    <row r="24" spans="1:9" x14ac:dyDescent="0.3">
      <c r="A24" t="s">
        <v>178</v>
      </c>
      <c r="B24">
        <v>220</v>
      </c>
      <c r="C24">
        <v>185</v>
      </c>
      <c r="E24">
        <v>185</v>
      </c>
      <c r="H24">
        <v>220</v>
      </c>
      <c r="I24">
        <v>185</v>
      </c>
    </row>
    <row r="25" spans="1:9" x14ac:dyDescent="0.3">
      <c r="A25" t="s">
        <v>156</v>
      </c>
      <c r="B25">
        <v>222</v>
      </c>
      <c r="C25">
        <v>189</v>
      </c>
      <c r="E25">
        <v>189</v>
      </c>
      <c r="H25">
        <v>222</v>
      </c>
      <c r="I25">
        <v>189</v>
      </c>
    </row>
    <row r="26" spans="1:9" x14ac:dyDescent="0.3">
      <c r="A26" t="s">
        <v>168</v>
      </c>
      <c r="B26">
        <v>224</v>
      </c>
      <c r="C26">
        <v>193</v>
      </c>
      <c r="D26">
        <v>130</v>
      </c>
      <c r="E26">
        <v>130</v>
      </c>
      <c r="H26">
        <v>224</v>
      </c>
      <c r="I26">
        <v>130</v>
      </c>
    </row>
    <row r="27" spans="1:9" x14ac:dyDescent="0.3">
      <c r="A27" t="s">
        <v>162</v>
      </c>
      <c r="B27">
        <v>226</v>
      </c>
      <c r="C27">
        <v>196</v>
      </c>
      <c r="D27">
        <v>137</v>
      </c>
      <c r="E27">
        <v>137</v>
      </c>
      <c r="H27">
        <v>226</v>
      </c>
      <c r="I27">
        <v>137</v>
      </c>
    </row>
    <row r="28" spans="1:9" x14ac:dyDescent="0.3">
      <c r="A28" t="s">
        <v>163</v>
      </c>
      <c r="B28">
        <v>227</v>
      </c>
      <c r="C28">
        <v>199</v>
      </c>
      <c r="D28">
        <v>144</v>
      </c>
      <c r="E28">
        <v>144</v>
      </c>
      <c r="H28">
        <v>227</v>
      </c>
      <c r="I28">
        <v>144</v>
      </c>
    </row>
    <row r="29" spans="1:9" x14ac:dyDescent="0.3">
      <c r="A29" t="s">
        <v>173</v>
      </c>
      <c r="B29">
        <v>229</v>
      </c>
      <c r="C29">
        <v>202</v>
      </c>
      <c r="D29">
        <v>150</v>
      </c>
      <c r="E29">
        <v>150</v>
      </c>
      <c r="H29">
        <v>229</v>
      </c>
      <c r="I29">
        <v>150</v>
      </c>
    </row>
    <row r="30" spans="1:9" x14ac:dyDescent="0.3">
      <c r="A30" t="s">
        <v>153</v>
      </c>
      <c r="B30">
        <v>230</v>
      </c>
      <c r="C30">
        <v>205</v>
      </c>
      <c r="D30">
        <v>156</v>
      </c>
      <c r="E30">
        <v>156</v>
      </c>
      <c r="H30">
        <v>230</v>
      </c>
      <c r="I30">
        <v>156</v>
      </c>
    </row>
    <row r="31" spans="1:9" x14ac:dyDescent="0.3">
      <c r="A31" t="s">
        <v>201</v>
      </c>
      <c r="B31">
        <v>232</v>
      </c>
      <c r="C31">
        <v>208</v>
      </c>
      <c r="D31">
        <v>161</v>
      </c>
      <c r="E31">
        <v>161</v>
      </c>
      <c r="H31">
        <v>232</v>
      </c>
      <c r="I31">
        <v>161</v>
      </c>
    </row>
    <row r="32" spans="1:9" x14ac:dyDescent="0.3">
      <c r="A32" t="s">
        <v>141</v>
      </c>
      <c r="B32">
        <v>233</v>
      </c>
      <c r="C32">
        <v>211</v>
      </c>
      <c r="D32">
        <v>167</v>
      </c>
      <c r="E32">
        <v>167</v>
      </c>
      <c r="H32">
        <v>233</v>
      </c>
      <c r="I32">
        <v>167</v>
      </c>
    </row>
    <row r="33" spans="1:9" x14ac:dyDescent="0.3">
      <c r="A33" t="s">
        <v>159</v>
      </c>
      <c r="B33">
        <v>234</v>
      </c>
      <c r="C33">
        <v>213</v>
      </c>
      <c r="D33">
        <v>172</v>
      </c>
      <c r="E33">
        <v>172</v>
      </c>
      <c r="H33">
        <v>234</v>
      </c>
      <c r="I33">
        <v>172</v>
      </c>
    </row>
    <row r="34" spans="1:9" x14ac:dyDescent="0.3">
      <c r="A34" t="s">
        <v>155</v>
      </c>
      <c r="B34">
        <v>235</v>
      </c>
      <c r="C34">
        <v>216</v>
      </c>
      <c r="D34">
        <v>176</v>
      </c>
      <c r="E34">
        <v>176</v>
      </c>
      <c r="H34">
        <v>235</v>
      </c>
      <c r="I34">
        <v>176</v>
      </c>
    </row>
    <row r="35" spans="1:9" x14ac:dyDescent="0.3">
      <c r="A35" t="s">
        <v>161</v>
      </c>
      <c r="B35">
        <v>236</v>
      </c>
      <c r="C35">
        <v>218</v>
      </c>
      <c r="D35">
        <v>181</v>
      </c>
      <c r="E35">
        <v>181</v>
      </c>
      <c r="H35">
        <v>236</v>
      </c>
      <c r="I35">
        <v>181</v>
      </c>
    </row>
    <row r="36" spans="1:9" x14ac:dyDescent="0.3">
      <c r="A36" t="s">
        <v>177</v>
      </c>
      <c r="C36">
        <v>220</v>
      </c>
      <c r="D36">
        <v>185</v>
      </c>
      <c r="E36">
        <v>185</v>
      </c>
      <c r="H36">
        <v>220</v>
      </c>
      <c r="I36">
        <v>185</v>
      </c>
    </row>
    <row r="37" spans="1:9" x14ac:dyDescent="0.3">
      <c r="A37" t="s">
        <v>157</v>
      </c>
      <c r="C37">
        <v>222</v>
      </c>
      <c r="D37">
        <v>189</v>
      </c>
      <c r="E37">
        <v>189</v>
      </c>
      <c r="H37">
        <v>222</v>
      </c>
      <c r="I37">
        <v>189</v>
      </c>
    </row>
    <row r="38" spans="1:9" x14ac:dyDescent="0.3">
      <c r="A38" t="s">
        <v>165</v>
      </c>
      <c r="B38">
        <v>239</v>
      </c>
      <c r="C38">
        <v>224</v>
      </c>
      <c r="D38">
        <v>193</v>
      </c>
      <c r="E38">
        <v>193</v>
      </c>
      <c r="H38">
        <v>239</v>
      </c>
      <c r="I38">
        <v>193</v>
      </c>
    </row>
    <row r="39" spans="1:9" x14ac:dyDescent="0.3">
      <c r="A39" t="s">
        <v>202</v>
      </c>
      <c r="B39">
        <v>240</v>
      </c>
      <c r="C39">
        <v>226</v>
      </c>
      <c r="D39">
        <v>196</v>
      </c>
      <c r="E39">
        <v>196</v>
      </c>
      <c r="H39">
        <v>240</v>
      </c>
      <c r="I39">
        <v>196</v>
      </c>
    </row>
    <row r="40" spans="1:9" x14ac:dyDescent="0.3">
      <c r="A40" t="s">
        <v>167</v>
      </c>
      <c r="B40">
        <v>241</v>
      </c>
      <c r="C40">
        <v>227</v>
      </c>
      <c r="D40">
        <v>199</v>
      </c>
      <c r="E40">
        <v>199</v>
      </c>
      <c r="H40">
        <v>241</v>
      </c>
      <c r="I40">
        <v>199</v>
      </c>
    </row>
    <row r="41" spans="1:9" x14ac:dyDescent="0.3">
      <c r="A41" t="s">
        <v>172</v>
      </c>
      <c r="B41">
        <v>242</v>
      </c>
      <c r="C41">
        <v>229</v>
      </c>
      <c r="D41">
        <v>202</v>
      </c>
      <c r="E41">
        <v>202</v>
      </c>
      <c r="H41">
        <v>242</v>
      </c>
      <c r="I41">
        <v>202</v>
      </c>
    </row>
    <row r="42" spans="1:9" x14ac:dyDescent="0.3">
      <c r="A42" t="s">
        <v>158</v>
      </c>
      <c r="C42">
        <v>230</v>
      </c>
      <c r="D42">
        <v>205</v>
      </c>
      <c r="E42">
        <v>205</v>
      </c>
      <c r="H42">
        <v>230</v>
      </c>
      <c r="I42">
        <v>205</v>
      </c>
    </row>
    <row r="43" spans="1:9" x14ac:dyDescent="0.3">
      <c r="A43" t="s">
        <v>203</v>
      </c>
      <c r="B43">
        <v>243</v>
      </c>
      <c r="C43">
        <v>232</v>
      </c>
      <c r="D43">
        <v>208</v>
      </c>
      <c r="E43">
        <v>208</v>
      </c>
      <c r="H43">
        <v>243</v>
      </c>
      <c r="I43">
        <v>208</v>
      </c>
    </row>
    <row r="44" spans="1:9" x14ac:dyDescent="0.3">
      <c r="A44" t="s">
        <v>164</v>
      </c>
      <c r="B44">
        <v>244</v>
      </c>
      <c r="C44">
        <v>233</v>
      </c>
      <c r="D44">
        <v>211</v>
      </c>
      <c r="E44">
        <v>211</v>
      </c>
      <c r="H44">
        <v>244</v>
      </c>
      <c r="I44">
        <v>211</v>
      </c>
    </row>
    <row r="45" spans="1:9" x14ac:dyDescent="0.3">
      <c r="A45" t="s">
        <v>169</v>
      </c>
      <c r="C45">
        <v>234</v>
      </c>
      <c r="D45">
        <v>213</v>
      </c>
      <c r="E45">
        <v>213</v>
      </c>
      <c r="H45">
        <v>234</v>
      </c>
      <c r="I45">
        <v>213</v>
      </c>
    </row>
    <row r="46" spans="1:9" x14ac:dyDescent="0.3">
      <c r="A46" t="s">
        <v>182</v>
      </c>
      <c r="B46">
        <v>245</v>
      </c>
      <c r="C46">
        <v>235</v>
      </c>
      <c r="D46">
        <v>216</v>
      </c>
      <c r="E46">
        <v>216</v>
      </c>
      <c r="H46">
        <v>245</v>
      </c>
      <c r="I46">
        <v>216</v>
      </c>
    </row>
    <row r="47" spans="1:9" x14ac:dyDescent="0.3">
      <c r="A47" t="s">
        <v>171</v>
      </c>
      <c r="C47">
        <v>236</v>
      </c>
      <c r="D47">
        <v>218</v>
      </c>
      <c r="E47">
        <v>218</v>
      </c>
      <c r="H47">
        <v>236</v>
      </c>
      <c r="I47">
        <v>218</v>
      </c>
    </row>
    <row r="48" spans="1:9" x14ac:dyDescent="0.3">
      <c r="A48" t="s">
        <v>204</v>
      </c>
      <c r="D48">
        <v>220</v>
      </c>
      <c r="E48">
        <v>220</v>
      </c>
      <c r="H48">
        <v>220</v>
      </c>
      <c r="I48">
        <v>220</v>
      </c>
    </row>
    <row r="49" spans="1:9" x14ac:dyDescent="0.3">
      <c r="A49" t="s">
        <v>174</v>
      </c>
      <c r="D49">
        <v>222</v>
      </c>
      <c r="E49">
        <v>222</v>
      </c>
      <c r="H49">
        <v>222</v>
      </c>
      <c r="I49">
        <v>222</v>
      </c>
    </row>
    <row r="50" spans="1:9" x14ac:dyDescent="0.3">
      <c r="A50" t="s">
        <v>205</v>
      </c>
      <c r="B50">
        <v>247</v>
      </c>
      <c r="C50">
        <v>239</v>
      </c>
      <c r="D50">
        <v>224</v>
      </c>
      <c r="E50">
        <v>224</v>
      </c>
      <c r="H50">
        <v>247</v>
      </c>
      <c r="I50">
        <v>224</v>
      </c>
    </row>
    <row r="51" spans="1:9" x14ac:dyDescent="0.3">
      <c r="A51" t="s">
        <v>170</v>
      </c>
      <c r="C51">
        <v>240</v>
      </c>
      <c r="D51">
        <v>226</v>
      </c>
      <c r="E51">
        <v>226</v>
      </c>
      <c r="H51">
        <v>226</v>
      </c>
      <c r="I51">
        <v>226</v>
      </c>
    </row>
    <row r="52" spans="1:9" x14ac:dyDescent="0.3">
      <c r="A52" t="s">
        <v>179</v>
      </c>
      <c r="B52">
        <v>248</v>
      </c>
      <c r="C52">
        <v>241</v>
      </c>
      <c r="D52">
        <v>227</v>
      </c>
      <c r="E52">
        <v>227</v>
      </c>
      <c r="H52">
        <v>248</v>
      </c>
      <c r="I52">
        <v>227</v>
      </c>
    </row>
    <row r="53" spans="1:9" x14ac:dyDescent="0.3">
      <c r="A53" t="s">
        <v>206</v>
      </c>
      <c r="C53">
        <v>242</v>
      </c>
      <c r="D53">
        <v>229</v>
      </c>
      <c r="E53">
        <v>229</v>
      </c>
      <c r="H53">
        <v>229</v>
      </c>
      <c r="I53">
        <v>229</v>
      </c>
    </row>
    <row r="54" spans="1:9" x14ac:dyDescent="0.3">
      <c r="A54" t="s">
        <v>175</v>
      </c>
      <c r="D54">
        <v>230</v>
      </c>
      <c r="E54">
        <v>230</v>
      </c>
      <c r="H54">
        <v>230</v>
      </c>
      <c r="I54">
        <v>230</v>
      </c>
    </row>
    <row r="55" spans="1:9" x14ac:dyDescent="0.3">
      <c r="A55" t="s">
        <v>207</v>
      </c>
      <c r="B55">
        <v>249</v>
      </c>
      <c r="C55">
        <v>243</v>
      </c>
      <c r="D55">
        <v>232</v>
      </c>
      <c r="E55">
        <v>232</v>
      </c>
      <c r="H55">
        <v>249</v>
      </c>
      <c r="I55">
        <v>232</v>
      </c>
    </row>
    <row r="56" spans="1:9" x14ac:dyDescent="0.3">
      <c r="A56" t="s">
        <v>208</v>
      </c>
      <c r="C56">
        <v>244</v>
      </c>
      <c r="D56">
        <v>233</v>
      </c>
      <c r="E56">
        <v>233</v>
      </c>
      <c r="H56">
        <v>233</v>
      </c>
      <c r="I56">
        <v>233</v>
      </c>
    </row>
    <row r="57" spans="1:9" x14ac:dyDescent="0.3">
      <c r="A57" t="s">
        <v>209</v>
      </c>
      <c r="D57">
        <v>234</v>
      </c>
      <c r="E57">
        <v>234</v>
      </c>
      <c r="H57">
        <v>234</v>
      </c>
      <c r="I57">
        <v>234</v>
      </c>
    </row>
    <row r="58" spans="1:9" x14ac:dyDescent="0.3">
      <c r="A58" t="s">
        <v>210</v>
      </c>
      <c r="B58">
        <v>250</v>
      </c>
      <c r="C58">
        <v>245</v>
      </c>
      <c r="D58">
        <v>235</v>
      </c>
      <c r="E58">
        <v>235</v>
      </c>
      <c r="H58">
        <v>250</v>
      </c>
      <c r="I58">
        <v>235</v>
      </c>
    </row>
    <row r="59" spans="1:9" x14ac:dyDescent="0.3">
      <c r="A59" t="s">
        <v>211</v>
      </c>
      <c r="D59">
        <v>236</v>
      </c>
      <c r="E59">
        <v>236</v>
      </c>
      <c r="H59">
        <v>236</v>
      </c>
      <c r="I59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Vic20 BD tiles plan</vt:lpstr>
      <vt:lpstr>Vic20 tiles</vt:lpstr>
      <vt:lpstr>Vic colour ref</vt:lpstr>
      <vt:lpstr>Cave colours</vt:lpstr>
      <vt:lpstr>LowHighSplit</vt:lpstr>
      <vt:lpstr>Status</vt:lpstr>
      <vt:lpstr>Splash</vt:lpstr>
      <vt:lpstr>Theme Tune</vt:lpstr>
      <vt:lpstr>Notes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Williams</dc:creator>
  <cp:lastModifiedBy>Stephen Williams</cp:lastModifiedBy>
  <dcterms:created xsi:type="dcterms:W3CDTF">2024-12-12T09:50:45Z</dcterms:created>
  <dcterms:modified xsi:type="dcterms:W3CDTF">2026-02-20T11:58:03Z</dcterms:modified>
</cp:coreProperties>
</file>